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 analytics class\PROJECTS\MINI PROJECT\"/>
    </mc:Choice>
  </mc:AlternateContent>
  <xr:revisionPtr revIDLastSave="0" documentId="13_ncr:1_{1443C0F6-9C22-43B7-B3AE-7AD0C99618A1}" xr6:coauthVersionLast="47" xr6:coauthVersionMax="47" xr10:uidLastSave="{00000000-0000-0000-0000-000000000000}"/>
  <bookViews>
    <workbookView xWindow="-108" yWindow="-108" windowWidth="23256" windowHeight="12456" activeTab="4" xr2:uid="{F5FC1C37-05D4-4889-B7A0-8421EBCF6AB8}"/>
  </bookViews>
  <sheets>
    <sheet name="Snitch_Fashion_Sales_cleaned" sheetId="1" r:id="rId1"/>
    <sheet name="Dim_Product" sheetId="8" r:id="rId2"/>
    <sheet name="Dim_Date" sheetId="9" r:id="rId3"/>
    <sheet name="Dim_City" sheetId="10" r:id="rId4"/>
    <sheet name="pivot table" sheetId="6" r:id="rId5"/>
  </sheets>
  <definedNames>
    <definedName name="_xlcn.WorksheetConnection_Snitch_Fashion_Sales_Uncleaned.csvW2.xlsxTable11" hidden="1">Snitch_Fashion_Sales_cleaned!$A$1:$N$2501</definedName>
  </definedNames>
  <calcPr calcId="191029"/>
  <pivotCaches>
    <pivotCache cacheId="0" r:id="rId6"/>
    <pivotCache cacheId="1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nitch_Fashion_Sales_Uncleaned.csv - W2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2" i="9"/>
  <c r="H3" i="1"/>
  <c r="L3" i="1" s="1"/>
  <c r="H4" i="1"/>
  <c r="L4" i="1" s="1"/>
  <c r="H5" i="1"/>
  <c r="L5" i="1" s="1"/>
  <c r="H6" i="1"/>
  <c r="L6" i="1" s="1"/>
  <c r="H7" i="1"/>
  <c r="L7" i="1" s="1"/>
  <c r="H8" i="1"/>
  <c r="L8" i="1" s="1"/>
  <c r="H9" i="1"/>
  <c r="L9" i="1" s="1"/>
  <c r="H10" i="1"/>
  <c r="L10" i="1" s="1"/>
  <c r="H11" i="1"/>
  <c r="L11" i="1" s="1"/>
  <c r="H12" i="1"/>
  <c r="L12" i="1" s="1"/>
  <c r="H13" i="1"/>
  <c r="L13" i="1" s="1"/>
  <c r="H14" i="1"/>
  <c r="L14" i="1" s="1"/>
  <c r="H15" i="1"/>
  <c r="L15" i="1" s="1"/>
  <c r="H16" i="1"/>
  <c r="L16" i="1" s="1"/>
  <c r="H17" i="1"/>
  <c r="L17" i="1" s="1"/>
  <c r="H18" i="1"/>
  <c r="L18" i="1" s="1"/>
  <c r="H19" i="1"/>
  <c r="L19" i="1" s="1"/>
  <c r="H20" i="1"/>
  <c r="L20" i="1" s="1"/>
  <c r="H21" i="1"/>
  <c r="L21" i="1" s="1"/>
  <c r="H22" i="1"/>
  <c r="L22" i="1" s="1"/>
  <c r="H23" i="1"/>
  <c r="L23" i="1" s="1"/>
  <c r="H24" i="1"/>
  <c r="L24" i="1" s="1"/>
  <c r="H25" i="1"/>
  <c r="L25" i="1" s="1"/>
  <c r="H26" i="1"/>
  <c r="L26" i="1" s="1"/>
  <c r="H27" i="1"/>
  <c r="L27" i="1" s="1"/>
  <c r="H28" i="1"/>
  <c r="L28" i="1" s="1"/>
  <c r="H29" i="1"/>
  <c r="L29" i="1" s="1"/>
  <c r="H30" i="1"/>
  <c r="L30" i="1" s="1"/>
  <c r="H31" i="1"/>
  <c r="L31" i="1" s="1"/>
  <c r="H32" i="1"/>
  <c r="L32" i="1" s="1"/>
  <c r="H33" i="1"/>
  <c r="L33" i="1" s="1"/>
  <c r="H34" i="1"/>
  <c r="L34" i="1" s="1"/>
  <c r="H35" i="1"/>
  <c r="L35" i="1" s="1"/>
  <c r="H36" i="1"/>
  <c r="L36" i="1" s="1"/>
  <c r="H37" i="1"/>
  <c r="L37" i="1" s="1"/>
  <c r="H38" i="1"/>
  <c r="L38" i="1" s="1"/>
  <c r="H39" i="1"/>
  <c r="L39" i="1" s="1"/>
  <c r="H40" i="1"/>
  <c r="L40" i="1" s="1"/>
  <c r="H41" i="1"/>
  <c r="L41" i="1" s="1"/>
  <c r="H42" i="1"/>
  <c r="L42" i="1" s="1"/>
  <c r="H43" i="1"/>
  <c r="L43" i="1" s="1"/>
  <c r="H44" i="1"/>
  <c r="L44" i="1" s="1"/>
  <c r="H45" i="1"/>
  <c r="L45" i="1" s="1"/>
  <c r="H46" i="1"/>
  <c r="L46" i="1" s="1"/>
  <c r="H47" i="1"/>
  <c r="L47" i="1" s="1"/>
  <c r="H48" i="1"/>
  <c r="L48" i="1" s="1"/>
  <c r="H49" i="1"/>
  <c r="L49" i="1" s="1"/>
  <c r="H50" i="1"/>
  <c r="L50" i="1" s="1"/>
  <c r="H51" i="1"/>
  <c r="L51" i="1" s="1"/>
  <c r="H52" i="1"/>
  <c r="L52" i="1" s="1"/>
  <c r="H53" i="1"/>
  <c r="L53" i="1" s="1"/>
  <c r="H54" i="1"/>
  <c r="L54" i="1" s="1"/>
  <c r="H55" i="1"/>
  <c r="L55" i="1" s="1"/>
  <c r="H56" i="1"/>
  <c r="L56" i="1" s="1"/>
  <c r="H57" i="1"/>
  <c r="L57" i="1" s="1"/>
  <c r="H58" i="1"/>
  <c r="L58" i="1" s="1"/>
  <c r="H59" i="1"/>
  <c r="L59" i="1" s="1"/>
  <c r="H60" i="1"/>
  <c r="L60" i="1" s="1"/>
  <c r="H61" i="1"/>
  <c r="L61" i="1" s="1"/>
  <c r="H62" i="1"/>
  <c r="L62" i="1" s="1"/>
  <c r="H63" i="1"/>
  <c r="L63" i="1" s="1"/>
  <c r="H64" i="1"/>
  <c r="L64" i="1" s="1"/>
  <c r="H65" i="1"/>
  <c r="L65" i="1" s="1"/>
  <c r="H66" i="1"/>
  <c r="L66" i="1" s="1"/>
  <c r="H67" i="1"/>
  <c r="L67" i="1" s="1"/>
  <c r="H68" i="1"/>
  <c r="L68" i="1" s="1"/>
  <c r="H69" i="1"/>
  <c r="L69" i="1" s="1"/>
  <c r="H70" i="1"/>
  <c r="L70" i="1" s="1"/>
  <c r="H71" i="1"/>
  <c r="L71" i="1" s="1"/>
  <c r="H72" i="1"/>
  <c r="L72" i="1" s="1"/>
  <c r="H73" i="1"/>
  <c r="L73" i="1" s="1"/>
  <c r="H74" i="1"/>
  <c r="L74" i="1" s="1"/>
  <c r="H75" i="1"/>
  <c r="L75" i="1" s="1"/>
  <c r="H76" i="1"/>
  <c r="L76" i="1" s="1"/>
  <c r="H77" i="1"/>
  <c r="L77" i="1" s="1"/>
  <c r="H78" i="1"/>
  <c r="L78" i="1" s="1"/>
  <c r="H79" i="1"/>
  <c r="L79" i="1" s="1"/>
  <c r="H80" i="1"/>
  <c r="L80" i="1" s="1"/>
  <c r="H81" i="1"/>
  <c r="L81" i="1" s="1"/>
  <c r="H82" i="1"/>
  <c r="L82" i="1" s="1"/>
  <c r="H83" i="1"/>
  <c r="L83" i="1" s="1"/>
  <c r="H84" i="1"/>
  <c r="L84" i="1" s="1"/>
  <c r="H85" i="1"/>
  <c r="L85" i="1" s="1"/>
  <c r="H86" i="1"/>
  <c r="L86" i="1" s="1"/>
  <c r="H87" i="1"/>
  <c r="L87" i="1" s="1"/>
  <c r="H88" i="1"/>
  <c r="L88" i="1" s="1"/>
  <c r="H89" i="1"/>
  <c r="L89" i="1" s="1"/>
  <c r="H90" i="1"/>
  <c r="L90" i="1" s="1"/>
  <c r="H91" i="1"/>
  <c r="L91" i="1" s="1"/>
  <c r="H92" i="1"/>
  <c r="L92" i="1" s="1"/>
  <c r="H93" i="1"/>
  <c r="L93" i="1" s="1"/>
  <c r="H94" i="1"/>
  <c r="L94" i="1" s="1"/>
  <c r="H95" i="1"/>
  <c r="L95" i="1" s="1"/>
  <c r="H96" i="1"/>
  <c r="L96" i="1" s="1"/>
  <c r="H97" i="1"/>
  <c r="L97" i="1" s="1"/>
  <c r="H98" i="1"/>
  <c r="L98" i="1" s="1"/>
  <c r="H99" i="1"/>
  <c r="L99" i="1" s="1"/>
  <c r="H100" i="1"/>
  <c r="L100" i="1" s="1"/>
  <c r="H101" i="1"/>
  <c r="L101" i="1" s="1"/>
  <c r="H102" i="1"/>
  <c r="L102" i="1" s="1"/>
  <c r="H103" i="1"/>
  <c r="L103" i="1" s="1"/>
  <c r="H104" i="1"/>
  <c r="L104" i="1" s="1"/>
  <c r="H105" i="1"/>
  <c r="L105" i="1" s="1"/>
  <c r="H106" i="1"/>
  <c r="L106" i="1" s="1"/>
  <c r="H107" i="1"/>
  <c r="L107" i="1" s="1"/>
  <c r="H108" i="1"/>
  <c r="L108" i="1" s="1"/>
  <c r="H109" i="1"/>
  <c r="L109" i="1" s="1"/>
  <c r="H110" i="1"/>
  <c r="L110" i="1" s="1"/>
  <c r="H111" i="1"/>
  <c r="L111" i="1" s="1"/>
  <c r="H112" i="1"/>
  <c r="L112" i="1" s="1"/>
  <c r="H113" i="1"/>
  <c r="L113" i="1" s="1"/>
  <c r="H114" i="1"/>
  <c r="L114" i="1" s="1"/>
  <c r="H115" i="1"/>
  <c r="L115" i="1" s="1"/>
  <c r="H116" i="1"/>
  <c r="L116" i="1" s="1"/>
  <c r="H117" i="1"/>
  <c r="L117" i="1" s="1"/>
  <c r="H118" i="1"/>
  <c r="L118" i="1" s="1"/>
  <c r="H119" i="1"/>
  <c r="L119" i="1" s="1"/>
  <c r="H120" i="1"/>
  <c r="L120" i="1" s="1"/>
  <c r="H121" i="1"/>
  <c r="L121" i="1" s="1"/>
  <c r="H122" i="1"/>
  <c r="L122" i="1" s="1"/>
  <c r="H123" i="1"/>
  <c r="L123" i="1" s="1"/>
  <c r="H124" i="1"/>
  <c r="L124" i="1" s="1"/>
  <c r="H125" i="1"/>
  <c r="L125" i="1" s="1"/>
  <c r="H126" i="1"/>
  <c r="L126" i="1" s="1"/>
  <c r="H127" i="1"/>
  <c r="L127" i="1" s="1"/>
  <c r="H128" i="1"/>
  <c r="L128" i="1" s="1"/>
  <c r="H129" i="1"/>
  <c r="L129" i="1" s="1"/>
  <c r="H130" i="1"/>
  <c r="L130" i="1" s="1"/>
  <c r="H131" i="1"/>
  <c r="L131" i="1" s="1"/>
  <c r="H132" i="1"/>
  <c r="L132" i="1" s="1"/>
  <c r="H133" i="1"/>
  <c r="L133" i="1" s="1"/>
  <c r="H134" i="1"/>
  <c r="L134" i="1" s="1"/>
  <c r="H135" i="1"/>
  <c r="L135" i="1" s="1"/>
  <c r="H136" i="1"/>
  <c r="L136" i="1" s="1"/>
  <c r="H137" i="1"/>
  <c r="L137" i="1" s="1"/>
  <c r="H138" i="1"/>
  <c r="L138" i="1" s="1"/>
  <c r="H139" i="1"/>
  <c r="L139" i="1" s="1"/>
  <c r="H140" i="1"/>
  <c r="L140" i="1" s="1"/>
  <c r="H141" i="1"/>
  <c r="L141" i="1" s="1"/>
  <c r="H142" i="1"/>
  <c r="L142" i="1" s="1"/>
  <c r="H143" i="1"/>
  <c r="L143" i="1" s="1"/>
  <c r="H144" i="1"/>
  <c r="L144" i="1" s="1"/>
  <c r="H145" i="1"/>
  <c r="L145" i="1" s="1"/>
  <c r="H146" i="1"/>
  <c r="L146" i="1" s="1"/>
  <c r="H147" i="1"/>
  <c r="L147" i="1" s="1"/>
  <c r="H148" i="1"/>
  <c r="L148" i="1" s="1"/>
  <c r="H149" i="1"/>
  <c r="L149" i="1" s="1"/>
  <c r="H150" i="1"/>
  <c r="L150" i="1" s="1"/>
  <c r="H151" i="1"/>
  <c r="L151" i="1" s="1"/>
  <c r="H152" i="1"/>
  <c r="L152" i="1" s="1"/>
  <c r="H153" i="1"/>
  <c r="L153" i="1" s="1"/>
  <c r="H154" i="1"/>
  <c r="L154" i="1" s="1"/>
  <c r="H155" i="1"/>
  <c r="L155" i="1" s="1"/>
  <c r="H156" i="1"/>
  <c r="L156" i="1" s="1"/>
  <c r="H157" i="1"/>
  <c r="L157" i="1" s="1"/>
  <c r="H158" i="1"/>
  <c r="L158" i="1" s="1"/>
  <c r="H159" i="1"/>
  <c r="L159" i="1" s="1"/>
  <c r="H160" i="1"/>
  <c r="L160" i="1" s="1"/>
  <c r="H161" i="1"/>
  <c r="L161" i="1" s="1"/>
  <c r="H162" i="1"/>
  <c r="L162" i="1" s="1"/>
  <c r="H163" i="1"/>
  <c r="L163" i="1" s="1"/>
  <c r="H164" i="1"/>
  <c r="L164" i="1" s="1"/>
  <c r="H165" i="1"/>
  <c r="L165" i="1" s="1"/>
  <c r="H166" i="1"/>
  <c r="L166" i="1" s="1"/>
  <c r="H167" i="1"/>
  <c r="L167" i="1" s="1"/>
  <c r="H168" i="1"/>
  <c r="L168" i="1" s="1"/>
  <c r="H169" i="1"/>
  <c r="L169" i="1" s="1"/>
  <c r="H170" i="1"/>
  <c r="L170" i="1" s="1"/>
  <c r="H171" i="1"/>
  <c r="L171" i="1" s="1"/>
  <c r="H172" i="1"/>
  <c r="L172" i="1" s="1"/>
  <c r="H173" i="1"/>
  <c r="L173" i="1" s="1"/>
  <c r="H174" i="1"/>
  <c r="L174" i="1" s="1"/>
  <c r="H175" i="1"/>
  <c r="L175" i="1" s="1"/>
  <c r="H176" i="1"/>
  <c r="L176" i="1" s="1"/>
  <c r="H177" i="1"/>
  <c r="L177" i="1" s="1"/>
  <c r="H178" i="1"/>
  <c r="L178" i="1" s="1"/>
  <c r="H179" i="1"/>
  <c r="L179" i="1" s="1"/>
  <c r="H180" i="1"/>
  <c r="L180" i="1" s="1"/>
  <c r="H181" i="1"/>
  <c r="L181" i="1" s="1"/>
  <c r="H182" i="1"/>
  <c r="L182" i="1" s="1"/>
  <c r="H183" i="1"/>
  <c r="L183" i="1" s="1"/>
  <c r="H184" i="1"/>
  <c r="L184" i="1" s="1"/>
  <c r="H185" i="1"/>
  <c r="L185" i="1" s="1"/>
  <c r="H186" i="1"/>
  <c r="L186" i="1" s="1"/>
  <c r="H187" i="1"/>
  <c r="L187" i="1" s="1"/>
  <c r="H188" i="1"/>
  <c r="L188" i="1" s="1"/>
  <c r="H189" i="1"/>
  <c r="L189" i="1" s="1"/>
  <c r="H190" i="1"/>
  <c r="L190" i="1" s="1"/>
  <c r="H191" i="1"/>
  <c r="L191" i="1" s="1"/>
  <c r="H192" i="1"/>
  <c r="L192" i="1" s="1"/>
  <c r="H193" i="1"/>
  <c r="L193" i="1" s="1"/>
  <c r="H194" i="1"/>
  <c r="L194" i="1" s="1"/>
  <c r="H195" i="1"/>
  <c r="L195" i="1" s="1"/>
  <c r="H196" i="1"/>
  <c r="L196" i="1" s="1"/>
  <c r="H197" i="1"/>
  <c r="L197" i="1" s="1"/>
  <c r="H198" i="1"/>
  <c r="L198" i="1" s="1"/>
  <c r="H199" i="1"/>
  <c r="L199" i="1" s="1"/>
  <c r="H200" i="1"/>
  <c r="L200" i="1" s="1"/>
  <c r="H201" i="1"/>
  <c r="L201" i="1" s="1"/>
  <c r="H202" i="1"/>
  <c r="L202" i="1" s="1"/>
  <c r="H203" i="1"/>
  <c r="L203" i="1" s="1"/>
  <c r="H204" i="1"/>
  <c r="L204" i="1" s="1"/>
  <c r="H205" i="1"/>
  <c r="L205" i="1" s="1"/>
  <c r="H206" i="1"/>
  <c r="L206" i="1" s="1"/>
  <c r="H207" i="1"/>
  <c r="L207" i="1" s="1"/>
  <c r="H208" i="1"/>
  <c r="L208" i="1" s="1"/>
  <c r="H209" i="1"/>
  <c r="L209" i="1" s="1"/>
  <c r="H210" i="1"/>
  <c r="L210" i="1" s="1"/>
  <c r="H211" i="1"/>
  <c r="L211" i="1" s="1"/>
  <c r="H212" i="1"/>
  <c r="L212" i="1" s="1"/>
  <c r="H213" i="1"/>
  <c r="L213" i="1" s="1"/>
  <c r="H214" i="1"/>
  <c r="L214" i="1" s="1"/>
  <c r="H215" i="1"/>
  <c r="L215" i="1" s="1"/>
  <c r="H216" i="1"/>
  <c r="L216" i="1" s="1"/>
  <c r="H217" i="1"/>
  <c r="L217" i="1" s="1"/>
  <c r="H218" i="1"/>
  <c r="L218" i="1" s="1"/>
  <c r="H219" i="1"/>
  <c r="L219" i="1" s="1"/>
  <c r="H220" i="1"/>
  <c r="L220" i="1" s="1"/>
  <c r="H221" i="1"/>
  <c r="L221" i="1" s="1"/>
  <c r="H222" i="1"/>
  <c r="L222" i="1" s="1"/>
  <c r="H223" i="1"/>
  <c r="L223" i="1" s="1"/>
  <c r="H224" i="1"/>
  <c r="L224" i="1" s="1"/>
  <c r="H225" i="1"/>
  <c r="L225" i="1" s="1"/>
  <c r="H226" i="1"/>
  <c r="L226" i="1" s="1"/>
  <c r="H227" i="1"/>
  <c r="L227" i="1" s="1"/>
  <c r="H228" i="1"/>
  <c r="L228" i="1" s="1"/>
  <c r="H229" i="1"/>
  <c r="L229" i="1" s="1"/>
  <c r="H230" i="1"/>
  <c r="L230" i="1" s="1"/>
  <c r="H231" i="1"/>
  <c r="L231" i="1" s="1"/>
  <c r="H232" i="1"/>
  <c r="L232" i="1" s="1"/>
  <c r="H233" i="1"/>
  <c r="L233" i="1" s="1"/>
  <c r="H234" i="1"/>
  <c r="L234" i="1" s="1"/>
  <c r="H235" i="1"/>
  <c r="L235" i="1" s="1"/>
  <c r="H236" i="1"/>
  <c r="L236" i="1" s="1"/>
  <c r="H237" i="1"/>
  <c r="L237" i="1" s="1"/>
  <c r="H238" i="1"/>
  <c r="L238" i="1" s="1"/>
  <c r="H239" i="1"/>
  <c r="L239" i="1" s="1"/>
  <c r="H240" i="1"/>
  <c r="L240" i="1" s="1"/>
  <c r="H241" i="1"/>
  <c r="L241" i="1" s="1"/>
  <c r="H242" i="1"/>
  <c r="L242" i="1" s="1"/>
  <c r="H243" i="1"/>
  <c r="L243" i="1" s="1"/>
  <c r="H244" i="1"/>
  <c r="L244" i="1" s="1"/>
  <c r="H245" i="1"/>
  <c r="L245" i="1" s="1"/>
  <c r="H246" i="1"/>
  <c r="L246" i="1" s="1"/>
  <c r="H247" i="1"/>
  <c r="L247" i="1" s="1"/>
  <c r="H248" i="1"/>
  <c r="L248" i="1" s="1"/>
  <c r="H249" i="1"/>
  <c r="L249" i="1" s="1"/>
  <c r="H250" i="1"/>
  <c r="L250" i="1" s="1"/>
  <c r="H251" i="1"/>
  <c r="L251" i="1" s="1"/>
  <c r="H252" i="1"/>
  <c r="L252" i="1" s="1"/>
  <c r="H253" i="1"/>
  <c r="L253" i="1" s="1"/>
  <c r="H254" i="1"/>
  <c r="L254" i="1" s="1"/>
  <c r="H255" i="1"/>
  <c r="L255" i="1" s="1"/>
  <c r="H256" i="1"/>
  <c r="L256" i="1" s="1"/>
  <c r="H257" i="1"/>
  <c r="L257" i="1" s="1"/>
  <c r="H258" i="1"/>
  <c r="L258" i="1" s="1"/>
  <c r="H259" i="1"/>
  <c r="L259" i="1" s="1"/>
  <c r="H260" i="1"/>
  <c r="L260" i="1" s="1"/>
  <c r="H261" i="1"/>
  <c r="L261" i="1" s="1"/>
  <c r="H262" i="1"/>
  <c r="L262" i="1" s="1"/>
  <c r="H263" i="1"/>
  <c r="L263" i="1" s="1"/>
  <c r="H264" i="1"/>
  <c r="L264" i="1" s="1"/>
  <c r="H265" i="1"/>
  <c r="L265" i="1" s="1"/>
  <c r="H266" i="1"/>
  <c r="L266" i="1" s="1"/>
  <c r="H267" i="1"/>
  <c r="L267" i="1" s="1"/>
  <c r="H268" i="1"/>
  <c r="L268" i="1" s="1"/>
  <c r="H269" i="1"/>
  <c r="L269" i="1" s="1"/>
  <c r="H270" i="1"/>
  <c r="L270" i="1" s="1"/>
  <c r="H271" i="1"/>
  <c r="L271" i="1" s="1"/>
  <c r="H272" i="1"/>
  <c r="L272" i="1" s="1"/>
  <c r="H273" i="1"/>
  <c r="L273" i="1" s="1"/>
  <c r="H274" i="1"/>
  <c r="L274" i="1" s="1"/>
  <c r="H275" i="1"/>
  <c r="L275" i="1" s="1"/>
  <c r="H276" i="1"/>
  <c r="L276" i="1" s="1"/>
  <c r="H277" i="1"/>
  <c r="L277" i="1" s="1"/>
  <c r="H278" i="1"/>
  <c r="L278" i="1" s="1"/>
  <c r="H279" i="1"/>
  <c r="L279" i="1" s="1"/>
  <c r="H280" i="1"/>
  <c r="L280" i="1" s="1"/>
  <c r="H281" i="1"/>
  <c r="L281" i="1" s="1"/>
  <c r="H282" i="1"/>
  <c r="L282" i="1" s="1"/>
  <c r="H283" i="1"/>
  <c r="L283" i="1" s="1"/>
  <c r="H284" i="1"/>
  <c r="L284" i="1" s="1"/>
  <c r="H285" i="1"/>
  <c r="L285" i="1" s="1"/>
  <c r="H286" i="1"/>
  <c r="L286" i="1" s="1"/>
  <c r="H287" i="1"/>
  <c r="L287" i="1" s="1"/>
  <c r="H288" i="1"/>
  <c r="L288" i="1" s="1"/>
  <c r="H289" i="1"/>
  <c r="L289" i="1" s="1"/>
  <c r="H290" i="1"/>
  <c r="L290" i="1" s="1"/>
  <c r="H291" i="1"/>
  <c r="L291" i="1" s="1"/>
  <c r="H292" i="1"/>
  <c r="L292" i="1" s="1"/>
  <c r="H293" i="1"/>
  <c r="L293" i="1" s="1"/>
  <c r="H294" i="1"/>
  <c r="L294" i="1" s="1"/>
  <c r="H295" i="1"/>
  <c r="L295" i="1" s="1"/>
  <c r="H296" i="1"/>
  <c r="L296" i="1" s="1"/>
  <c r="H297" i="1"/>
  <c r="L297" i="1" s="1"/>
  <c r="H298" i="1"/>
  <c r="L298" i="1" s="1"/>
  <c r="H299" i="1"/>
  <c r="L299" i="1" s="1"/>
  <c r="H300" i="1"/>
  <c r="L300" i="1" s="1"/>
  <c r="H301" i="1"/>
  <c r="L301" i="1" s="1"/>
  <c r="H302" i="1"/>
  <c r="L302" i="1" s="1"/>
  <c r="H303" i="1"/>
  <c r="L303" i="1" s="1"/>
  <c r="H304" i="1"/>
  <c r="L304" i="1" s="1"/>
  <c r="H305" i="1"/>
  <c r="L305" i="1" s="1"/>
  <c r="H306" i="1"/>
  <c r="L306" i="1" s="1"/>
  <c r="H307" i="1"/>
  <c r="L307" i="1" s="1"/>
  <c r="H308" i="1"/>
  <c r="L308" i="1" s="1"/>
  <c r="H309" i="1"/>
  <c r="L309" i="1" s="1"/>
  <c r="H310" i="1"/>
  <c r="L310" i="1" s="1"/>
  <c r="H311" i="1"/>
  <c r="L311" i="1" s="1"/>
  <c r="H312" i="1"/>
  <c r="L312" i="1" s="1"/>
  <c r="H313" i="1"/>
  <c r="L313" i="1" s="1"/>
  <c r="H314" i="1"/>
  <c r="L314" i="1" s="1"/>
  <c r="H315" i="1"/>
  <c r="L315" i="1" s="1"/>
  <c r="H316" i="1"/>
  <c r="L316" i="1" s="1"/>
  <c r="H317" i="1"/>
  <c r="L317" i="1" s="1"/>
  <c r="H318" i="1"/>
  <c r="L318" i="1" s="1"/>
  <c r="H319" i="1"/>
  <c r="L319" i="1" s="1"/>
  <c r="H320" i="1"/>
  <c r="L320" i="1" s="1"/>
  <c r="H321" i="1"/>
  <c r="L321" i="1" s="1"/>
  <c r="H322" i="1"/>
  <c r="L322" i="1" s="1"/>
  <c r="H323" i="1"/>
  <c r="L323" i="1" s="1"/>
  <c r="H324" i="1"/>
  <c r="L324" i="1" s="1"/>
  <c r="H325" i="1"/>
  <c r="L325" i="1" s="1"/>
  <c r="H326" i="1"/>
  <c r="L326" i="1" s="1"/>
  <c r="H327" i="1"/>
  <c r="L327" i="1" s="1"/>
  <c r="H328" i="1"/>
  <c r="L328" i="1" s="1"/>
  <c r="H329" i="1"/>
  <c r="L329" i="1" s="1"/>
  <c r="H330" i="1"/>
  <c r="L330" i="1" s="1"/>
  <c r="H331" i="1"/>
  <c r="L331" i="1" s="1"/>
  <c r="H332" i="1"/>
  <c r="L332" i="1" s="1"/>
  <c r="H333" i="1"/>
  <c r="L333" i="1" s="1"/>
  <c r="H334" i="1"/>
  <c r="L334" i="1" s="1"/>
  <c r="H335" i="1"/>
  <c r="L335" i="1" s="1"/>
  <c r="H336" i="1"/>
  <c r="L336" i="1" s="1"/>
  <c r="H337" i="1"/>
  <c r="L337" i="1" s="1"/>
  <c r="H338" i="1"/>
  <c r="L338" i="1" s="1"/>
  <c r="H339" i="1"/>
  <c r="L339" i="1" s="1"/>
  <c r="H340" i="1"/>
  <c r="L340" i="1" s="1"/>
  <c r="H341" i="1"/>
  <c r="L341" i="1" s="1"/>
  <c r="H342" i="1"/>
  <c r="L342" i="1" s="1"/>
  <c r="H343" i="1"/>
  <c r="L343" i="1" s="1"/>
  <c r="H344" i="1"/>
  <c r="L344" i="1" s="1"/>
  <c r="H345" i="1"/>
  <c r="L345" i="1" s="1"/>
  <c r="H346" i="1"/>
  <c r="L346" i="1" s="1"/>
  <c r="H347" i="1"/>
  <c r="L347" i="1" s="1"/>
  <c r="H348" i="1"/>
  <c r="L348" i="1" s="1"/>
  <c r="H349" i="1"/>
  <c r="L349" i="1" s="1"/>
  <c r="H350" i="1"/>
  <c r="L350" i="1" s="1"/>
  <c r="H351" i="1"/>
  <c r="L351" i="1" s="1"/>
  <c r="H352" i="1"/>
  <c r="L352" i="1" s="1"/>
  <c r="H353" i="1"/>
  <c r="L353" i="1" s="1"/>
  <c r="H354" i="1"/>
  <c r="L354" i="1" s="1"/>
  <c r="H355" i="1"/>
  <c r="L355" i="1" s="1"/>
  <c r="H356" i="1"/>
  <c r="L356" i="1" s="1"/>
  <c r="H357" i="1"/>
  <c r="L357" i="1" s="1"/>
  <c r="H358" i="1"/>
  <c r="L358" i="1" s="1"/>
  <c r="H359" i="1"/>
  <c r="L359" i="1" s="1"/>
  <c r="H360" i="1"/>
  <c r="L360" i="1" s="1"/>
  <c r="H361" i="1"/>
  <c r="L361" i="1" s="1"/>
  <c r="H362" i="1"/>
  <c r="L362" i="1" s="1"/>
  <c r="H363" i="1"/>
  <c r="L363" i="1" s="1"/>
  <c r="H364" i="1"/>
  <c r="L364" i="1" s="1"/>
  <c r="H365" i="1"/>
  <c r="L365" i="1" s="1"/>
  <c r="H366" i="1"/>
  <c r="L366" i="1" s="1"/>
  <c r="H367" i="1"/>
  <c r="L367" i="1" s="1"/>
  <c r="H368" i="1"/>
  <c r="L368" i="1" s="1"/>
  <c r="H369" i="1"/>
  <c r="L369" i="1" s="1"/>
  <c r="H370" i="1"/>
  <c r="L370" i="1" s="1"/>
  <c r="H371" i="1"/>
  <c r="L371" i="1" s="1"/>
  <c r="H372" i="1"/>
  <c r="L372" i="1" s="1"/>
  <c r="H373" i="1"/>
  <c r="L373" i="1" s="1"/>
  <c r="H374" i="1"/>
  <c r="L374" i="1" s="1"/>
  <c r="H375" i="1"/>
  <c r="L375" i="1" s="1"/>
  <c r="H376" i="1"/>
  <c r="L376" i="1" s="1"/>
  <c r="H377" i="1"/>
  <c r="L377" i="1" s="1"/>
  <c r="H378" i="1"/>
  <c r="L378" i="1" s="1"/>
  <c r="H379" i="1"/>
  <c r="L379" i="1" s="1"/>
  <c r="H380" i="1"/>
  <c r="L380" i="1" s="1"/>
  <c r="H381" i="1"/>
  <c r="L381" i="1" s="1"/>
  <c r="H382" i="1"/>
  <c r="L382" i="1" s="1"/>
  <c r="H383" i="1"/>
  <c r="L383" i="1" s="1"/>
  <c r="H384" i="1"/>
  <c r="L384" i="1" s="1"/>
  <c r="H385" i="1"/>
  <c r="L385" i="1" s="1"/>
  <c r="H386" i="1"/>
  <c r="L386" i="1" s="1"/>
  <c r="H387" i="1"/>
  <c r="L387" i="1" s="1"/>
  <c r="H388" i="1"/>
  <c r="L388" i="1" s="1"/>
  <c r="H389" i="1"/>
  <c r="L389" i="1" s="1"/>
  <c r="H390" i="1"/>
  <c r="L390" i="1" s="1"/>
  <c r="H391" i="1"/>
  <c r="L391" i="1" s="1"/>
  <c r="H392" i="1"/>
  <c r="L392" i="1" s="1"/>
  <c r="H393" i="1"/>
  <c r="L393" i="1" s="1"/>
  <c r="H394" i="1"/>
  <c r="L394" i="1" s="1"/>
  <c r="H395" i="1"/>
  <c r="L395" i="1" s="1"/>
  <c r="H396" i="1"/>
  <c r="L396" i="1" s="1"/>
  <c r="H397" i="1"/>
  <c r="L397" i="1" s="1"/>
  <c r="H398" i="1"/>
  <c r="L398" i="1" s="1"/>
  <c r="H399" i="1"/>
  <c r="L399" i="1" s="1"/>
  <c r="H400" i="1"/>
  <c r="L400" i="1" s="1"/>
  <c r="H401" i="1"/>
  <c r="L401" i="1" s="1"/>
  <c r="H402" i="1"/>
  <c r="L402" i="1" s="1"/>
  <c r="H403" i="1"/>
  <c r="L403" i="1" s="1"/>
  <c r="H404" i="1"/>
  <c r="L404" i="1" s="1"/>
  <c r="H405" i="1"/>
  <c r="L405" i="1" s="1"/>
  <c r="H406" i="1"/>
  <c r="L406" i="1" s="1"/>
  <c r="H407" i="1"/>
  <c r="L407" i="1" s="1"/>
  <c r="H408" i="1"/>
  <c r="L408" i="1" s="1"/>
  <c r="H409" i="1"/>
  <c r="L409" i="1" s="1"/>
  <c r="H410" i="1"/>
  <c r="L410" i="1" s="1"/>
  <c r="H411" i="1"/>
  <c r="L411" i="1" s="1"/>
  <c r="H412" i="1"/>
  <c r="L412" i="1" s="1"/>
  <c r="H413" i="1"/>
  <c r="L413" i="1" s="1"/>
  <c r="H414" i="1"/>
  <c r="L414" i="1" s="1"/>
  <c r="H415" i="1"/>
  <c r="L415" i="1" s="1"/>
  <c r="H416" i="1"/>
  <c r="L416" i="1" s="1"/>
  <c r="H417" i="1"/>
  <c r="L417" i="1" s="1"/>
  <c r="H418" i="1"/>
  <c r="L418" i="1" s="1"/>
  <c r="H419" i="1"/>
  <c r="L419" i="1" s="1"/>
  <c r="H420" i="1"/>
  <c r="L420" i="1" s="1"/>
  <c r="H421" i="1"/>
  <c r="L421" i="1" s="1"/>
  <c r="H422" i="1"/>
  <c r="L422" i="1" s="1"/>
  <c r="H423" i="1"/>
  <c r="L423" i="1" s="1"/>
  <c r="H424" i="1"/>
  <c r="L424" i="1" s="1"/>
  <c r="H425" i="1"/>
  <c r="L425" i="1" s="1"/>
  <c r="H426" i="1"/>
  <c r="L426" i="1" s="1"/>
  <c r="H427" i="1"/>
  <c r="L427" i="1" s="1"/>
  <c r="H428" i="1"/>
  <c r="L428" i="1" s="1"/>
  <c r="H429" i="1"/>
  <c r="L429" i="1" s="1"/>
  <c r="H430" i="1"/>
  <c r="L430" i="1" s="1"/>
  <c r="H431" i="1"/>
  <c r="L431" i="1" s="1"/>
  <c r="H432" i="1"/>
  <c r="L432" i="1" s="1"/>
  <c r="H433" i="1"/>
  <c r="L433" i="1" s="1"/>
  <c r="H434" i="1"/>
  <c r="L434" i="1" s="1"/>
  <c r="H435" i="1"/>
  <c r="L435" i="1" s="1"/>
  <c r="H436" i="1"/>
  <c r="L436" i="1" s="1"/>
  <c r="H437" i="1"/>
  <c r="L437" i="1" s="1"/>
  <c r="H438" i="1"/>
  <c r="L438" i="1" s="1"/>
  <c r="H439" i="1"/>
  <c r="L439" i="1" s="1"/>
  <c r="H440" i="1"/>
  <c r="L440" i="1" s="1"/>
  <c r="H441" i="1"/>
  <c r="L441" i="1" s="1"/>
  <c r="H442" i="1"/>
  <c r="L442" i="1" s="1"/>
  <c r="H443" i="1"/>
  <c r="L443" i="1" s="1"/>
  <c r="H444" i="1"/>
  <c r="L444" i="1" s="1"/>
  <c r="H445" i="1"/>
  <c r="L445" i="1" s="1"/>
  <c r="H446" i="1"/>
  <c r="L446" i="1" s="1"/>
  <c r="H447" i="1"/>
  <c r="L447" i="1" s="1"/>
  <c r="H448" i="1"/>
  <c r="L448" i="1" s="1"/>
  <c r="H449" i="1"/>
  <c r="L449" i="1" s="1"/>
  <c r="H450" i="1"/>
  <c r="L450" i="1" s="1"/>
  <c r="H451" i="1"/>
  <c r="L451" i="1" s="1"/>
  <c r="H452" i="1"/>
  <c r="L452" i="1" s="1"/>
  <c r="H453" i="1"/>
  <c r="L453" i="1" s="1"/>
  <c r="H454" i="1"/>
  <c r="L454" i="1" s="1"/>
  <c r="H455" i="1"/>
  <c r="L455" i="1" s="1"/>
  <c r="H456" i="1"/>
  <c r="L456" i="1" s="1"/>
  <c r="H457" i="1"/>
  <c r="L457" i="1" s="1"/>
  <c r="H458" i="1"/>
  <c r="L458" i="1" s="1"/>
  <c r="H459" i="1"/>
  <c r="L459" i="1" s="1"/>
  <c r="H460" i="1"/>
  <c r="L460" i="1" s="1"/>
  <c r="H461" i="1"/>
  <c r="L461" i="1" s="1"/>
  <c r="H462" i="1"/>
  <c r="L462" i="1" s="1"/>
  <c r="H463" i="1"/>
  <c r="L463" i="1" s="1"/>
  <c r="H464" i="1"/>
  <c r="L464" i="1" s="1"/>
  <c r="H465" i="1"/>
  <c r="L465" i="1" s="1"/>
  <c r="H466" i="1"/>
  <c r="L466" i="1" s="1"/>
  <c r="H467" i="1"/>
  <c r="L467" i="1" s="1"/>
  <c r="H468" i="1"/>
  <c r="L468" i="1" s="1"/>
  <c r="H469" i="1"/>
  <c r="L469" i="1" s="1"/>
  <c r="H470" i="1"/>
  <c r="L470" i="1" s="1"/>
  <c r="H471" i="1"/>
  <c r="L471" i="1" s="1"/>
  <c r="H472" i="1"/>
  <c r="L472" i="1" s="1"/>
  <c r="H473" i="1"/>
  <c r="L473" i="1" s="1"/>
  <c r="H474" i="1"/>
  <c r="L474" i="1" s="1"/>
  <c r="H475" i="1"/>
  <c r="L475" i="1" s="1"/>
  <c r="H476" i="1"/>
  <c r="L476" i="1" s="1"/>
  <c r="H477" i="1"/>
  <c r="L477" i="1" s="1"/>
  <c r="H478" i="1"/>
  <c r="L478" i="1" s="1"/>
  <c r="H479" i="1"/>
  <c r="L479" i="1" s="1"/>
  <c r="H480" i="1"/>
  <c r="L480" i="1" s="1"/>
  <c r="H481" i="1"/>
  <c r="L481" i="1" s="1"/>
  <c r="H482" i="1"/>
  <c r="L482" i="1" s="1"/>
  <c r="H483" i="1"/>
  <c r="L483" i="1" s="1"/>
  <c r="H484" i="1"/>
  <c r="L484" i="1" s="1"/>
  <c r="H485" i="1"/>
  <c r="L485" i="1" s="1"/>
  <c r="H486" i="1"/>
  <c r="L486" i="1" s="1"/>
  <c r="H487" i="1"/>
  <c r="L487" i="1" s="1"/>
  <c r="H488" i="1"/>
  <c r="L488" i="1" s="1"/>
  <c r="H489" i="1"/>
  <c r="L489" i="1" s="1"/>
  <c r="H490" i="1"/>
  <c r="L490" i="1" s="1"/>
  <c r="H491" i="1"/>
  <c r="L491" i="1" s="1"/>
  <c r="H492" i="1"/>
  <c r="L492" i="1" s="1"/>
  <c r="H493" i="1"/>
  <c r="L493" i="1" s="1"/>
  <c r="H494" i="1"/>
  <c r="L494" i="1" s="1"/>
  <c r="H495" i="1"/>
  <c r="L495" i="1" s="1"/>
  <c r="H496" i="1"/>
  <c r="L496" i="1" s="1"/>
  <c r="H497" i="1"/>
  <c r="L497" i="1" s="1"/>
  <c r="H498" i="1"/>
  <c r="L498" i="1" s="1"/>
  <c r="H499" i="1"/>
  <c r="L499" i="1" s="1"/>
  <c r="H500" i="1"/>
  <c r="L500" i="1" s="1"/>
  <c r="H501" i="1"/>
  <c r="L501" i="1" s="1"/>
  <c r="H502" i="1"/>
  <c r="L502" i="1" s="1"/>
  <c r="H503" i="1"/>
  <c r="L503" i="1" s="1"/>
  <c r="H504" i="1"/>
  <c r="L504" i="1" s="1"/>
  <c r="H505" i="1"/>
  <c r="L505" i="1" s="1"/>
  <c r="H506" i="1"/>
  <c r="L506" i="1" s="1"/>
  <c r="H507" i="1"/>
  <c r="L507" i="1" s="1"/>
  <c r="H508" i="1"/>
  <c r="L508" i="1" s="1"/>
  <c r="H509" i="1"/>
  <c r="L509" i="1" s="1"/>
  <c r="H510" i="1"/>
  <c r="L510" i="1" s="1"/>
  <c r="H511" i="1"/>
  <c r="L511" i="1" s="1"/>
  <c r="H512" i="1"/>
  <c r="L512" i="1" s="1"/>
  <c r="H513" i="1"/>
  <c r="L513" i="1" s="1"/>
  <c r="H514" i="1"/>
  <c r="L514" i="1" s="1"/>
  <c r="H515" i="1"/>
  <c r="L515" i="1" s="1"/>
  <c r="H516" i="1"/>
  <c r="L516" i="1" s="1"/>
  <c r="H517" i="1"/>
  <c r="L517" i="1" s="1"/>
  <c r="H518" i="1"/>
  <c r="L518" i="1" s="1"/>
  <c r="H519" i="1"/>
  <c r="L519" i="1" s="1"/>
  <c r="H520" i="1"/>
  <c r="L520" i="1" s="1"/>
  <c r="H521" i="1"/>
  <c r="L521" i="1" s="1"/>
  <c r="H522" i="1"/>
  <c r="L522" i="1" s="1"/>
  <c r="H523" i="1"/>
  <c r="L523" i="1" s="1"/>
  <c r="H524" i="1"/>
  <c r="L524" i="1" s="1"/>
  <c r="H525" i="1"/>
  <c r="L525" i="1" s="1"/>
  <c r="H526" i="1"/>
  <c r="L526" i="1" s="1"/>
  <c r="H527" i="1"/>
  <c r="L527" i="1" s="1"/>
  <c r="H528" i="1"/>
  <c r="L528" i="1" s="1"/>
  <c r="H529" i="1"/>
  <c r="L529" i="1" s="1"/>
  <c r="H530" i="1"/>
  <c r="L530" i="1" s="1"/>
  <c r="H531" i="1"/>
  <c r="L531" i="1" s="1"/>
  <c r="H532" i="1"/>
  <c r="L532" i="1" s="1"/>
  <c r="H533" i="1"/>
  <c r="L533" i="1" s="1"/>
  <c r="H534" i="1"/>
  <c r="L534" i="1" s="1"/>
  <c r="H535" i="1"/>
  <c r="L535" i="1" s="1"/>
  <c r="H536" i="1"/>
  <c r="L536" i="1" s="1"/>
  <c r="H537" i="1"/>
  <c r="L537" i="1" s="1"/>
  <c r="H538" i="1"/>
  <c r="L538" i="1" s="1"/>
  <c r="H539" i="1"/>
  <c r="L539" i="1" s="1"/>
  <c r="H540" i="1"/>
  <c r="L540" i="1" s="1"/>
  <c r="H541" i="1"/>
  <c r="L541" i="1" s="1"/>
  <c r="H542" i="1"/>
  <c r="L542" i="1" s="1"/>
  <c r="H543" i="1"/>
  <c r="L543" i="1" s="1"/>
  <c r="H544" i="1"/>
  <c r="L544" i="1" s="1"/>
  <c r="H545" i="1"/>
  <c r="L545" i="1" s="1"/>
  <c r="H546" i="1"/>
  <c r="L546" i="1" s="1"/>
  <c r="H547" i="1"/>
  <c r="L547" i="1" s="1"/>
  <c r="H548" i="1"/>
  <c r="L548" i="1" s="1"/>
  <c r="H549" i="1"/>
  <c r="L549" i="1" s="1"/>
  <c r="H550" i="1"/>
  <c r="L550" i="1" s="1"/>
  <c r="H551" i="1"/>
  <c r="L551" i="1" s="1"/>
  <c r="H552" i="1"/>
  <c r="L552" i="1" s="1"/>
  <c r="H553" i="1"/>
  <c r="L553" i="1" s="1"/>
  <c r="H554" i="1"/>
  <c r="L554" i="1" s="1"/>
  <c r="H555" i="1"/>
  <c r="L555" i="1" s="1"/>
  <c r="H556" i="1"/>
  <c r="L556" i="1" s="1"/>
  <c r="H557" i="1"/>
  <c r="L557" i="1" s="1"/>
  <c r="H558" i="1"/>
  <c r="L558" i="1" s="1"/>
  <c r="H559" i="1"/>
  <c r="L559" i="1" s="1"/>
  <c r="H560" i="1"/>
  <c r="L560" i="1" s="1"/>
  <c r="H561" i="1"/>
  <c r="L561" i="1" s="1"/>
  <c r="H562" i="1"/>
  <c r="L562" i="1" s="1"/>
  <c r="H563" i="1"/>
  <c r="L563" i="1" s="1"/>
  <c r="H564" i="1"/>
  <c r="L564" i="1" s="1"/>
  <c r="H565" i="1"/>
  <c r="L565" i="1" s="1"/>
  <c r="H566" i="1"/>
  <c r="L566" i="1" s="1"/>
  <c r="H567" i="1"/>
  <c r="L567" i="1" s="1"/>
  <c r="H568" i="1"/>
  <c r="L568" i="1" s="1"/>
  <c r="H569" i="1"/>
  <c r="L569" i="1" s="1"/>
  <c r="H570" i="1"/>
  <c r="L570" i="1" s="1"/>
  <c r="H571" i="1"/>
  <c r="L571" i="1" s="1"/>
  <c r="H572" i="1"/>
  <c r="L572" i="1" s="1"/>
  <c r="H573" i="1"/>
  <c r="L573" i="1" s="1"/>
  <c r="H574" i="1"/>
  <c r="L574" i="1" s="1"/>
  <c r="H575" i="1"/>
  <c r="L575" i="1" s="1"/>
  <c r="H576" i="1"/>
  <c r="L576" i="1" s="1"/>
  <c r="H577" i="1"/>
  <c r="L577" i="1" s="1"/>
  <c r="H578" i="1"/>
  <c r="L578" i="1" s="1"/>
  <c r="H579" i="1"/>
  <c r="L579" i="1" s="1"/>
  <c r="H580" i="1"/>
  <c r="L580" i="1" s="1"/>
  <c r="H581" i="1"/>
  <c r="L581" i="1" s="1"/>
  <c r="H582" i="1"/>
  <c r="L582" i="1" s="1"/>
  <c r="H583" i="1"/>
  <c r="L583" i="1" s="1"/>
  <c r="H584" i="1"/>
  <c r="L584" i="1" s="1"/>
  <c r="H585" i="1"/>
  <c r="L585" i="1" s="1"/>
  <c r="H586" i="1"/>
  <c r="L586" i="1" s="1"/>
  <c r="H587" i="1"/>
  <c r="L587" i="1" s="1"/>
  <c r="H588" i="1"/>
  <c r="L588" i="1" s="1"/>
  <c r="H589" i="1"/>
  <c r="L589" i="1" s="1"/>
  <c r="H590" i="1"/>
  <c r="L590" i="1" s="1"/>
  <c r="H591" i="1"/>
  <c r="L591" i="1" s="1"/>
  <c r="H592" i="1"/>
  <c r="L592" i="1" s="1"/>
  <c r="H593" i="1"/>
  <c r="L593" i="1" s="1"/>
  <c r="H594" i="1"/>
  <c r="L594" i="1" s="1"/>
  <c r="H595" i="1"/>
  <c r="L595" i="1" s="1"/>
  <c r="H596" i="1"/>
  <c r="L596" i="1" s="1"/>
  <c r="H597" i="1"/>
  <c r="L597" i="1" s="1"/>
  <c r="H598" i="1"/>
  <c r="L598" i="1" s="1"/>
  <c r="H599" i="1"/>
  <c r="L599" i="1" s="1"/>
  <c r="H600" i="1"/>
  <c r="L600" i="1" s="1"/>
  <c r="H601" i="1"/>
  <c r="L601" i="1" s="1"/>
  <c r="H602" i="1"/>
  <c r="L602" i="1" s="1"/>
  <c r="H603" i="1"/>
  <c r="L603" i="1" s="1"/>
  <c r="H604" i="1"/>
  <c r="L604" i="1" s="1"/>
  <c r="H605" i="1"/>
  <c r="L605" i="1" s="1"/>
  <c r="H606" i="1"/>
  <c r="L606" i="1" s="1"/>
  <c r="H607" i="1"/>
  <c r="L607" i="1" s="1"/>
  <c r="H608" i="1"/>
  <c r="L608" i="1" s="1"/>
  <c r="H609" i="1"/>
  <c r="L609" i="1" s="1"/>
  <c r="H610" i="1"/>
  <c r="L610" i="1" s="1"/>
  <c r="H611" i="1"/>
  <c r="L611" i="1" s="1"/>
  <c r="H612" i="1"/>
  <c r="L612" i="1" s="1"/>
  <c r="H613" i="1"/>
  <c r="L613" i="1" s="1"/>
  <c r="H614" i="1"/>
  <c r="L614" i="1" s="1"/>
  <c r="H615" i="1"/>
  <c r="L615" i="1" s="1"/>
  <c r="H616" i="1"/>
  <c r="L616" i="1" s="1"/>
  <c r="H617" i="1"/>
  <c r="L617" i="1" s="1"/>
  <c r="H618" i="1"/>
  <c r="L618" i="1" s="1"/>
  <c r="H619" i="1"/>
  <c r="L619" i="1" s="1"/>
  <c r="H620" i="1"/>
  <c r="L620" i="1" s="1"/>
  <c r="H621" i="1"/>
  <c r="L621" i="1" s="1"/>
  <c r="H622" i="1"/>
  <c r="L622" i="1" s="1"/>
  <c r="H623" i="1"/>
  <c r="L623" i="1" s="1"/>
  <c r="H624" i="1"/>
  <c r="L624" i="1" s="1"/>
  <c r="H625" i="1"/>
  <c r="L625" i="1" s="1"/>
  <c r="H626" i="1"/>
  <c r="L626" i="1" s="1"/>
  <c r="H627" i="1"/>
  <c r="L627" i="1" s="1"/>
  <c r="H628" i="1"/>
  <c r="L628" i="1" s="1"/>
  <c r="H629" i="1"/>
  <c r="L629" i="1" s="1"/>
  <c r="H630" i="1"/>
  <c r="L630" i="1" s="1"/>
  <c r="H631" i="1"/>
  <c r="L631" i="1" s="1"/>
  <c r="H632" i="1"/>
  <c r="L632" i="1" s="1"/>
  <c r="H633" i="1"/>
  <c r="L633" i="1" s="1"/>
  <c r="H634" i="1"/>
  <c r="L634" i="1" s="1"/>
  <c r="H635" i="1"/>
  <c r="L635" i="1" s="1"/>
  <c r="H636" i="1"/>
  <c r="L636" i="1" s="1"/>
  <c r="H637" i="1"/>
  <c r="L637" i="1" s="1"/>
  <c r="H638" i="1"/>
  <c r="L638" i="1" s="1"/>
  <c r="H639" i="1"/>
  <c r="L639" i="1" s="1"/>
  <c r="H640" i="1"/>
  <c r="L640" i="1" s="1"/>
  <c r="H641" i="1"/>
  <c r="L641" i="1" s="1"/>
  <c r="H642" i="1"/>
  <c r="L642" i="1" s="1"/>
  <c r="H643" i="1"/>
  <c r="L643" i="1" s="1"/>
  <c r="H644" i="1"/>
  <c r="L644" i="1" s="1"/>
  <c r="H645" i="1"/>
  <c r="L645" i="1" s="1"/>
  <c r="H646" i="1"/>
  <c r="L646" i="1" s="1"/>
  <c r="H647" i="1"/>
  <c r="L647" i="1" s="1"/>
  <c r="H648" i="1"/>
  <c r="L648" i="1" s="1"/>
  <c r="H649" i="1"/>
  <c r="L649" i="1" s="1"/>
  <c r="H650" i="1"/>
  <c r="L650" i="1" s="1"/>
  <c r="H651" i="1"/>
  <c r="L651" i="1" s="1"/>
  <c r="H652" i="1"/>
  <c r="L652" i="1" s="1"/>
  <c r="H653" i="1"/>
  <c r="L653" i="1" s="1"/>
  <c r="H654" i="1"/>
  <c r="L654" i="1" s="1"/>
  <c r="H655" i="1"/>
  <c r="L655" i="1" s="1"/>
  <c r="H656" i="1"/>
  <c r="L656" i="1" s="1"/>
  <c r="H657" i="1"/>
  <c r="L657" i="1" s="1"/>
  <c r="H658" i="1"/>
  <c r="L658" i="1" s="1"/>
  <c r="H659" i="1"/>
  <c r="L659" i="1" s="1"/>
  <c r="H660" i="1"/>
  <c r="L660" i="1" s="1"/>
  <c r="H661" i="1"/>
  <c r="L661" i="1" s="1"/>
  <c r="H662" i="1"/>
  <c r="L662" i="1" s="1"/>
  <c r="H663" i="1"/>
  <c r="L663" i="1" s="1"/>
  <c r="H664" i="1"/>
  <c r="L664" i="1" s="1"/>
  <c r="H665" i="1"/>
  <c r="L665" i="1" s="1"/>
  <c r="H666" i="1"/>
  <c r="L666" i="1" s="1"/>
  <c r="H667" i="1"/>
  <c r="L667" i="1" s="1"/>
  <c r="H668" i="1"/>
  <c r="L668" i="1" s="1"/>
  <c r="H669" i="1"/>
  <c r="L669" i="1" s="1"/>
  <c r="H670" i="1"/>
  <c r="L670" i="1" s="1"/>
  <c r="H671" i="1"/>
  <c r="L671" i="1" s="1"/>
  <c r="H672" i="1"/>
  <c r="L672" i="1" s="1"/>
  <c r="H673" i="1"/>
  <c r="L673" i="1" s="1"/>
  <c r="H674" i="1"/>
  <c r="L674" i="1" s="1"/>
  <c r="H675" i="1"/>
  <c r="L675" i="1" s="1"/>
  <c r="H676" i="1"/>
  <c r="L676" i="1" s="1"/>
  <c r="H677" i="1"/>
  <c r="L677" i="1" s="1"/>
  <c r="H678" i="1"/>
  <c r="L678" i="1" s="1"/>
  <c r="H679" i="1"/>
  <c r="L679" i="1" s="1"/>
  <c r="H680" i="1"/>
  <c r="L680" i="1" s="1"/>
  <c r="H681" i="1"/>
  <c r="L681" i="1" s="1"/>
  <c r="H682" i="1"/>
  <c r="L682" i="1" s="1"/>
  <c r="H683" i="1"/>
  <c r="L683" i="1" s="1"/>
  <c r="H684" i="1"/>
  <c r="L684" i="1" s="1"/>
  <c r="H685" i="1"/>
  <c r="L685" i="1" s="1"/>
  <c r="H686" i="1"/>
  <c r="L686" i="1" s="1"/>
  <c r="H687" i="1"/>
  <c r="L687" i="1" s="1"/>
  <c r="H688" i="1"/>
  <c r="L688" i="1" s="1"/>
  <c r="H689" i="1"/>
  <c r="L689" i="1" s="1"/>
  <c r="H690" i="1"/>
  <c r="L690" i="1" s="1"/>
  <c r="H691" i="1"/>
  <c r="L691" i="1" s="1"/>
  <c r="H692" i="1"/>
  <c r="L692" i="1" s="1"/>
  <c r="H693" i="1"/>
  <c r="L693" i="1" s="1"/>
  <c r="H694" i="1"/>
  <c r="L694" i="1" s="1"/>
  <c r="H695" i="1"/>
  <c r="L695" i="1" s="1"/>
  <c r="H696" i="1"/>
  <c r="L696" i="1" s="1"/>
  <c r="H697" i="1"/>
  <c r="L697" i="1" s="1"/>
  <c r="H698" i="1"/>
  <c r="L698" i="1" s="1"/>
  <c r="H699" i="1"/>
  <c r="L699" i="1" s="1"/>
  <c r="H700" i="1"/>
  <c r="L700" i="1" s="1"/>
  <c r="H701" i="1"/>
  <c r="L701" i="1" s="1"/>
  <c r="H702" i="1"/>
  <c r="L702" i="1" s="1"/>
  <c r="H703" i="1"/>
  <c r="L703" i="1" s="1"/>
  <c r="H704" i="1"/>
  <c r="L704" i="1" s="1"/>
  <c r="H705" i="1"/>
  <c r="L705" i="1" s="1"/>
  <c r="H706" i="1"/>
  <c r="L706" i="1" s="1"/>
  <c r="H707" i="1"/>
  <c r="L707" i="1" s="1"/>
  <c r="H708" i="1"/>
  <c r="L708" i="1" s="1"/>
  <c r="H709" i="1"/>
  <c r="L709" i="1" s="1"/>
  <c r="H710" i="1"/>
  <c r="L710" i="1" s="1"/>
  <c r="H711" i="1"/>
  <c r="L711" i="1" s="1"/>
  <c r="H712" i="1"/>
  <c r="L712" i="1" s="1"/>
  <c r="H713" i="1"/>
  <c r="L713" i="1" s="1"/>
  <c r="H714" i="1"/>
  <c r="L714" i="1" s="1"/>
  <c r="H715" i="1"/>
  <c r="L715" i="1" s="1"/>
  <c r="H716" i="1"/>
  <c r="L716" i="1" s="1"/>
  <c r="H717" i="1"/>
  <c r="L717" i="1" s="1"/>
  <c r="H718" i="1"/>
  <c r="L718" i="1" s="1"/>
  <c r="H719" i="1"/>
  <c r="L719" i="1" s="1"/>
  <c r="H720" i="1"/>
  <c r="L720" i="1" s="1"/>
  <c r="H721" i="1"/>
  <c r="L721" i="1" s="1"/>
  <c r="H722" i="1"/>
  <c r="L722" i="1" s="1"/>
  <c r="H723" i="1"/>
  <c r="L723" i="1" s="1"/>
  <c r="H724" i="1"/>
  <c r="L724" i="1" s="1"/>
  <c r="H725" i="1"/>
  <c r="L725" i="1" s="1"/>
  <c r="H726" i="1"/>
  <c r="L726" i="1" s="1"/>
  <c r="H727" i="1"/>
  <c r="L727" i="1" s="1"/>
  <c r="H728" i="1"/>
  <c r="L728" i="1" s="1"/>
  <c r="H729" i="1"/>
  <c r="L729" i="1" s="1"/>
  <c r="H730" i="1"/>
  <c r="L730" i="1" s="1"/>
  <c r="H731" i="1"/>
  <c r="L731" i="1" s="1"/>
  <c r="H732" i="1"/>
  <c r="L732" i="1" s="1"/>
  <c r="H733" i="1"/>
  <c r="L733" i="1" s="1"/>
  <c r="H734" i="1"/>
  <c r="L734" i="1" s="1"/>
  <c r="H735" i="1"/>
  <c r="L735" i="1" s="1"/>
  <c r="H736" i="1"/>
  <c r="L736" i="1" s="1"/>
  <c r="H737" i="1"/>
  <c r="L737" i="1" s="1"/>
  <c r="H738" i="1"/>
  <c r="L738" i="1" s="1"/>
  <c r="H739" i="1"/>
  <c r="L739" i="1" s="1"/>
  <c r="H740" i="1"/>
  <c r="L740" i="1" s="1"/>
  <c r="H741" i="1"/>
  <c r="L741" i="1" s="1"/>
  <c r="H742" i="1"/>
  <c r="L742" i="1" s="1"/>
  <c r="H743" i="1"/>
  <c r="L743" i="1" s="1"/>
  <c r="H744" i="1"/>
  <c r="L744" i="1" s="1"/>
  <c r="H745" i="1"/>
  <c r="L745" i="1" s="1"/>
  <c r="H746" i="1"/>
  <c r="L746" i="1" s="1"/>
  <c r="H747" i="1"/>
  <c r="L747" i="1" s="1"/>
  <c r="H748" i="1"/>
  <c r="L748" i="1" s="1"/>
  <c r="H749" i="1"/>
  <c r="L749" i="1" s="1"/>
  <c r="H750" i="1"/>
  <c r="L750" i="1" s="1"/>
  <c r="H751" i="1"/>
  <c r="L751" i="1" s="1"/>
  <c r="H752" i="1"/>
  <c r="L752" i="1" s="1"/>
  <c r="H753" i="1"/>
  <c r="L753" i="1" s="1"/>
  <c r="H754" i="1"/>
  <c r="L754" i="1" s="1"/>
  <c r="H755" i="1"/>
  <c r="L755" i="1" s="1"/>
  <c r="H756" i="1"/>
  <c r="L756" i="1" s="1"/>
  <c r="H757" i="1"/>
  <c r="L757" i="1" s="1"/>
  <c r="H758" i="1"/>
  <c r="L758" i="1" s="1"/>
  <c r="H759" i="1"/>
  <c r="L759" i="1" s="1"/>
  <c r="H760" i="1"/>
  <c r="L760" i="1" s="1"/>
  <c r="H761" i="1"/>
  <c r="L761" i="1" s="1"/>
  <c r="H762" i="1"/>
  <c r="L762" i="1" s="1"/>
  <c r="H763" i="1"/>
  <c r="L763" i="1" s="1"/>
  <c r="H764" i="1"/>
  <c r="L764" i="1" s="1"/>
  <c r="H765" i="1"/>
  <c r="L765" i="1" s="1"/>
  <c r="H766" i="1"/>
  <c r="L766" i="1" s="1"/>
  <c r="H767" i="1"/>
  <c r="L767" i="1" s="1"/>
  <c r="H768" i="1"/>
  <c r="L768" i="1" s="1"/>
  <c r="H769" i="1"/>
  <c r="L769" i="1" s="1"/>
  <c r="H770" i="1"/>
  <c r="L770" i="1" s="1"/>
  <c r="H771" i="1"/>
  <c r="L771" i="1" s="1"/>
  <c r="H772" i="1"/>
  <c r="L772" i="1" s="1"/>
  <c r="H773" i="1"/>
  <c r="L773" i="1" s="1"/>
  <c r="H774" i="1"/>
  <c r="L774" i="1" s="1"/>
  <c r="H775" i="1"/>
  <c r="L775" i="1" s="1"/>
  <c r="H776" i="1"/>
  <c r="L776" i="1" s="1"/>
  <c r="H777" i="1"/>
  <c r="L777" i="1" s="1"/>
  <c r="H778" i="1"/>
  <c r="L778" i="1" s="1"/>
  <c r="H779" i="1"/>
  <c r="L779" i="1" s="1"/>
  <c r="H780" i="1"/>
  <c r="L780" i="1" s="1"/>
  <c r="H781" i="1"/>
  <c r="L781" i="1" s="1"/>
  <c r="H782" i="1"/>
  <c r="L782" i="1" s="1"/>
  <c r="H783" i="1"/>
  <c r="L783" i="1" s="1"/>
  <c r="H784" i="1"/>
  <c r="L784" i="1" s="1"/>
  <c r="H785" i="1"/>
  <c r="L785" i="1" s="1"/>
  <c r="H786" i="1"/>
  <c r="L786" i="1" s="1"/>
  <c r="H787" i="1"/>
  <c r="L787" i="1" s="1"/>
  <c r="H788" i="1"/>
  <c r="L788" i="1" s="1"/>
  <c r="H789" i="1"/>
  <c r="L789" i="1" s="1"/>
  <c r="H790" i="1"/>
  <c r="L790" i="1" s="1"/>
  <c r="H791" i="1"/>
  <c r="L791" i="1" s="1"/>
  <c r="H792" i="1"/>
  <c r="L792" i="1" s="1"/>
  <c r="H793" i="1"/>
  <c r="L793" i="1" s="1"/>
  <c r="H794" i="1"/>
  <c r="L794" i="1" s="1"/>
  <c r="H795" i="1"/>
  <c r="L795" i="1" s="1"/>
  <c r="H796" i="1"/>
  <c r="L796" i="1" s="1"/>
  <c r="H797" i="1"/>
  <c r="L797" i="1" s="1"/>
  <c r="H798" i="1"/>
  <c r="L798" i="1" s="1"/>
  <c r="H799" i="1"/>
  <c r="L799" i="1" s="1"/>
  <c r="H800" i="1"/>
  <c r="L800" i="1" s="1"/>
  <c r="H801" i="1"/>
  <c r="L801" i="1" s="1"/>
  <c r="H802" i="1"/>
  <c r="L802" i="1" s="1"/>
  <c r="H803" i="1"/>
  <c r="L803" i="1" s="1"/>
  <c r="H804" i="1"/>
  <c r="L804" i="1" s="1"/>
  <c r="H805" i="1"/>
  <c r="L805" i="1" s="1"/>
  <c r="H806" i="1"/>
  <c r="L806" i="1" s="1"/>
  <c r="H807" i="1"/>
  <c r="L807" i="1" s="1"/>
  <c r="H808" i="1"/>
  <c r="L808" i="1" s="1"/>
  <c r="H809" i="1"/>
  <c r="L809" i="1" s="1"/>
  <c r="H810" i="1"/>
  <c r="L810" i="1" s="1"/>
  <c r="H811" i="1"/>
  <c r="L811" i="1" s="1"/>
  <c r="H812" i="1"/>
  <c r="L812" i="1" s="1"/>
  <c r="H813" i="1"/>
  <c r="L813" i="1" s="1"/>
  <c r="H814" i="1"/>
  <c r="L814" i="1" s="1"/>
  <c r="H815" i="1"/>
  <c r="L815" i="1" s="1"/>
  <c r="H816" i="1"/>
  <c r="L816" i="1" s="1"/>
  <c r="H817" i="1"/>
  <c r="L817" i="1" s="1"/>
  <c r="H818" i="1"/>
  <c r="L818" i="1" s="1"/>
  <c r="H819" i="1"/>
  <c r="L819" i="1" s="1"/>
  <c r="H820" i="1"/>
  <c r="L820" i="1" s="1"/>
  <c r="H821" i="1"/>
  <c r="L821" i="1" s="1"/>
  <c r="H822" i="1"/>
  <c r="L822" i="1" s="1"/>
  <c r="H823" i="1"/>
  <c r="L823" i="1" s="1"/>
  <c r="H824" i="1"/>
  <c r="L824" i="1" s="1"/>
  <c r="H825" i="1"/>
  <c r="L825" i="1" s="1"/>
  <c r="H826" i="1"/>
  <c r="L826" i="1" s="1"/>
  <c r="H827" i="1"/>
  <c r="L827" i="1" s="1"/>
  <c r="H828" i="1"/>
  <c r="L828" i="1" s="1"/>
  <c r="H829" i="1"/>
  <c r="L829" i="1" s="1"/>
  <c r="H830" i="1"/>
  <c r="L830" i="1" s="1"/>
  <c r="H831" i="1"/>
  <c r="L831" i="1" s="1"/>
  <c r="H832" i="1"/>
  <c r="L832" i="1" s="1"/>
  <c r="H833" i="1"/>
  <c r="L833" i="1" s="1"/>
  <c r="H834" i="1"/>
  <c r="L834" i="1" s="1"/>
  <c r="H835" i="1"/>
  <c r="L835" i="1" s="1"/>
  <c r="H836" i="1"/>
  <c r="L836" i="1" s="1"/>
  <c r="H837" i="1"/>
  <c r="L837" i="1" s="1"/>
  <c r="H838" i="1"/>
  <c r="L838" i="1" s="1"/>
  <c r="H839" i="1"/>
  <c r="L839" i="1" s="1"/>
  <c r="H840" i="1"/>
  <c r="L840" i="1" s="1"/>
  <c r="H841" i="1"/>
  <c r="L841" i="1" s="1"/>
  <c r="H842" i="1"/>
  <c r="L842" i="1" s="1"/>
  <c r="H843" i="1"/>
  <c r="L843" i="1" s="1"/>
  <c r="H844" i="1"/>
  <c r="L844" i="1" s="1"/>
  <c r="H845" i="1"/>
  <c r="L845" i="1" s="1"/>
  <c r="H846" i="1"/>
  <c r="L846" i="1" s="1"/>
  <c r="H847" i="1"/>
  <c r="L847" i="1" s="1"/>
  <c r="H848" i="1"/>
  <c r="L848" i="1" s="1"/>
  <c r="H849" i="1"/>
  <c r="L849" i="1" s="1"/>
  <c r="H850" i="1"/>
  <c r="L850" i="1" s="1"/>
  <c r="H851" i="1"/>
  <c r="L851" i="1" s="1"/>
  <c r="H852" i="1"/>
  <c r="L852" i="1" s="1"/>
  <c r="H853" i="1"/>
  <c r="L853" i="1" s="1"/>
  <c r="H854" i="1"/>
  <c r="L854" i="1" s="1"/>
  <c r="H855" i="1"/>
  <c r="L855" i="1" s="1"/>
  <c r="H856" i="1"/>
  <c r="L856" i="1" s="1"/>
  <c r="H857" i="1"/>
  <c r="L857" i="1" s="1"/>
  <c r="H858" i="1"/>
  <c r="L858" i="1" s="1"/>
  <c r="H859" i="1"/>
  <c r="L859" i="1" s="1"/>
  <c r="H860" i="1"/>
  <c r="L860" i="1" s="1"/>
  <c r="H861" i="1"/>
  <c r="L861" i="1" s="1"/>
  <c r="H862" i="1"/>
  <c r="L862" i="1" s="1"/>
  <c r="H863" i="1"/>
  <c r="L863" i="1" s="1"/>
  <c r="H864" i="1"/>
  <c r="L864" i="1" s="1"/>
  <c r="H865" i="1"/>
  <c r="L865" i="1" s="1"/>
  <c r="H866" i="1"/>
  <c r="L866" i="1" s="1"/>
  <c r="H867" i="1"/>
  <c r="L867" i="1" s="1"/>
  <c r="H868" i="1"/>
  <c r="L868" i="1" s="1"/>
  <c r="H869" i="1"/>
  <c r="L869" i="1" s="1"/>
  <c r="H870" i="1"/>
  <c r="L870" i="1" s="1"/>
  <c r="H871" i="1"/>
  <c r="L871" i="1" s="1"/>
  <c r="H872" i="1"/>
  <c r="L872" i="1" s="1"/>
  <c r="H873" i="1"/>
  <c r="L873" i="1" s="1"/>
  <c r="H874" i="1"/>
  <c r="L874" i="1" s="1"/>
  <c r="H875" i="1"/>
  <c r="L875" i="1" s="1"/>
  <c r="H876" i="1"/>
  <c r="L876" i="1" s="1"/>
  <c r="H877" i="1"/>
  <c r="L877" i="1" s="1"/>
  <c r="H878" i="1"/>
  <c r="L878" i="1" s="1"/>
  <c r="H879" i="1"/>
  <c r="L879" i="1" s="1"/>
  <c r="H880" i="1"/>
  <c r="L880" i="1" s="1"/>
  <c r="H881" i="1"/>
  <c r="L881" i="1" s="1"/>
  <c r="H882" i="1"/>
  <c r="L882" i="1" s="1"/>
  <c r="H883" i="1"/>
  <c r="L883" i="1" s="1"/>
  <c r="H884" i="1"/>
  <c r="L884" i="1" s="1"/>
  <c r="H885" i="1"/>
  <c r="L885" i="1" s="1"/>
  <c r="H886" i="1"/>
  <c r="L886" i="1" s="1"/>
  <c r="H887" i="1"/>
  <c r="L887" i="1" s="1"/>
  <c r="H888" i="1"/>
  <c r="L888" i="1" s="1"/>
  <c r="H889" i="1"/>
  <c r="L889" i="1" s="1"/>
  <c r="H890" i="1"/>
  <c r="L890" i="1" s="1"/>
  <c r="H891" i="1"/>
  <c r="L891" i="1" s="1"/>
  <c r="H892" i="1"/>
  <c r="L892" i="1" s="1"/>
  <c r="H893" i="1"/>
  <c r="L893" i="1" s="1"/>
  <c r="H894" i="1"/>
  <c r="L894" i="1" s="1"/>
  <c r="H895" i="1"/>
  <c r="L895" i="1" s="1"/>
  <c r="H896" i="1"/>
  <c r="L896" i="1" s="1"/>
  <c r="H897" i="1"/>
  <c r="L897" i="1" s="1"/>
  <c r="H898" i="1"/>
  <c r="L898" i="1" s="1"/>
  <c r="H899" i="1"/>
  <c r="L899" i="1" s="1"/>
  <c r="H900" i="1"/>
  <c r="L900" i="1" s="1"/>
  <c r="H901" i="1"/>
  <c r="L901" i="1" s="1"/>
  <c r="H902" i="1"/>
  <c r="L902" i="1" s="1"/>
  <c r="H903" i="1"/>
  <c r="L903" i="1" s="1"/>
  <c r="H904" i="1"/>
  <c r="L904" i="1" s="1"/>
  <c r="H905" i="1"/>
  <c r="L905" i="1" s="1"/>
  <c r="H906" i="1"/>
  <c r="L906" i="1" s="1"/>
  <c r="H907" i="1"/>
  <c r="L907" i="1" s="1"/>
  <c r="H908" i="1"/>
  <c r="L908" i="1" s="1"/>
  <c r="H909" i="1"/>
  <c r="L909" i="1" s="1"/>
  <c r="H910" i="1"/>
  <c r="L910" i="1" s="1"/>
  <c r="H911" i="1"/>
  <c r="L911" i="1" s="1"/>
  <c r="H912" i="1"/>
  <c r="L912" i="1" s="1"/>
  <c r="H913" i="1"/>
  <c r="L913" i="1" s="1"/>
  <c r="H914" i="1"/>
  <c r="L914" i="1" s="1"/>
  <c r="H915" i="1"/>
  <c r="L915" i="1" s="1"/>
  <c r="H916" i="1"/>
  <c r="L916" i="1" s="1"/>
  <c r="H917" i="1"/>
  <c r="L917" i="1" s="1"/>
  <c r="H918" i="1"/>
  <c r="L918" i="1" s="1"/>
  <c r="H919" i="1"/>
  <c r="L919" i="1" s="1"/>
  <c r="H920" i="1"/>
  <c r="L920" i="1" s="1"/>
  <c r="H921" i="1"/>
  <c r="L921" i="1" s="1"/>
  <c r="H922" i="1"/>
  <c r="L922" i="1" s="1"/>
  <c r="H923" i="1"/>
  <c r="L923" i="1" s="1"/>
  <c r="H924" i="1"/>
  <c r="L924" i="1" s="1"/>
  <c r="H925" i="1"/>
  <c r="L925" i="1" s="1"/>
  <c r="H926" i="1"/>
  <c r="L926" i="1" s="1"/>
  <c r="H927" i="1"/>
  <c r="L927" i="1" s="1"/>
  <c r="H928" i="1"/>
  <c r="L928" i="1" s="1"/>
  <c r="H929" i="1"/>
  <c r="L929" i="1" s="1"/>
  <c r="H930" i="1"/>
  <c r="L930" i="1" s="1"/>
  <c r="H931" i="1"/>
  <c r="L931" i="1" s="1"/>
  <c r="H932" i="1"/>
  <c r="L932" i="1" s="1"/>
  <c r="H933" i="1"/>
  <c r="L933" i="1" s="1"/>
  <c r="H934" i="1"/>
  <c r="L934" i="1" s="1"/>
  <c r="H935" i="1"/>
  <c r="L935" i="1" s="1"/>
  <c r="H936" i="1"/>
  <c r="L936" i="1" s="1"/>
  <c r="H937" i="1"/>
  <c r="L937" i="1" s="1"/>
  <c r="H938" i="1"/>
  <c r="L938" i="1" s="1"/>
  <c r="H939" i="1"/>
  <c r="L939" i="1" s="1"/>
  <c r="H940" i="1"/>
  <c r="L940" i="1" s="1"/>
  <c r="H941" i="1"/>
  <c r="L941" i="1" s="1"/>
  <c r="H942" i="1"/>
  <c r="L942" i="1" s="1"/>
  <c r="H943" i="1"/>
  <c r="L943" i="1" s="1"/>
  <c r="H944" i="1"/>
  <c r="L944" i="1" s="1"/>
  <c r="H945" i="1"/>
  <c r="L945" i="1" s="1"/>
  <c r="H946" i="1"/>
  <c r="L946" i="1" s="1"/>
  <c r="H947" i="1"/>
  <c r="L947" i="1" s="1"/>
  <c r="H948" i="1"/>
  <c r="L948" i="1" s="1"/>
  <c r="H949" i="1"/>
  <c r="L949" i="1" s="1"/>
  <c r="H950" i="1"/>
  <c r="L950" i="1" s="1"/>
  <c r="H951" i="1"/>
  <c r="L951" i="1" s="1"/>
  <c r="H952" i="1"/>
  <c r="L952" i="1" s="1"/>
  <c r="H953" i="1"/>
  <c r="L953" i="1" s="1"/>
  <c r="H954" i="1"/>
  <c r="L954" i="1" s="1"/>
  <c r="H955" i="1"/>
  <c r="L955" i="1" s="1"/>
  <c r="H956" i="1"/>
  <c r="L956" i="1" s="1"/>
  <c r="H957" i="1"/>
  <c r="L957" i="1" s="1"/>
  <c r="H958" i="1"/>
  <c r="L958" i="1" s="1"/>
  <c r="H959" i="1"/>
  <c r="L959" i="1" s="1"/>
  <c r="H960" i="1"/>
  <c r="L960" i="1" s="1"/>
  <c r="H961" i="1"/>
  <c r="L961" i="1" s="1"/>
  <c r="H962" i="1"/>
  <c r="L962" i="1" s="1"/>
  <c r="H963" i="1"/>
  <c r="L963" i="1" s="1"/>
  <c r="H964" i="1"/>
  <c r="L964" i="1" s="1"/>
  <c r="H965" i="1"/>
  <c r="L965" i="1" s="1"/>
  <c r="H966" i="1"/>
  <c r="L966" i="1" s="1"/>
  <c r="H967" i="1"/>
  <c r="L967" i="1" s="1"/>
  <c r="H968" i="1"/>
  <c r="L968" i="1" s="1"/>
  <c r="H969" i="1"/>
  <c r="L969" i="1" s="1"/>
  <c r="H970" i="1"/>
  <c r="L970" i="1" s="1"/>
  <c r="H971" i="1"/>
  <c r="L971" i="1" s="1"/>
  <c r="H972" i="1"/>
  <c r="L972" i="1" s="1"/>
  <c r="H973" i="1"/>
  <c r="L973" i="1" s="1"/>
  <c r="H974" i="1"/>
  <c r="L974" i="1" s="1"/>
  <c r="H975" i="1"/>
  <c r="L975" i="1" s="1"/>
  <c r="H976" i="1"/>
  <c r="L976" i="1" s="1"/>
  <c r="H977" i="1"/>
  <c r="L977" i="1" s="1"/>
  <c r="H978" i="1"/>
  <c r="L978" i="1" s="1"/>
  <c r="H979" i="1"/>
  <c r="L979" i="1" s="1"/>
  <c r="H980" i="1"/>
  <c r="L980" i="1" s="1"/>
  <c r="H981" i="1"/>
  <c r="L981" i="1" s="1"/>
  <c r="H982" i="1"/>
  <c r="L982" i="1" s="1"/>
  <c r="H983" i="1"/>
  <c r="L983" i="1" s="1"/>
  <c r="H984" i="1"/>
  <c r="L984" i="1" s="1"/>
  <c r="H985" i="1"/>
  <c r="L985" i="1" s="1"/>
  <c r="H986" i="1"/>
  <c r="L986" i="1" s="1"/>
  <c r="H987" i="1"/>
  <c r="L987" i="1" s="1"/>
  <c r="H988" i="1"/>
  <c r="L988" i="1" s="1"/>
  <c r="H989" i="1"/>
  <c r="L989" i="1" s="1"/>
  <c r="H990" i="1"/>
  <c r="L990" i="1" s="1"/>
  <c r="H991" i="1"/>
  <c r="L991" i="1" s="1"/>
  <c r="H992" i="1"/>
  <c r="L992" i="1" s="1"/>
  <c r="H993" i="1"/>
  <c r="L993" i="1" s="1"/>
  <c r="H994" i="1"/>
  <c r="L994" i="1" s="1"/>
  <c r="H995" i="1"/>
  <c r="L995" i="1" s="1"/>
  <c r="H996" i="1"/>
  <c r="L996" i="1" s="1"/>
  <c r="H997" i="1"/>
  <c r="L997" i="1" s="1"/>
  <c r="H998" i="1"/>
  <c r="L998" i="1" s="1"/>
  <c r="H999" i="1"/>
  <c r="L999" i="1" s="1"/>
  <c r="H1000" i="1"/>
  <c r="L1000" i="1" s="1"/>
  <c r="H1001" i="1"/>
  <c r="L1001" i="1" s="1"/>
  <c r="H1002" i="1"/>
  <c r="L1002" i="1" s="1"/>
  <c r="H1003" i="1"/>
  <c r="L1003" i="1" s="1"/>
  <c r="H1004" i="1"/>
  <c r="L1004" i="1" s="1"/>
  <c r="H1005" i="1"/>
  <c r="L1005" i="1" s="1"/>
  <c r="H1006" i="1"/>
  <c r="L1006" i="1" s="1"/>
  <c r="H1007" i="1"/>
  <c r="L1007" i="1" s="1"/>
  <c r="H1008" i="1"/>
  <c r="L1008" i="1" s="1"/>
  <c r="H1009" i="1"/>
  <c r="L1009" i="1" s="1"/>
  <c r="H1010" i="1"/>
  <c r="L1010" i="1" s="1"/>
  <c r="H1011" i="1"/>
  <c r="L1011" i="1" s="1"/>
  <c r="H1012" i="1"/>
  <c r="L1012" i="1" s="1"/>
  <c r="H1013" i="1"/>
  <c r="L1013" i="1" s="1"/>
  <c r="H1014" i="1"/>
  <c r="L1014" i="1" s="1"/>
  <c r="H1015" i="1"/>
  <c r="L1015" i="1" s="1"/>
  <c r="H1016" i="1"/>
  <c r="L1016" i="1" s="1"/>
  <c r="H1017" i="1"/>
  <c r="L1017" i="1" s="1"/>
  <c r="H1018" i="1"/>
  <c r="L1018" i="1" s="1"/>
  <c r="H1019" i="1"/>
  <c r="L1019" i="1" s="1"/>
  <c r="H1020" i="1"/>
  <c r="L1020" i="1" s="1"/>
  <c r="H1021" i="1"/>
  <c r="L1021" i="1" s="1"/>
  <c r="H1022" i="1"/>
  <c r="L1022" i="1" s="1"/>
  <c r="H1023" i="1"/>
  <c r="L1023" i="1" s="1"/>
  <c r="H1024" i="1"/>
  <c r="L1024" i="1" s="1"/>
  <c r="H1025" i="1"/>
  <c r="L1025" i="1" s="1"/>
  <c r="H1026" i="1"/>
  <c r="L1026" i="1" s="1"/>
  <c r="H1027" i="1"/>
  <c r="L1027" i="1" s="1"/>
  <c r="H1028" i="1"/>
  <c r="L1028" i="1" s="1"/>
  <c r="H1029" i="1"/>
  <c r="L1029" i="1" s="1"/>
  <c r="H1030" i="1"/>
  <c r="L1030" i="1" s="1"/>
  <c r="H1031" i="1"/>
  <c r="L1031" i="1" s="1"/>
  <c r="H1032" i="1"/>
  <c r="L1032" i="1" s="1"/>
  <c r="H1033" i="1"/>
  <c r="L1033" i="1" s="1"/>
  <c r="H1034" i="1"/>
  <c r="L1034" i="1" s="1"/>
  <c r="H1035" i="1"/>
  <c r="L1035" i="1" s="1"/>
  <c r="H1036" i="1"/>
  <c r="L1036" i="1" s="1"/>
  <c r="H1037" i="1"/>
  <c r="L1037" i="1" s="1"/>
  <c r="H1038" i="1"/>
  <c r="L1038" i="1" s="1"/>
  <c r="H1039" i="1"/>
  <c r="L1039" i="1" s="1"/>
  <c r="H1040" i="1"/>
  <c r="L1040" i="1" s="1"/>
  <c r="H1041" i="1"/>
  <c r="L1041" i="1" s="1"/>
  <c r="H1042" i="1"/>
  <c r="L1042" i="1" s="1"/>
  <c r="H1043" i="1"/>
  <c r="L1043" i="1" s="1"/>
  <c r="H1044" i="1"/>
  <c r="L1044" i="1" s="1"/>
  <c r="H1045" i="1"/>
  <c r="L1045" i="1" s="1"/>
  <c r="H1046" i="1"/>
  <c r="L1046" i="1" s="1"/>
  <c r="H1047" i="1"/>
  <c r="L1047" i="1" s="1"/>
  <c r="H1048" i="1"/>
  <c r="L1048" i="1" s="1"/>
  <c r="H1049" i="1"/>
  <c r="L1049" i="1" s="1"/>
  <c r="H1050" i="1"/>
  <c r="L1050" i="1" s="1"/>
  <c r="H1051" i="1"/>
  <c r="L1051" i="1" s="1"/>
  <c r="H1052" i="1"/>
  <c r="L1052" i="1" s="1"/>
  <c r="H1053" i="1"/>
  <c r="L1053" i="1" s="1"/>
  <c r="H1054" i="1"/>
  <c r="L1054" i="1" s="1"/>
  <c r="H1055" i="1"/>
  <c r="L1055" i="1" s="1"/>
  <c r="H1056" i="1"/>
  <c r="L1056" i="1" s="1"/>
  <c r="H1057" i="1"/>
  <c r="L1057" i="1" s="1"/>
  <c r="H1058" i="1"/>
  <c r="L1058" i="1" s="1"/>
  <c r="H1059" i="1"/>
  <c r="L1059" i="1" s="1"/>
  <c r="H1060" i="1"/>
  <c r="L1060" i="1" s="1"/>
  <c r="H1061" i="1"/>
  <c r="L1061" i="1" s="1"/>
  <c r="H1062" i="1"/>
  <c r="L1062" i="1" s="1"/>
  <c r="H1063" i="1"/>
  <c r="L1063" i="1" s="1"/>
  <c r="H1064" i="1"/>
  <c r="L1064" i="1" s="1"/>
  <c r="H1065" i="1"/>
  <c r="L1065" i="1" s="1"/>
  <c r="H1066" i="1"/>
  <c r="L1066" i="1" s="1"/>
  <c r="H1067" i="1"/>
  <c r="L1067" i="1" s="1"/>
  <c r="H1068" i="1"/>
  <c r="L1068" i="1" s="1"/>
  <c r="H1069" i="1"/>
  <c r="L1069" i="1" s="1"/>
  <c r="H1070" i="1"/>
  <c r="L1070" i="1" s="1"/>
  <c r="H1071" i="1"/>
  <c r="L1071" i="1" s="1"/>
  <c r="H1072" i="1"/>
  <c r="L1072" i="1" s="1"/>
  <c r="H1073" i="1"/>
  <c r="L1073" i="1" s="1"/>
  <c r="H1074" i="1"/>
  <c r="L1074" i="1" s="1"/>
  <c r="H1075" i="1"/>
  <c r="L1075" i="1" s="1"/>
  <c r="H1076" i="1"/>
  <c r="L1076" i="1" s="1"/>
  <c r="H1077" i="1"/>
  <c r="L1077" i="1" s="1"/>
  <c r="H1078" i="1"/>
  <c r="L1078" i="1" s="1"/>
  <c r="H1079" i="1"/>
  <c r="L1079" i="1" s="1"/>
  <c r="H1080" i="1"/>
  <c r="L1080" i="1" s="1"/>
  <c r="H1081" i="1"/>
  <c r="L1081" i="1" s="1"/>
  <c r="H1082" i="1"/>
  <c r="L1082" i="1" s="1"/>
  <c r="H1083" i="1"/>
  <c r="L1083" i="1" s="1"/>
  <c r="H1084" i="1"/>
  <c r="L1084" i="1" s="1"/>
  <c r="H1085" i="1"/>
  <c r="L1085" i="1" s="1"/>
  <c r="H1086" i="1"/>
  <c r="L1086" i="1" s="1"/>
  <c r="H1087" i="1"/>
  <c r="L1087" i="1" s="1"/>
  <c r="H1088" i="1"/>
  <c r="L1088" i="1" s="1"/>
  <c r="H1089" i="1"/>
  <c r="L1089" i="1" s="1"/>
  <c r="H1090" i="1"/>
  <c r="L1090" i="1" s="1"/>
  <c r="H1091" i="1"/>
  <c r="L1091" i="1" s="1"/>
  <c r="H1092" i="1"/>
  <c r="L1092" i="1" s="1"/>
  <c r="H1093" i="1"/>
  <c r="L1093" i="1" s="1"/>
  <c r="H1094" i="1"/>
  <c r="L1094" i="1" s="1"/>
  <c r="H1095" i="1"/>
  <c r="L1095" i="1" s="1"/>
  <c r="H1096" i="1"/>
  <c r="L1096" i="1" s="1"/>
  <c r="H1097" i="1"/>
  <c r="L1097" i="1" s="1"/>
  <c r="H1098" i="1"/>
  <c r="L1098" i="1" s="1"/>
  <c r="H1099" i="1"/>
  <c r="L1099" i="1" s="1"/>
  <c r="H1100" i="1"/>
  <c r="L1100" i="1" s="1"/>
  <c r="H1101" i="1"/>
  <c r="L1101" i="1" s="1"/>
  <c r="H1102" i="1"/>
  <c r="L1102" i="1" s="1"/>
  <c r="H1103" i="1"/>
  <c r="L1103" i="1" s="1"/>
  <c r="H1104" i="1"/>
  <c r="L1104" i="1" s="1"/>
  <c r="H1105" i="1"/>
  <c r="L1105" i="1" s="1"/>
  <c r="H1106" i="1"/>
  <c r="L1106" i="1" s="1"/>
  <c r="H1107" i="1"/>
  <c r="L1107" i="1" s="1"/>
  <c r="H1108" i="1"/>
  <c r="L1108" i="1" s="1"/>
  <c r="H1109" i="1"/>
  <c r="L1109" i="1" s="1"/>
  <c r="H1110" i="1"/>
  <c r="L1110" i="1" s="1"/>
  <c r="H1111" i="1"/>
  <c r="L1111" i="1" s="1"/>
  <c r="H1112" i="1"/>
  <c r="L1112" i="1" s="1"/>
  <c r="H1113" i="1"/>
  <c r="L1113" i="1" s="1"/>
  <c r="H1114" i="1"/>
  <c r="L1114" i="1" s="1"/>
  <c r="H1115" i="1"/>
  <c r="L1115" i="1" s="1"/>
  <c r="H1116" i="1"/>
  <c r="L1116" i="1" s="1"/>
  <c r="H1117" i="1"/>
  <c r="L1117" i="1" s="1"/>
  <c r="H1118" i="1"/>
  <c r="L1118" i="1" s="1"/>
  <c r="H1119" i="1"/>
  <c r="L1119" i="1" s="1"/>
  <c r="H1120" i="1"/>
  <c r="L1120" i="1" s="1"/>
  <c r="H1121" i="1"/>
  <c r="L1121" i="1" s="1"/>
  <c r="H1122" i="1"/>
  <c r="L1122" i="1" s="1"/>
  <c r="H1123" i="1"/>
  <c r="L1123" i="1" s="1"/>
  <c r="H1124" i="1"/>
  <c r="L1124" i="1" s="1"/>
  <c r="H1125" i="1"/>
  <c r="L1125" i="1" s="1"/>
  <c r="H1126" i="1"/>
  <c r="L1126" i="1" s="1"/>
  <c r="H1127" i="1"/>
  <c r="L1127" i="1" s="1"/>
  <c r="H1128" i="1"/>
  <c r="L1128" i="1" s="1"/>
  <c r="H1129" i="1"/>
  <c r="L1129" i="1" s="1"/>
  <c r="H1130" i="1"/>
  <c r="L1130" i="1" s="1"/>
  <c r="H1131" i="1"/>
  <c r="L1131" i="1" s="1"/>
  <c r="H1132" i="1"/>
  <c r="L1132" i="1" s="1"/>
  <c r="H1133" i="1"/>
  <c r="L1133" i="1" s="1"/>
  <c r="H1134" i="1"/>
  <c r="L1134" i="1" s="1"/>
  <c r="H1135" i="1"/>
  <c r="L1135" i="1" s="1"/>
  <c r="H1136" i="1"/>
  <c r="L1136" i="1" s="1"/>
  <c r="H1137" i="1"/>
  <c r="L1137" i="1" s="1"/>
  <c r="H1138" i="1"/>
  <c r="L1138" i="1" s="1"/>
  <c r="H1139" i="1"/>
  <c r="L1139" i="1" s="1"/>
  <c r="H1140" i="1"/>
  <c r="L1140" i="1" s="1"/>
  <c r="H1141" i="1"/>
  <c r="L1141" i="1" s="1"/>
  <c r="H1142" i="1"/>
  <c r="L1142" i="1" s="1"/>
  <c r="H1143" i="1"/>
  <c r="L1143" i="1" s="1"/>
  <c r="H1144" i="1"/>
  <c r="L1144" i="1" s="1"/>
  <c r="H1145" i="1"/>
  <c r="L1145" i="1" s="1"/>
  <c r="H1146" i="1"/>
  <c r="L1146" i="1" s="1"/>
  <c r="H1147" i="1"/>
  <c r="L1147" i="1" s="1"/>
  <c r="H1148" i="1"/>
  <c r="L1148" i="1" s="1"/>
  <c r="H1149" i="1"/>
  <c r="L1149" i="1" s="1"/>
  <c r="H1150" i="1"/>
  <c r="L1150" i="1" s="1"/>
  <c r="H1151" i="1"/>
  <c r="L1151" i="1" s="1"/>
  <c r="H1152" i="1"/>
  <c r="L1152" i="1" s="1"/>
  <c r="H1153" i="1"/>
  <c r="L1153" i="1" s="1"/>
  <c r="H1154" i="1"/>
  <c r="L1154" i="1" s="1"/>
  <c r="H1155" i="1"/>
  <c r="L1155" i="1" s="1"/>
  <c r="H1156" i="1"/>
  <c r="L1156" i="1" s="1"/>
  <c r="H1157" i="1"/>
  <c r="L1157" i="1" s="1"/>
  <c r="H1158" i="1"/>
  <c r="L1158" i="1" s="1"/>
  <c r="H1159" i="1"/>
  <c r="L1159" i="1" s="1"/>
  <c r="H1160" i="1"/>
  <c r="L1160" i="1" s="1"/>
  <c r="H1161" i="1"/>
  <c r="L1161" i="1" s="1"/>
  <c r="H1162" i="1"/>
  <c r="L1162" i="1" s="1"/>
  <c r="H1163" i="1"/>
  <c r="L1163" i="1" s="1"/>
  <c r="H1164" i="1"/>
  <c r="L1164" i="1" s="1"/>
  <c r="H1165" i="1"/>
  <c r="L1165" i="1" s="1"/>
  <c r="H1166" i="1"/>
  <c r="L1166" i="1" s="1"/>
  <c r="H1167" i="1"/>
  <c r="L1167" i="1" s="1"/>
  <c r="H1168" i="1"/>
  <c r="L1168" i="1" s="1"/>
  <c r="H1169" i="1"/>
  <c r="L1169" i="1" s="1"/>
  <c r="H1170" i="1"/>
  <c r="L1170" i="1" s="1"/>
  <c r="H1171" i="1"/>
  <c r="L1171" i="1" s="1"/>
  <c r="H1172" i="1"/>
  <c r="L1172" i="1" s="1"/>
  <c r="H1173" i="1"/>
  <c r="L1173" i="1" s="1"/>
  <c r="H1174" i="1"/>
  <c r="L1174" i="1" s="1"/>
  <c r="H1175" i="1"/>
  <c r="L1175" i="1" s="1"/>
  <c r="H1176" i="1"/>
  <c r="L1176" i="1" s="1"/>
  <c r="H1177" i="1"/>
  <c r="L1177" i="1" s="1"/>
  <c r="H1178" i="1"/>
  <c r="L1178" i="1" s="1"/>
  <c r="H1179" i="1"/>
  <c r="L1179" i="1" s="1"/>
  <c r="H1180" i="1"/>
  <c r="L1180" i="1" s="1"/>
  <c r="H1181" i="1"/>
  <c r="L1181" i="1" s="1"/>
  <c r="H1182" i="1"/>
  <c r="L1182" i="1" s="1"/>
  <c r="H1183" i="1"/>
  <c r="L1183" i="1" s="1"/>
  <c r="H1184" i="1"/>
  <c r="L1184" i="1" s="1"/>
  <c r="H1185" i="1"/>
  <c r="L1185" i="1" s="1"/>
  <c r="H1186" i="1"/>
  <c r="L1186" i="1" s="1"/>
  <c r="H1187" i="1"/>
  <c r="L1187" i="1" s="1"/>
  <c r="H1188" i="1"/>
  <c r="L1188" i="1" s="1"/>
  <c r="H1189" i="1"/>
  <c r="L1189" i="1" s="1"/>
  <c r="H1190" i="1"/>
  <c r="L1190" i="1" s="1"/>
  <c r="H1191" i="1"/>
  <c r="L1191" i="1" s="1"/>
  <c r="H1192" i="1"/>
  <c r="L1192" i="1" s="1"/>
  <c r="H1193" i="1"/>
  <c r="L1193" i="1" s="1"/>
  <c r="H1194" i="1"/>
  <c r="L1194" i="1" s="1"/>
  <c r="H1195" i="1"/>
  <c r="L1195" i="1" s="1"/>
  <c r="H1196" i="1"/>
  <c r="L1196" i="1" s="1"/>
  <c r="H1197" i="1"/>
  <c r="L1197" i="1" s="1"/>
  <c r="H1198" i="1"/>
  <c r="L1198" i="1" s="1"/>
  <c r="H1199" i="1"/>
  <c r="L1199" i="1" s="1"/>
  <c r="H1200" i="1"/>
  <c r="L1200" i="1" s="1"/>
  <c r="H1201" i="1"/>
  <c r="L1201" i="1" s="1"/>
  <c r="H1202" i="1"/>
  <c r="L1202" i="1" s="1"/>
  <c r="H1203" i="1"/>
  <c r="L1203" i="1" s="1"/>
  <c r="H1204" i="1"/>
  <c r="L1204" i="1" s="1"/>
  <c r="H1205" i="1"/>
  <c r="L1205" i="1" s="1"/>
  <c r="H1206" i="1"/>
  <c r="L1206" i="1" s="1"/>
  <c r="H1207" i="1"/>
  <c r="L1207" i="1" s="1"/>
  <c r="H1208" i="1"/>
  <c r="L1208" i="1" s="1"/>
  <c r="H1209" i="1"/>
  <c r="L1209" i="1" s="1"/>
  <c r="H1210" i="1"/>
  <c r="L1210" i="1" s="1"/>
  <c r="H1211" i="1"/>
  <c r="L1211" i="1" s="1"/>
  <c r="H1212" i="1"/>
  <c r="L1212" i="1" s="1"/>
  <c r="H1213" i="1"/>
  <c r="L1213" i="1" s="1"/>
  <c r="H1214" i="1"/>
  <c r="L1214" i="1" s="1"/>
  <c r="H1215" i="1"/>
  <c r="L1215" i="1" s="1"/>
  <c r="H1216" i="1"/>
  <c r="L1216" i="1" s="1"/>
  <c r="H1217" i="1"/>
  <c r="L1217" i="1" s="1"/>
  <c r="H1218" i="1"/>
  <c r="L1218" i="1" s="1"/>
  <c r="H1219" i="1"/>
  <c r="L1219" i="1" s="1"/>
  <c r="H1220" i="1"/>
  <c r="L1220" i="1" s="1"/>
  <c r="H1221" i="1"/>
  <c r="L1221" i="1" s="1"/>
  <c r="H1222" i="1"/>
  <c r="L1222" i="1" s="1"/>
  <c r="H1223" i="1"/>
  <c r="L1223" i="1" s="1"/>
  <c r="H1224" i="1"/>
  <c r="L1224" i="1" s="1"/>
  <c r="H1225" i="1"/>
  <c r="L1225" i="1" s="1"/>
  <c r="H1226" i="1"/>
  <c r="L1226" i="1" s="1"/>
  <c r="H1227" i="1"/>
  <c r="L1227" i="1" s="1"/>
  <c r="H1228" i="1"/>
  <c r="L1228" i="1" s="1"/>
  <c r="H1229" i="1"/>
  <c r="L1229" i="1" s="1"/>
  <c r="H1230" i="1"/>
  <c r="L1230" i="1" s="1"/>
  <c r="H1231" i="1"/>
  <c r="L1231" i="1" s="1"/>
  <c r="H1232" i="1"/>
  <c r="L1232" i="1" s="1"/>
  <c r="H1233" i="1"/>
  <c r="L1233" i="1" s="1"/>
  <c r="H1234" i="1"/>
  <c r="L1234" i="1" s="1"/>
  <c r="H1235" i="1"/>
  <c r="L1235" i="1" s="1"/>
  <c r="H1236" i="1"/>
  <c r="L1236" i="1" s="1"/>
  <c r="H1237" i="1"/>
  <c r="L1237" i="1" s="1"/>
  <c r="H1238" i="1"/>
  <c r="L1238" i="1" s="1"/>
  <c r="H1239" i="1"/>
  <c r="L1239" i="1" s="1"/>
  <c r="H1240" i="1"/>
  <c r="L1240" i="1" s="1"/>
  <c r="H1241" i="1"/>
  <c r="L1241" i="1" s="1"/>
  <c r="H1242" i="1"/>
  <c r="L1242" i="1" s="1"/>
  <c r="H1243" i="1"/>
  <c r="L1243" i="1" s="1"/>
  <c r="H1244" i="1"/>
  <c r="L1244" i="1" s="1"/>
  <c r="H1245" i="1"/>
  <c r="L1245" i="1" s="1"/>
  <c r="H1246" i="1"/>
  <c r="L1246" i="1" s="1"/>
  <c r="H1247" i="1"/>
  <c r="L1247" i="1" s="1"/>
  <c r="H1248" i="1"/>
  <c r="L1248" i="1" s="1"/>
  <c r="H1249" i="1"/>
  <c r="L1249" i="1" s="1"/>
  <c r="H1250" i="1"/>
  <c r="L1250" i="1" s="1"/>
  <c r="H1251" i="1"/>
  <c r="L1251" i="1" s="1"/>
  <c r="H1252" i="1"/>
  <c r="L1252" i="1" s="1"/>
  <c r="H1253" i="1"/>
  <c r="L1253" i="1" s="1"/>
  <c r="H1254" i="1"/>
  <c r="L1254" i="1" s="1"/>
  <c r="H1255" i="1"/>
  <c r="L1255" i="1" s="1"/>
  <c r="H1256" i="1"/>
  <c r="L1256" i="1" s="1"/>
  <c r="H1257" i="1"/>
  <c r="L1257" i="1" s="1"/>
  <c r="H1258" i="1"/>
  <c r="L1258" i="1" s="1"/>
  <c r="H1259" i="1"/>
  <c r="L1259" i="1" s="1"/>
  <c r="H1260" i="1"/>
  <c r="L1260" i="1" s="1"/>
  <c r="H1261" i="1"/>
  <c r="L1261" i="1" s="1"/>
  <c r="H1262" i="1"/>
  <c r="L1262" i="1" s="1"/>
  <c r="H1263" i="1"/>
  <c r="L1263" i="1" s="1"/>
  <c r="H1264" i="1"/>
  <c r="L1264" i="1" s="1"/>
  <c r="H1265" i="1"/>
  <c r="L1265" i="1" s="1"/>
  <c r="H1266" i="1"/>
  <c r="L1266" i="1" s="1"/>
  <c r="H1267" i="1"/>
  <c r="L1267" i="1" s="1"/>
  <c r="H1268" i="1"/>
  <c r="L1268" i="1" s="1"/>
  <c r="H1269" i="1"/>
  <c r="L1269" i="1" s="1"/>
  <c r="H1270" i="1"/>
  <c r="L1270" i="1" s="1"/>
  <c r="H1271" i="1"/>
  <c r="L1271" i="1" s="1"/>
  <c r="H1272" i="1"/>
  <c r="L1272" i="1" s="1"/>
  <c r="H1273" i="1"/>
  <c r="L1273" i="1" s="1"/>
  <c r="H1274" i="1"/>
  <c r="L1274" i="1" s="1"/>
  <c r="H1275" i="1"/>
  <c r="L1275" i="1" s="1"/>
  <c r="H1276" i="1"/>
  <c r="L1276" i="1" s="1"/>
  <c r="H1277" i="1"/>
  <c r="L1277" i="1" s="1"/>
  <c r="H1278" i="1"/>
  <c r="L1278" i="1" s="1"/>
  <c r="H1279" i="1"/>
  <c r="L1279" i="1" s="1"/>
  <c r="H1280" i="1"/>
  <c r="L1280" i="1" s="1"/>
  <c r="H1281" i="1"/>
  <c r="L1281" i="1" s="1"/>
  <c r="H1282" i="1"/>
  <c r="L1282" i="1" s="1"/>
  <c r="H1283" i="1"/>
  <c r="L1283" i="1" s="1"/>
  <c r="H1284" i="1"/>
  <c r="L1284" i="1" s="1"/>
  <c r="H1285" i="1"/>
  <c r="L1285" i="1" s="1"/>
  <c r="H1286" i="1"/>
  <c r="L1286" i="1" s="1"/>
  <c r="H1287" i="1"/>
  <c r="L1287" i="1" s="1"/>
  <c r="H1288" i="1"/>
  <c r="L1288" i="1" s="1"/>
  <c r="H1289" i="1"/>
  <c r="L1289" i="1" s="1"/>
  <c r="H1290" i="1"/>
  <c r="L1290" i="1" s="1"/>
  <c r="H1291" i="1"/>
  <c r="L1291" i="1" s="1"/>
  <c r="H1292" i="1"/>
  <c r="L1292" i="1" s="1"/>
  <c r="H1293" i="1"/>
  <c r="L1293" i="1" s="1"/>
  <c r="H1294" i="1"/>
  <c r="L1294" i="1" s="1"/>
  <c r="H1295" i="1"/>
  <c r="L1295" i="1" s="1"/>
  <c r="H1296" i="1"/>
  <c r="L1296" i="1" s="1"/>
  <c r="H1297" i="1"/>
  <c r="L1297" i="1" s="1"/>
  <c r="H1298" i="1"/>
  <c r="L1298" i="1" s="1"/>
  <c r="H1299" i="1"/>
  <c r="L1299" i="1" s="1"/>
  <c r="H1300" i="1"/>
  <c r="L1300" i="1" s="1"/>
  <c r="H1301" i="1"/>
  <c r="L1301" i="1" s="1"/>
  <c r="H1302" i="1"/>
  <c r="L1302" i="1" s="1"/>
  <c r="H1303" i="1"/>
  <c r="L1303" i="1" s="1"/>
  <c r="H1304" i="1"/>
  <c r="L1304" i="1" s="1"/>
  <c r="H1305" i="1"/>
  <c r="L1305" i="1" s="1"/>
  <c r="H1306" i="1"/>
  <c r="L1306" i="1" s="1"/>
  <c r="H1307" i="1"/>
  <c r="L1307" i="1" s="1"/>
  <c r="H1308" i="1"/>
  <c r="L1308" i="1" s="1"/>
  <c r="H1309" i="1"/>
  <c r="L1309" i="1" s="1"/>
  <c r="H1310" i="1"/>
  <c r="L1310" i="1" s="1"/>
  <c r="H1311" i="1"/>
  <c r="L1311" i="1" s="1"/>
  <c r="H1312" i="1"/>
  <c r="L1312" i="1" s="1"/>
  <c r="H1313" i="1"/>
  <c r="L1313" i="1" s="1"/>
  <c r="H1314" i="1"/>
  <c r="L1314" i="1" s="1"/>
  <c r="H1315" i="1"/>
  <c r="L1315" i="1" s="1"/>
  <c r="H1316" i="1"/>
  <c r="L1316" i="1" s="1"/>
  <c r="H1317" i="1"/>
  <c r="L1317" i="1" s="1"/>
  <c r="H1318" i="1"/>
  <c r="L1318" i="1" s="1"/>
  <c r="H1319" i="1"/>
  <c r="L1319" i="1" s="1"/>
  <c r="H1320" i="1"/>
  <c r="L1320" i="1" s="1"/>
  <c r="H1321" i="1"/>
  <c r="L1321" i="1" s="1"/>
  <c r="H1322" i="1"/>
  <c r="L1322" i="1" s="1"/>
  <c r="H1323" i="1"/>
  <c r="L1323" i="1" s="1"/>
  <c r="H1324" i="1"/>
  <c r="L1324" i="1" s="1"/>
  <c r="H1325" i="1"/>
  <c r="L1325" i="1" s="1"/>
  <c r="H1326" i="1"/>
  <c r="L1326" i="1" s="1"/>
  <c r="H1327" i="1"/>
  <c r="L1327" i="1" s="1"/>
  <c r="H1328" i="1"/>
  <c r="L1328" i="1" s="1"/>
  <c r="H1329" i="1"/>
  <c r="L1329" i="1" s="1"/>
  <c r="H1330" i="1"/>
  <c r="L1330" i="1" s="1"/>
  <c r="H1331" i="1"/>
  <c r="L1331" i="1" s="1"/>
  <c r="H1332" i="1"/>
  <c r="L1332" i="1" s="1"/>
  <c r="H1333" i="1"/>
  <c r="L1333" i="1" s="1"/>
  <c r="H1334" i="1"/>
  <c r="L1334" i="1" s="1"/>
  <c r="H1335" i="1"/>
  <c r="L1335" i="1" s="1"/>
  <c r="H1336" i="1"/>
  <c r="L1336" i="1" s="1"/>
  <c r="H1337" i="1"/>
  <c r="L1337" i="1" s="1"/>
  <c r="H1338" i="1"/>
  <c r="L1338" i="1" s="1"/>
  <c r="H1339" i="1"/>
  <c r="L1339" i="1" s="1"/>
  <c r="H1340" i="1"/>
  <c r="L1340" i="1" s="1"/>
  <c r="H1341" i="1"/>
  <c r="L1341" i="1" s="1"/>
  <c r="H1342" i="1"/>
  <c r="L1342" i="1" s="1"/>
  <c r="H1343" i="1"/>
  <c r="L1343" i="1" s="1"/>
  <c r="H1344" i="1"/>
  <c r="L1344" i="1" s="1"/>
  <c r="H1345" i="1"/>
  <c r="L1345" i="1" s="1"/>
  <c r="H1346" i="1"/>
  <c r="L1346" i="1" s="1"/>
  <c r="H1347" i="1"/>
  <c r="L1347" i="1" s="1"/>
  <c r="H1348" i="1"/>
  <c r="L1348" i="1" s="1"/>
  <c r="H1349" i="1"/>
  <c r="L1349" i="1" s="1"/>
  <c r="H1350" i="1"/>
  <c r="L1350" i="1" s="1"/>
  <c r="H1351" i="1"/>
  <c r="L1351" i="1" s="1"/>
  <c r="H1352" i="1"/>
  <c r="L1352" i="1" s="1"/>
  <c r="H1353" i="1"/>
  <c r="L1353" i="1" s="1"/>
  <c r="H1354" i="1"/>
  <c r="L1354" i="1" s="1"/>
  <c r="H1355" i="1"/>
  <c r="L1355" i="1" s="1"/>
  <c r="H1356" i="1"/>
  <c r="L1356" i="1" s="1"/>
  <c r="H1357" i="1"/>
  <c r="L1357" i="1" s="1"/>
  <c r="H1358" i="1"/>
  <c r="L1358" i="1" s="1"/>
  <c r="H1359" i="1"/>
  <c r="L1359" i="1" s="1"/>
  <c r="H1360" i="1"/>
  <c r="L1360" i="1" s="1"/>
  <c r="H1361" i="1"/>
  <c r="L1361" i="1" s="1"/>
  <c r="H1362" i="1"/>
  <c r="L1362" i="1" s="1"/>
  <c r="H1363" i="1"/>
  <c r="L1363" i="1" s="1"/>
  <c r="H1364" i="1"/>
  <c r="L1364" i="1" s="1"/>
  <c r="H1365" i="1"/>
  <c r="L1365" i="1" s="1"/>
  <c r="H1366" i="1"/>
  <c r="L1366" i="1" s="1"/>
  <c r="H1367" i="1"/>
  <c r="L1367" i="1" s="1"/>
  <c r="H1368" i="1"/>
  <c r="L1368" i="1" s="1"/>
  <c r="H1369" i="1"/>
  <c r="L1369" i="1" s="1"/>
  <c r="H1370" i="1"/>
  <c r="L1370" i="1" s="1"/>
  <c r="H1371" i="1"/>
  <c r="L1371" i="1" s="1"/>
  <c r="H1372" i="1"/>
  <c r="L1372" i="1" s="1"/>
  <c r="H1373" i="1"/>
  <c r="L1373" i="1" s="1"/>
  <c r="H1374" i="1"/>
  <c r="L1374" i="1" s="1"/>
  <c r="H1375" i="1"/>
  <c r="L1375" i="1" s="1"/>
  <c r="H1376" i="1"/>
  <c r="L1376" i="1" s="1"/>
  <c r="H1377" i="1"/>
  <c r="L1377" i="1" s="1"/>
  <c r="H1378" i="1"/>
  <c r="L1378" i="1" s="1"/>
  <c r="H1379" i="1"/>
  <c r="L1379" i="1" s="1"/>
  <c r="H1380" i="1"/>
  <c r="L1380" i="1" s="1"/>
  <c r="H1381" i="1"/>
  <c r="L1381" i="1" s="1"/>
  <c r="H1382" i="1"/>
  <c r="L1382" i="1" s="1"/>
  <c r="H1383" i="1"/>
  <c r="L1383" i="1" s="1"/>
  <c r="H1384" i="1"/>
  <c r="L1384" i="1" s="1"/>
  <c r="H1385" i="1"/>
  <c r="L1385" i="1" s="1"/>
  <c r="H1386" i="1"/>
  <c r="L1386" i="1" s="1"/>
  <c r="H1387" i="1"/>
  <c r="L1387" i="1" s="1"/>
  <c r="H1388" i="1"/>
  <c r="L1388" i="1" s="1"/>
  <c r="H1389" i="1"/>
  <c r="L1389" i="1" s="1"/>
  <c r="H1390" i="1"/>
  <c r="L1390" i="1" s="1"/>
  <c r="H1391" i="1"/>
  <c r="L1391" i="1" s="1"/>
  <c r="H1392" i="1"/>
  <c r="L1392" i="1" s="1"/>
  <c r="H1393" i="1"/>
  <c r="L1393" i="1" s="1"/>
  <c r="H1394" i="1"/>
  <c r="L1394" i="1" s="1"/>
  <c r="H1395" i="1"/>
  <c r="L1395" i="1" s="1"/>
  <c r="H1396" i="1"/>
  <c r="L1396" i="1" s="1"/>
  <c r="H1397" i="1"/>
  <c r="L1397" i="1" s="1"/>
  <c r="H1398" i="1"/>
  <c r="L1398" i="1" s="1"/>
  <c r="H1399" i="1"/>
  <c r="L1399" i="1" s="1"/>
  <c r="H1400" i="1"/>
  <c r="L1400" i="1" s="1"/>
  <c r="H1401" i="1"/>
  <c r="L1401" i="1" s="1"/>
  <c r="H1402" i="1"/>
  <c r="L1402" i="1" s="1"/>
  <c r="H1403" i="1"/>
  <c r="L1403" i="1" s="1"/>
  <c r="H1404" i="1"/>
  <c r="L1404" i="1" s="1"/>
  <c r="H1405" i="1"/>
  <c r="L1405" i="1" s="1"/>
  <c r="H1406" i="1"/>
  <c r="L1406" i="1" s="1"/>
  <c r="H1407" i="1"/>
  <c r="L1407" i="1" s="1"/>
  <c r="H1408" i="1"/>
  <c r="L1408" i="1" s="1"/>
  <c r="H1409" i="1"/>
  <c r="L1409" i="1" s="1"/>
  <c r="H1410" i="1"/>
  <c r="L1410" i="1" s="1"/>
  <c r="H1411" i="1"/>
  <c r="L1411" i="1" s="1"/>
  <c r="H1412" i="1"/>
  <c r="L1412" i="1" s="1"/>
  <c r="H1413" i="1"/>
  <c r="L1413" i="1" s="1"/>
  <c r="H1414" i="1"/>
  <c r="L1414" i="1" s="1"/>
  <c r="H1415" i="1"/>
  <c r="L1415" i="1" s="1"/>
  <c r="H1416" i="1"/>
  <c r="L1416" i="1" s="1"/>
  <c r="H1417" i="1"/>
  <c r="L1417" i="1" s="1"/>
  <c r="H1418" i="1"/>
  <c r="L1418" i="1" s="1"/>
  <c r="H1419" i="1"/>
  <c r="L1419" i="1" s="1"/>
  <c r="H1420" i="1"/>
  <c r="L1420" i="1" s="1"/>
  <c r="H1421" i="1"/>
  <c r="L1421" i="1" s="1"/>
  <c r="H1422" i="1"/>
  <c r="L1422" i="1" s="1"/>
  <c r="H1423" i="1"/>
  <c r="L1423" i="1" s="1"/>
  <c r="H1424" i="1"/>
  <c r="L1424" i="1" s="1"/>
  <c r="H1425" i="1"/>
  <c r="L1425" i="1" s="1"/>
  <c r="H1426" i="1"/>
  <c r="L1426" i="1" s="1"/>
  <c r="H1427" i="1"/>
  <c r="L1427" i="1" s="1"/>
  <c r="H1428" i="1"/>
  <c r="L1428" i="1" s="1"/>
  <c r="H1429" i="1"/>
  <c r="L1429" i="1" s="1"/>
  <c r="H1430" i="1"/>
  <c r="L1430" i="1" s="1"/>
  <c r="H1431" i="1"/>
  <c r="L1431" i="1" s="1"/>
  <c r="H1432" i="1"/>
  <c r="L1432" i="1" s="1"/>
  <c r="H1433" i="1"/>
  <c r="L1433" i="1" s="1"/>
  <c r="H1434" i="1"/>
  <c r="L1434" i="1" s="1"/>
  <c r="H1435" i="1"/>
  <c r="L1435" i="1" s="1"/>
  <c r="H1436" i="1"/>
  <c r="L1436" i="1" s="1"/>
  <c r="H1437" i="1"/>
  <c r="L1437" i="1" s="1"/>
  <c r="H1438" i="1"/>
  <c r="L1438" i="1" s="1"/>
  <c r="H1439" i="1"/>
  <c r="L1439" i="1" s="1"/>
  <c r="H1440" i="1"/>
  <c r="L1440" i="1" s="1"/>
  <c r="H1441" i="1"/>
  <c r="L1441" i="1" s="1"/>
  <c r="H1442" i="1"/>
  <c r="L1442" i="1" s="1"/>
  <c r="H1443" i="1"/>
  <c r="L1443" i="1" s="1"/>
  <c r="H1444" i="1"/>
  <c r="L1444" i="1" s="1"/>
  <c r="H1445" i="1"/>
  <c r="L1445" i="1" s="1"/>
  <c r="H1446" i="1"/>
  <c r="L1446" i="1" s="1"/>
  <c r="H1447" i="1"/>
  <c r="L1447" i="1" s="1"/>
  <c r="H1448" i="1"/>
  <c r="L1448" i="1" s="1"/>
  <c r="H1449" i="1"/>
  <c r="L1449" i="1" s="1"/>
  <c r="H1450" i="1"/>
  <c r="L1450" i="1" s="1"/>
  <c r="H1451" i="1"/>
  <c r="L1451" i="1" s="1"/>
  <c r="H1452" i="1"/>
  <c r="L1452" i="1" s="1"/>
  <c r="H1453" i="1"/>
  <c r="L1453" i="1" s="1"/>
  <c r="H1454" i="1"/>
  <c r="L1454" i="1" s="1"/>
  <c r="H1455" i="1"/>
  <c r="L1455" i="1" s="1"/>
  <c r="H1456" i="1"/>
  <c r="L1456" i="1" s="1"/>
  <c r="H1457" i="1"/>
  <c r="L1457" i="1" s="1"/>
  <c r="H1458" i="1"/>
  <c r="L1458" i="1" s="1"/>
  <c r="H1459" i="1"/>
  <c r="L1459" i="1" s="1"/>
  <c r="H1460" i="1"/>
  <c r="L1460" i="1" s="1"/>
  <c r="H1461" i="1"/>
  <c r="L1461" i="1" s="1"/>
  <c r="H1462" i="1"/>
  <c r="L1462" i="1" s="1"/>
  <c r="H1463" i="1"/>
  <c r="L1463" i="1" s="1"/>
  <c r="H1464" i="1"/>
  <c r="L1464" i="1" s="1"/>
  <c r="H1465" i="1"/>
  <c r="L1465" i="1" s="1"/>
  <c r="H1466" i="1"/>
  <c r="L1466" i="1" s="1"/>
  <c r="H1467" i="1"/>
  <c r="L1467" i="1" s="1"/>
  <c r="H1468" i="1"/>
  <c r="L1468" i="1" s="1"/>
  <c r="H1469" i="1"/>
  <c r="L1469" i="1" s="1"/>
  <c r="H1470" i="1"/>
  <c r="L1470" i="1" s="1"/>
  <c r="H1471" i="1"/>
  <c r="L1471" i="1" s="1"/>
  <c r="H1472" i="1"/>
  <c r="L1472" i="1" s="1"/>
  <c r="H1473" i="1"/>
  <c r="L1473" i="1" s="1"/>
  <c r="H1474" i="1"/>
  <c r="L1474" i="1" s="1"/>
  <c r="H1475" i="1"/>
  <c r="L1475" i="1" s="1"/>
  <c r="H1476" i="1"/>
  <c r="L1476" i="1" s="1"/>
  <c r="H1477" i="1"/>
  <c r="L1477" i="1" s="1"/>
  <c r="H1478" i="1"/>
  <c r="L1478" i="1" s="1"/>
  <c r="H1479" i="1"/>
  <c r="L1479" i="1" s="1"/>
  <c r="H1480" i="1"/>
  <c r="L1480" i="1" s="1"/>
  <c r="H1481" i="1"/>
  <c r="L1481" i="1" s="1"/>
  <c r="H1482" i="1"/>
  <c r="L1482" i="1" s="1"/>
  <c r="H1483" i="1"/>
  <c r="L1483" i="1" s="1"/>
  <c r="H1484" i="1"/>
  <c r="L1484" i="1" s="1"/>
  <c r="H1485" i="1"/>
  <c r="L1485" i="1" s="1"/>
  <c r="H1486" i="1"/>
  <c r="L1486" i="1" s="1"/>
  <c r="H1487" i="1"/>
  <c r="L1487" i="1" s="1"/>
  <c r="H1488" i="1"/>
  <c r="L1488" i="1" s="1"/>
  <c r="H1489" i="1"/>
  <c r="L1489" i="1" s="1"/>
  <c r="H1490" i="1"/>
  <c r="L1490" i="1" s="1"/>
  <c r="H1491" i="1"/>
  <c r="L1491" i="1" s="1"/>
  <c r="H1492" i="1"/>
  <c r="L1492" i="1" s="1"/>
  <c r="H1493" i="1"/>
  <c r="L1493" i="1" s="1"/>
  <c r="H1494" i="1"/>
  <c r="L1494" i="1" s="1"/>
  <c r="H1495" i="1"/>
  <c r="L1495" i="1" s="1"/>
  <c r="H1496" i="1"/>
  <c r="L1496" i="1" s="1"/>
  <c r="H1497" i="1"/>
  <c r="L1497" i="1" s="1"/>
  <c r="H1498" i="1"/>
  <c r="L1498" i="1" s="1"/>
  <c r="H1499" i="1"/>
  <c r="L1499" i="1" s="1"/>
  <c r="H1500" i="1"/>
  <c r="L1500" i="1" s="1"/>
  <c r="H1501" i="1"/>
  <c r="L1501" i="1" s="1"/>
  <c r="H1502" i="1"/>
  <c r="L1502" i="1" s="1"/>
  <c r="H1503" i="1"/>
  <c r="L1503" i="1" s="1"/>
  <c r="H1504" i="1"/>
  <c r="L1504" i="1" s="1"/>
  <c r="H1505" i="1"/>
  <c r="L1505" i="1" s="1"/>
  <c r="H1506" i="1"/>
  <c r="L1506" i="1" s="1"/>
  <c r="H1507" i="1"/>
  <c r="L1507" i="1" s="1"/>
  <c r="H1508" i="1"/>
  <c r="L1508" i="1" s="1"/>
  <c r="H1509" i="1"/>
  <c r="L1509" i="1" s="1"/>
  <c r="H1510" i="1"/>
  <c r="L1510" i="1" s="1"/>
  <c r="H1511" i="1"/>
  <c r="L1511" i="1" s="1"/>
  <c r="H1512" i="1"/>
  <c r="L1512" i="1" s="1"/>
  <c r="H1513" i="1"/>
  <c r="L1513" i="1" s="1"/>
  <c r="H1514" i="1"/>
  <c r="L1514" i="1" s="1"/>
  <c r="H1515" i="1"/>
  <c r="L1515" i="1" s="1"/>
  <c r="H1516" i="1"/>
  <c r="L1516" i="1" s="1"/>
  <c r="H1517" i="1"/>
  <c r="L1517" i="1" s="1"/>
  <c r="H1518" i="1"/>
  <c r="L1518" i="1" s="1"/>
  <c r="H1519" i="1"/>
  <c r="L1519" i="1" s="1"/>
  <c r="H1520" i="1"/>
  <c r="L1520" i="1" s="1"/>
  <c r="H1521" i="1"/>
  <c r="L1521" i="1" s="1"/>
  <c r="H1522" i="1"/>
  <c r="L1522" i="1" s="1"/>
  <c r="H1523" i="1"/>
  <c r="L1523" i="1" s="1"/>
  <c r="H1524" i="1"/>
  <c r="L1524" i="1" s="1"/>
  <c r="H1525" i="1"/>
  <c r="L1525" i="1" s="1"/>
  <c r="H1526" i="1"/>
  <c r="L1526" i="1" s="1"/>
  <c r="H1527" i="1"/>
  <c r="L1527" i="1" s="1"/>
  <c r="H1528" i="1"/>
  <c r="L1528" i="1" s="1"/>
  <c r="H1529" i="1"/>
  <c r="L1529" i="1" s="1"/>
  <c r="H1530" i="1"/>
  <c r="L1530" i="1" s="1"/>
  <c r="H1531" i="1"/>
  <c r="L1531" i="1" s="1"/>
  <c r="H1532" i="1"/>
  <c r="L1532" i="1" s="1"/>
  <c r="H1533" i="1"/>
  <c r="L1533" i="1" s="1"/>
  <c r="H1534" i="1"/>
  <c r="L1534" i="1" s="1"/>
  <c r="H1535" i="1"/>
  <c r="L1535" i="1" s="1"/>
  <c r="H1536" i="1"/>
  <c r="L1536" i="1" s="1"/>
  <c r="H1537" i="1"/>
  <c r="L1537" i="1" s="1"/>
  <c r="H1538" i="1"/>
  <c r="L1538" i="1" s="1"/>
  <c r="H1539" i="1"/>
  <c r="L1539" i="1" s="1"/>
  <c r="H1540" i="1"/>
  <c r="L1540" i="1" s="1"/>
  <c r="H1541" i="1"/>
  <c r="L1541" i="1" s="1"/>
  <c r="H1542" i="1"/>
  <c r="L1542" i="1" s="1"/>
  <c r="H1543" i="1"/>
  <c r="L1543" i="1" s="1"/>
  <c r="H1544" i="1"/>
  <c r="L1544" i="1" s="1"/>
  <c r="H1545" i="1"/>
  <c r="L1545" i="1" s="1"/>
  <c r="H1546" i="1"/>
  <c r="L1546" i="1" s="1"/>
  <c r="H1547" i="1"/>
  <c r="L1547" i="1" s="1"/>
  <c r="H1548" i="1"/>
  <c r="L1548" i="1" s="1"/>
  <c r="H1549" i="1"/>
  <c r="L1549" i="1" s="1"/>
  <c r="H1550" i="1"/>
  <c r="L1550" i="1" s="1"/>
  <c r="H1551" i="1"/>
  <c r="L1551" i="1" s="1"/>
  <c r="H1552" i="1"/>
  <c r="L1552" i="1" s="1"/>
  <c r="H1553" i="1"/>
  <c r="L1553" i="1" s="1"/>
  <c r="H1554" i="1"/>
  <c r="L1554" i="1" s="1"/>
  <c r="H1555" i="1"/>
  <c r="L1555" i="1" s="1"/>
  <c r="H1556" i="1"/>
  <c r="L1556" i="1" s="1"/>
  <c r="H1557" i="1"/>
  <c r="L1557" i="1" s="1"/>
  <c r="H1558" i="1"/>
  <c r="L1558" i="1" s="1"/>
  <c r="H1559" i="1"/>
  <c r="L1559" i="1" s="1"/>
  <c r="H1560" i="1"/>
  <c r="L1560" i="1" s="1"/>
  <c r="H1561" i="1"/>
  <c r="L1561" i="1" s="1"/>
  <c r="H1562" i="1"/>
  <c r="L1562" i="1" s="1"/>
  <c r="H1563" i="1"/>
  <c r="L1563" i="1" s="1"/>
  <c r="H1564" i="1"/>
  <c r="L1564" i="1" s="1"/>
  <c r="H1565" i="1"/>
  <c r="L1565" i="1" s="1"/>
  <c r="H1566" i="1"/>
  <c r="L1566" i="1" s="1"/>
  <c r="H1567" i="1"/>
  <c r="L1567" i="1" s="1"/>
  <c r="H1568" i="1"/>
  <c r="L1568" i="1" s="1"/>
  <c r="H1569" i="1"/>
  <c r="L1569" i="1" s="1"/>
  <c r="H1570" i="1"/>
  <c r="L1570" i="1" s="1"/>
  <c r="H1571" i="1"/>
  <c r="L1571" i="1" s="1"/>
  <c r="H1572" i="1"/>
  <c r="L1572" i="1" s="1"/>
  <c r="H1573" i="1"/>
  <c r="L1573" i="1" s="1"/>
  <c r="H1574" i="1"/>
  <c r="L1574" i="1" s="1"/>
  <c r="H1575" i="1"/>
  <c r="L1575" i="1" s="1"/>
  <c r="H1576" i="1"/>
  <c r="L1576" i="1" s="1"/>
  <c r="H1577" i="1"/>
  <c r="L1577" i="1" s="1"/>
  <c r="H1578" i="1"/>
  <c r="L1578" i="1" s="1"/>
  <c r="H1579" i="1"/>
  <c r="L1579" i="1" s="1"/>
  <c r="H1580" i="1"/>
  <c r="L1580" i="1" s="1"/>
  <c r="H1581" i="1"/>
  <c r="L1581" i="1" s="1"/>
  <c r="H1582" i="1"/>
  <c r="L1582" i="1" s="1"/>
  <c r="H1583" i="1"/>
  <c r="L1583" i="1" s="1"/>
  <c r="H1584" i="1"/>
  <c r="L1584" i="1" s="1"/>
  <c r="H1585" i="1"/>
  <c r="L1585" i="1" s="1"/>
  <c r="H1586" i="1"/>
  <c r="L1586" i="1" s="1"/>
  <c r="H1587" i="1"/>
  <c r="L1587" i="1" s="1"/>
  <c r="H1588" i="1"/>
  <c r="L1588" i="1" s="1"/>
  <c r="H1589" i="1"/>
  <c r="L1589" i="1" s="1"/>
  <c r="H1590" i="1"/>
  <c r="L1590" i="1" s="1"/>
  <c r="H1591" i="1"/>
  <c r="L1591" i="1" s="1"/>
  <c r="H1592" i="1"/>
  <c r="L1592" i="1" s="1"/>
  <c r="H1593" i="1"/>
  <c r="L1593" i="1" s="1"/>
  <c r="H1594" i="1"/>
  <c r="L1594" i="1" s="1"/>
  <c r="H1595" i="1"/>
  <c r="L1595" i="1" s="1"/>
  <c r="H1596" i="1"/>
  <c r="L1596" i="1" s="1"/>
  <c r="H1597" i="1"/>
  <c r="L1597" i="1" s="1"/>
  <c r="H1598" i="1"/>
  <c r="L1598" i="1" s="1"/>
  <c r="H1599" i="1"/>
  <c r="L1599" i="1" s="1"/>
  <c r="H1600" i="1"/>
  <c r="L1600" i="1" s="1"/>
  <c r="H1601" i="1"/>
  <c r="L1601" i="1" s="1"/>
  <c r="H1602" i="1"/>
  <c r="L1602" i="1" s="1"/>
  <c r="H1603" i="1"/>
  <c r="L1603" i="1" s="1"/>
  <c r="H1604" i="1"/>
  <c r="L1604" i="1" s="1"/>
  <c r="H1605" i="1"/>
  <c r="L1605" i="1" s="1"/>
  <c r="H1606" i="1"/>
  <c r="L1606" i="1" s="1"/>
  <c r="H1607" i="1"/>
  <c r="L1607" i="1" s="1"/>
  <c r="H1608" i="1"/>
  <c r="L1608" i="1" s="1"/>
  <c r="H1609" i="1"/>
  <c r="L1609" i="1" s="1"/>
  <c r="H1610" i="1"/>
  <c r="L1610" i="1" s="1"/>
  <c r="H1611" i="1"/>
  <c r="L1611" i="1" s="1"/>
  <c r="H1612" i="1"/>
  <c r="L1612" i="1" s="1"/>
  <c r="H1613" i="1"/>
  <c r="L1613" i="1" s="1"/>
  <c r="H1614" i="1"/>
  <c r="L1614" i="1" s="1"/>
  <c r="H1615" i="1"/>
  <c r="L1615" i="1" s="1"/>
  <c r="H1616" i="1"/>
  <c r="L1616" i="1" s="1"/>
  <c r="H1617" i="1"/>
  <c r="L1617" i="1" s="1"/>
  <c r="H1618" i="1"/>
  <c r="L1618" i="1" s="1"/>
  <c r="H1619" i="1"/>
  <c r="L1619" i="1" s="1"/>
  <c r="H1620" i="1"/>
  <c r="L1620" i="1" s="1"/>
  <c r="H1621" i="1"/>
  <c r="L1621" i="1" s="1"/>
  <c r="H1622" i="1"/>
  <c r="L1622" i="1" s="1"/>
  <c r="H1623" i="1"/>
  <c r="L1623" i="1" s="1"/>
  <c r="H1624" i="1"/>
  <c r="L1624" i="1" s="1"/>
  <c r="H1625" i="1"/>
  <c r="L1625" i="1" s="1"/>
  <c r="H1626" i="1"/>
  <c r="L1626" i="1" s="1"/>
  <c r="H1627" i="1"/>
  <c r="L1627" i="1" s="1"/>
  <c r="H1628" i="1"/>
  <c r="L1628" i="1" s="1"/>
  <c r="H1629" i="1"/>
  <c r="L1629" i="1" s="1"/>
  <c r="H1630" i="1"/>
  <c r="L1630" i="1" s="1"/>
  <c r="H1631" i="1"/>
  <c r="L1631" i="1" s="1"/>
  <c r="H1632" i="1"/>
  <c r="L1632" i="1" s="1"/>
  <c r="H1633" i="1"/>
  <c r="L1633" i="1" s="1"/>
  <c r="H1634" i="1"/>
  <c r="L1634" i="1" s="1"/>
  <c r="H1635" i="1"/>
  <c r="L1635" i="1" s="1"/>
  <c r="H1636" i="1"/>
  <c r="L1636" i="1" s="1"/>
  <c r="H1637" i="1"/>
  <c r="L1637" i="1" s="1"/>
  <c r="H1638" i="1"/>
  <c r="L1638" i="1" s="1"/>
  <c r="H1639" i="1"/>
  <c r="L1639" i="1" s="1"/>
  <c r="H1640" i="1"/>
  <c r="L1640" i="1" s="1"/>
  <c r="H1641" i="1"/>
  <c r="L1641" i="1" s="1"/>
  <c r="H1642" i="1"/>
  <c r="L1642" i="1" s="1"/>
  <c r="H1643" i="1"/>
  <c r="L1643" i="1" s="1"/>
  <c r="H1644" i="1"/>
  <c r="L1644" i="1" s="1"/>
  <c r="H1645" i="1"/>
  <c r="L1645" i="1" s="1"/>
  <c r="H1646" i="1"/>
  <c r="L1646" i="1" s="1"/>
  <c r="H1647" i="1"/>
  <c r="L1647" i="1" s="1"/>
  <c r="H1648" i="1"/>
  <c r="L1648" i="1" s="1"/>
  <c r="H1649" i="1"/>
  <c r="L1649" i="1" s="1"/>
  <c r="H1650" i="1"/>
  <c r="L1650" i="1" s="1"/>
  <c r="H1651" i="1"/>
  <c r="L1651" i="1" s="1"/>
  <c r="H1652" i="1"/>
  <c r="L1652" i="1" s="1"/>
  <c r="H1653" i="1"/>
  <c r="L1653" i="1" s="1"/>
  <c r="H1654" i="1"/>
  <c r="L1654" i="1" s="1"/>
  <c r="H1655" i="1"/>
  <c r="L1655" i="1" s="1"/>
  <c r="H1656" i="1"/>
  <c r="L1656" i="1" s="1"/>
  <c r="H1657" i="1"/>
  <c r="L1657" i="1" s="1"/>
  <c r="H1658" i="1"/>
  <c r="L1658" i="1" s="1"/>
  <c r="H1659" i="1"/>
  <c r="L1659" i="1" s="1"/>
  <c r="H1660" i="1"/>
  <c r="L1660" i="1" s="1"/>
  <c r="H1661" i="1"/>
  <c r="L1661" i="1" s="1"/>
  <c r="H1662" i="1"/>
  <c r="L1662" i="1" s="1"/>
  <c r="H1663" i="1"/>
  <c r="L1663" i="1" s="1"/>
  <c r="H1664" i="1"/>
  <c r="L1664" i="1" s="1"/>
  <c r="H1665" i="1"/>
  <c r="L1665" i="1" s="1"/>
  <c r="H1666" i="1"/>
  <c r="L1666" i="1" s="1"/>
  <c r="H1667" i="1"/>
  <c r="L1667" i="1" s="1"/>
  <c r="H1668" i="1"/>
  <c r="L1668" i="1" s="1"/>
  <c r="H1669" i="1"/>
  <c r="L1669" i="1" s="1"/>
  <c r="H1670" i="1"/>
  <c r="L1670" i="1" s="1"/>
  <c r="H1671" i="1"/>
  <c r="L1671" i="1" s="1"/>
  <c r="H1672" i="1"/>
  <c r="L1672" i="1" s="1"/>
  <c r="H1673" i="1"/>
  <c r="L1673" i="1" s="1"/>
  <c r="H1674" i="1"/>
  <c r="L1674" i="1" s="1"/>
  <c r="H1675" i="1"/>
  <c r="L1675" i="1" s="1"/>
  <c r="H1676" i="1"/>
  <c r="L1676" i="1" s="1"/>
  <c r="H1677" i="1"/>
  <c r="L1677" i="1" s="1"/>
  <c r="H1678" i="1"/>
  <c r="L1678" i="1" s="1"/>
  <c r="H1679" i="1"/>
  <c r="L1679" i="1" s="1"/>
  <c r="H1680" i="1"/>
  <c r="L1680" i="1" s="1"/>
  <c r="H1681" i="1"/>
  <c r="L1681" i="1" s="1"/>
  <c r="H1682" i="1"/>
  <c r="L1682" i="1" s="1"/>
  <c r="H1683" i="1"/>
  <c r="L1683" i="1" s="1"/>
  <c r="H1684" i="1"/>
  <c r="L1684" i="1" s="1"/>
  <c r="H1685" i="1"/>
  <c r="L1685" i="1" s="1"/>
  <c r="H1686" i="1"/>
  <c r="L1686" i="1" s="1"/>
  <c r="H1687" i="1"/>
  <c r="L1687" i="1" s="1"/>
  <c r="H1688" i="1"/>
  <c r="L1688" i="1" s="1"/>
  <c r="H1689" i="1"/>
  <c r="L1689" i="1" s="1"/>
  <c r="H1690" i="1"/>
  <c r="L1690" i="1" s="1"/>
  <c r="H1691" i="1"/>
  <c r="L1691" i="1" s="1"/>
  <c r="H1692" i="1"/>
  <c r="L1692" i="1" s="1"/>
  <c r="H1693" i="1"/>
  <c r="L1693" i="1" s="1"/>
  <c r="H1694" i="1"/>
  <c r="L1694" i="1" s="1"/>
  <c r="H1695" i="1"/>
  <c r="L1695" i="1" s="1"/>
  <c r="H1696" i="1"/>
  <c r="L1696" i="1" s="1"/>
  <c r="H1697" i="1"/>
  <c r="L1697" i="1" s="1"/>
  <c r="H1698" i="1"/>
  <c r="L1698" i="1" s="1"/>
  <c r="H1699" i="1"/>
  <c r="L1699" i="1" s="1"/>
  <c r="H1700" i="1"/>
  <c r="L1700" i="1" s="1"/>
  <c r="H1701" i="1"/>
  <c r="L1701" i="1" s="1"/>
  <c r="H1702" i="1"/>
  <c r="L1702" i="1" s="1"/>
  <c r="H1703" i="1"/>
  <c r="L1703" i="1" s="1"/>
  <c r="H1704" i="1"/>
  <c r="L1704" i="1" s="1"/>
  <c r="H1705" i="1"/>
  <c r="L1705" i="1" s="1"/>
  <c r="H1706" i="1"/>
  <c r="L1706" i="1" s="1"/>
  <c r="H1707" i="1"/>
  <c r="L1707" i="1" s="1"/>
  <c r="H1708" i="1"/>
  <c r="L1708" i="1" s="1"/>
  <c r="H1709" i="1"/>
  <c r="L1709" i="1" s="1"/>
  <c r="H1710" i="1"/>
  <c r="L1710" i="1" s="1"/>
  <c r="H1711" i="1"/>
  <c r="L1711" i="1" s="1"/>
  <c r="H1712" i="1"/>
  <c r="L1712" i="1" s="1"/>
  <c r="H1713" i="1"/>
  <c r="L1713" i="1" s="1"/>
  <c r="H1714" i="1"/>
  <c r="L1714" i="1" s="1"/>
  <c r="H1715" i="1"/>
  <c r="L1715" i="1" s="1"/>
  <c r="H1716" i="1"/>
  <c r="L1716" i="1" s="1"/>
  <c r="H1717" i="1"/>
  <c r="L1717" i="1" s="1"/>
  <c r="H1718" i="1"/>
  <c r="L1718" i="1" s="1"/>
  <c r="H1719" i="1"/>
  <c r="L1719" i="1" s="1"/>
  <c r="H1720" i="1"/>
  <c r="L1720" i="1" s="1"/>
  <c r="H1721" i="1"/>
  <c r="L1721" i="1" s="1"/>
  <c r="H1722" i="1"/>
  <c r="L1722" i="1" s="1"/>
  <c r="H1723" i="1"/>
  <c r="L1723" i="1" s="1"/>
  <c r="H1724" i="1"/>
  <c r="L1724" i="1" s="1"/>
  <c r="H1725" i="1"/>
  <c r="L1725" i="1" s="1"/>
  <c r="H1726" i="1"/>
  <c r="L1726" i="1" s="1"/>
  <c r="H1727" i="1"/>
  <c r="L1727" i="1" s="1"/>
  <c r="H1728" i="1"/>
  <c r="L1728" i="1" s="1"/>
  <c r="H1729" i="1"/>
  <c r="L1729" i="1" s="1"/>
  <c r="H1730" i="1"/>
  <c r="L1730" i="1" s="1"/>
  <c r="H1731" i="1"/>
  <c r="L1731" i="1" s="1"/>
  <c r="H1732" i="1"/>
  <c r="L1732" i="1" s="1"/>
  <c r="H1733" i="1"/>
  <c r="L1733" i="1" s="1"/>
  <c r="H1734" i="1"/>
  <c r="L1734" i="1" s="1"/>
  <c r="H1735" i="1"/>
  <c r="L1735" i="1" s="1"/>
  <c r="H1736" i="1"/>
  <c r="L1736" i="1" s="1"/>
  <c r="H1737" i="1"/>
  <c r="L1737" i="1" s="1"/>
  <c r="H1738" i="1"/>
  <c r="L1738" i="1" s="1"/>
  <c r="H1739" i="1"/>
  <c r="L1739" i="1" s="1"/>
  <c r="H1740" i="1"/>
  <c r="L1740" i="1" s="1"/>
  <c r="H1741" i="1"/>
  <c r="L1741" i="1" s="1"/>
  <c r="H1742" i="1"/>
  <c r="L1742" i="1" s="1"/>
  <c r="H1743" i="1"/>
  <c r="L1743" i="1" s="1"/>
  <c r="H1744" i="1"/>
  <c r="L1744" i="1" s="1"/>
  <c r="H1745" i="1"/>
  <c r="L1745" i="1" s="1"/>
  <c r="H1746" i="1"/>
  <c r="L1746" i="1" s="1"/>
  <c r="H1747" i="1"/>
  <c r="L1747" i="1" s="1"/>
  <c r="H1748" i="1"/>
  <c r="L1748" i="1" s="1"/>
  <c r="H1749" i="1"/>
  <c r="L1749" i="1" s="1"/>
  <c r="H1750" i="1"/>
  <c r="L1750" i="1" s="1"/>
  <c r="H1751" i="1"/>
  <c r="L1751" i="1" s="1"/>
  <c r="H1752" i="1"/>
  <c r="L1752" i="1" s="1"/>
  <c r="H1753" i="1"/>
  <c r="L1753" i="1" s="1"/>
  <c r="H1754" i="1"/>
  <c r="L1754" i="1" s="1"/>
  <c r="H1755" i="1"/>
  <c r="L1755" i="1" s="1"/>
  <c r="H1756" i="1"/>
  <c r="L1756" i="1" s="1"/>
  <c r="H1757" i="1"/>
  <c r="L1757" i="1" s="1"/>
  <c r="H1758" i="1"/>
  <c r="L1758" i="1" s="1"/>
  <c r="H1759" i="1"/>
  <c r="L1759" i="1" s="1"/>
  <c r="H1760" i="1"/>
  <c r="L1760" i="1" s="1"/>
  <c r="H1761" i="1"/>
  <c r="L1761" i="1" s="1"/>
  <c r="H1762" i="1"/>
  <c r="L1762" i="1" s="1"/>
  <c r="H1763" i="1"/>
  <c r="L1763" i="1" s="1"/>
  <c r="H1764" i="1"/>
  <c r="L1764" i="1" s="1"/>
  <c r="H1765" i="1"/>
  <c r="L1765" i="1" s="1"/>
  <c r="H1766" i="1"/>
  <c r="L1766" i="1" s="1"/>
  <c r="H1767" i="1"/>
  <c r="L1767" i="1" s="1"/>
  <c r="H1768" i="1"/>
  <c r="L1768" i="1" s="1"/>
  <c r="H1769" i="1"/>
  <c r="L1769" i="1" s="1"/>
  <c r="H1770" i="1"/>
  <c r="L1770" i="1" s="1"/>
  <c r="H1771" i="1"/>
  <c r="L1771" i="1" s="1"/>
  <c r="H1772" i="1"/>
  <c r="L1772" i="1" s="1"/>
  <c r="H1773" i="1"/>
  <c r="L1773" i="1" s="1"/>
  <c r="H1774" i="1"/>
  <c r="L1774" i="1" s="1"/>
  <c r="H1775" i="1"/>
  <c r="L1775" i="1" s="1"/>
  <c r="H1776" i="1"/>
  <c r="L1776" i="1" s="1"/>
  <c r="H1777" i="1"/>
  <c r="L1777" i="1" s="1"/>
  <c r="H1778" i="1"/>
  <c r="L1778" i="1" s="1"/>
  <c r="H1779" i="1"/>
  <c r="L1779" i="1" s="1"/>
  <c r="H1780" i="1"/>
  <c r="L1780" i="1" s="1"/>
  <c r="H1781" i="1"/>
  <c r="L1781" i="1" s="1"/>
  <c r="H1782" i="1"/>
  <c r="L1782" i="1" s="1"/>
  <c r="H1783" i="1"/>
  <c r="L1783" i="1" s="1"/>
  <c r="H1784" i="1"/>
  <c r="L1784" i="1" s="1"/>
  <c r="H1785" i="1"/>
  <c r="L1785" i="1" s="1"/>
  <c r="H1786" i="1"/>
  <c r="L1786" i="1" s="1"/>
  <c r="H1787" i="1"/>
  <c r="L1787" i="1" s="1"/>
  <c r="H1788" i="1"/>
  <c r="L1788" i="1" s="1"/>
  <c r="H1789" i="1"/>
  <c r="L1789" i="1" s="1"/>
  <c r="H1790" i="1"/>
  <c r="L1790" i="1" s="1"/>
  <c r="H1791" i="1"/>
  <c r="L1791" i="1" s="1"/>
  <c r="H1792" i="1"/>
  <c r="L1792" i="1" s="1"/>
  <c r="H1793" i="1"/>
  <c r="L1793" i="1" s="1"/>
  <c r="H1794" i="1"/>
  <c r="L1794" i="1" s="1"/>
  <c r="H1795" i="1"/>
  <c r="L1795" i="1" s="1"/>
  <c r="H1796" i="1"/>
  <c r="L1796" i="1" s="1"/>
  <c r="H1797" i="1"/>
  <c r="L1797" i="1" s="1"/>
  <c r="H1798" i="1"/>
  <c r="L1798" i="1" s="1"/>
  <c r="H1799" i="1"/>
  <c r="L1799" i="1" s="1"/>
  <c r="H1800" i="1"/>
  <c r="L1800" i="1" s="1"/>
  <c r="H1801" i="1"/>
  <c r="L1801" i="1" s="1"/>
  <c r="H1802" i="1"/>
  <c r="L1802" i="1" s="1"/>
  <c r="H1803" i="1"/>
  <c r="L1803" i="1" s="1"/>
  <c r="H1804" i="1"/>
  <c r="L1804" i="1" s="1"/>
  <c r="H1805" i="1"/>
  <c r="L1805" i="1" s="1"/>
  <c r="H1806" i="1"/>
  <c r="L1806" i="1" s="1"/>
  <c r="H1807" i="1"/>
  <c r="L1807" i="1" s="1"/>
  <c r="H1808" i="1"/>
  <c r="L1808" i="1" s="1"/>
  <c r="H1809" i="1"/>
  <c r="L1809" i="1" s="1"/>
  <c r="H1810" i="1"/>
  <c r="L1810" i="1" s="1"/>
  <c r="H1811" i="1"/>
  <c r="L1811" i="1" s="1"/>
  <c r="H1812" i="1"/>
  <c r="L1812" i="1" s="1"/>
  <c r="H1813" i="1"/>
  <c r="L1813" i="1" s="1"/>
  <c r="H1814" i="1"/>
  <c r="L1814" i="1" s="1"/>
  <c r="H1815" i="1"/>
  <c r="L1815" i="1" s="1"/>
  <c r="H1816" i="1"/>
  <c r="L1816" i="1" s="1"/>
  <c r="H1817" i="1"/>
  <c r="L1817" i="1" s="1"/>
  <c r="H1818" i="1"/>
  <c r="L1818" i="1" s="1"/>
  <c r="H1819" i="1"/>
  <c r="L1819" i="1" s="1"/>
  <c r="H1820" i="1"/>
  <c r="L1820" i="1" s="1"/>
  <c r="H1821" i="1"/>
  <c r="L1821" i="1" s="1"/>
  <c r="H1822" i="1"/>
  <c r="L1822" i="1" s="1"/>
  <c r="H1823" i="1"/>
  <c r="L1823" i="1" s="1"/>
  <c r="H1824" i="1"/>
  <c r="L1824" i="1" s="1"/>
  <c r="H1825" i="1"/>
  <c r="L1825" i="1" s="1"/>
  <c r="H1826" i="1"/>
  <c r="L1826" i="1" s="1"/>
  <c r="H1827" i="1"/>
  <c r="L1827" i="1" s="1"/>
  <c r="H1828" i="1"/>
  <c r="L1828" i="1" s="1"/>
  <c r="H1829" i="1"/>
  <c r="L1829" i="1" s="1"/>
  <c r="H1830" i="1"/>
  <c r="L1830" i="1" s="1"/>
  <c r="H1831" i="1"/>
  <c r="L1831" i="1" s="1"/>
  <c r="H1832" i="1"/>
  <c r="L1832" i="1" s="1"/>
  <c r="H1833" i="1"/>
  <c r="L1833" i="1" s="1"/>
  <c r="H1834" i="1"/>
  <c r="L1834" i="1" s="1"/>
  <c r="H1835" i="1"/>
  <c r="L1835" i="1" s="1"/>
  <c r="H1836" i="1"/>
  <c r="L1836" i="1" s="1"/>
  <c r="H1837" i="1"/>
  <c r="L1837" i="1" s="1"/>
  <c r="H1838" i="1"/>
  <c r="L1838" i="1" s="1"/>
  <c r="H1839" i="1"/>
  <c r="L1839" i="1" s="1"/>
  <c r="H1840" i="1"/>
  <c r="L1840" i="1" s="1"/>
  <c r="H1841" i="1"/>
  <c r="L1841" i="1" s="1"/>
  <c r="H1842" i="1"/>
  <c r="L1842" i="1" s="1"/>
  <c r="H1843" i="1"/>
  <c r="L1843" i="1" s="1"/>
  <c r="H1844" i="1"/>
  <c r="L1844" i="1" s="1"/>
  <c r="H1845" i="1"/>
  <c r="L1845" i="1" s="1"/>
  <c r="H1846" i="1"/>
  <c r="L1846" i="1" s="1"/>
  <c r="H1847" i="1"/>
  <c r="L1847" i="1" s="1"/>
  <c r="H1848" i="1"/>
  <c r="L1848" i="1" s="1"/>
  <c r="H1849" i="1"/>
  <c r="L1849" i="1" s="1"/>
  <c r="H1850" i="1"/>
  <c r="L1850" i="1" s="1"/>
  <c r="H1851" i="1"/>
  <c r="L1851" i="1" s="1"/>
  <c r="H1852" i="1"/>
  <c r="L1852" i="1" s="1"/>
  <c r="H1853" i="1"/>
  <c r="L1853" i="1" s="1"/>
  <c r="H1854" i="1"/>
  <c r="L1854" i="1" s="1"/>
  <c r="H1855" i="1"/>
  <c r="L1855" i="1" s="1"/>
  <c r="H1856" i="1"/>
  <c r="L1856" i="1" s="1"/>
  <c r="H1857" i="1"/>
  <c r="L1857" i="1" s="1"/>
  <c r="H1858" i="1"/>
  <c r="L1858" i="1" s="1"/>
  <c r="H1859" i="1"/>
  <c r="L1859" i="1" s="1"/>
  <c r="H1860" i="1"/>
  <c r="L1860" i="1" s="1"/>
  <c r="H1861" i="1"/>
  <c r="L1861" i="1" s="1"/>
  <c r="H1862" i="1"/>
  <c r="L1862" i="1" s="1"/>
  <c r="H1863" i="1"/>
  <c r="L1863" i="1" s="1"/>
  <c r="H1864" i="1"/>
  <c r="L1864" i="1" s="1"/>
  <c r="H1865" i="1"/>
  <c r="L1865" i="1" s="1"/>
  <c r="H1866" i="1"/>
  <c r="L1866" i="1" s="1"/>
  <c r="H1867" i="1"/>
  <c r="L1867" i="1" s="1"/>
  <c r="H1868" i="1"/>
  <c r="L1868" i="1" s="1"/>
  <c r="H1869" i="1"/>
  <c r="L1869" i="1" s="1"/>
  <c r="H1870" i="1"/>
  <c r="L1870" i="1" s="1"/>
  <c r="H1871" i="1"/>
  <c r="L1871" i="1" s="1"/>
  <c r="H1872" i="1"/>
  <c r="L1872" i="1" s="1"/>
  <c r="H1873" i="1"/>
  <c r="L1873" i="1" s="1"/>
  <c r="H1874" i="1"/>
  <c r="L1874" i="1" s="1"/>
  <c r="H1875" i="1"/>
  <c r="L1875" i="1" s="1"/>
  <c r="H1876" i="1"/>
  <c r="L1876" i="1" s="1"/>
  <c r="H1877" i="1"/>
  <c r="L1877" i="1" s="1"/>
  <c r="H1878" i="1"/>
  <c r="L1878" i="1" s="1"/>
  <c r="H1879" i="1"/>
  <c r="L1879" i="1" s="1"/>
  <c r="H1880" i="1"/>
  <c r="L1880" i="1" s="1"/>
  <c r="H1881" i="1"/>
  <c r="L1881" i="1" s="1"/>
  <c r="H1882" i="1"/>
  <c r="L1882" i="1" s="1"/>
  <c r="H1883" i="1"/>
  <c r="L1883" i="1" s="1"/>
  <c r="H1884" i="1"/>
  <c r="L1884" i="1" s="1"/>
  <c r="H1885" i="1"/>
  <c r="L1885" i="1" s="1"/>
  <c r="H1886" i="1"/>
  <c r="L1886" i="1" s="1"/>
  <c r="H1887" i="1"/>
  <c r="L1887" i="1" s="1"/>
  <c r="H1888" i="1"/>
  <c r="L1888" i="1" s="1"/>
  <c r="H1889" i="1"/>
  <c r="L1889" i="1" s="1"/>
  <c r="H1890" i="1"/>
  <c r="L1890" i="1" s="1"/>
  <c r="H1891" i="1"/>
  <c r="L1891" i="1" s="1"/>
  <c r="H1892" i="1"/>
  <c r="L1892" i="1" s="1"/>
  <c r="H1893" i="1"/>
  <c r="L1893" i="1" s="1"/>
  <c r="H1894" i="1"/>
  <c r="L1894" i="1" s="1"/>
  <c r="H1895" i="1"/>
  <c r="L1895" i="1" s="1"/>
  <c r="H1896" i="1"/>
  <c r="L1896" i="1" s="1"/>
  <c r="H1897" i="1"/>
  <c r="L1897" i="1" s="1"/>
  <c r="H1898" i="1"/>
  <c r="L1898" i="1" s="1"/>
  <c r="H1899" i="1"/>
  <c r="L1899" i="1" s="1"/>
  <c r="H1900" i="1"/>
  <c r="L1900" i="1" s="1"/>
  <c r="H1901" i="1"/>
  <c r="L1901" i="1" s="1"/>
  <c r="H1902" i="1"/>
  <c r="L1902" i="1" s="1"/>
  <c r="H1903" i="1"/>
  <c r="L1903" i="1" s="1"/>
  <c r="H1904" i="1"/>
  <c r="L1904" i="1" s="1"/>
  <c r="H1905" i="1"/>
  <c r="L1905" i="1" s="1"/>
  <c r="H1906" i="1"/>
  <c r="L1906" i="1" s="1"/>
  <c r="H1907" i="1"/>
  <c r="L1907" i="1" s="1"/>
  <c r="H1908" i="1"/>
  <c r="L1908" i="1" s="1"/>
  <c r="H1909" i="1"/>
  <c r="L1909" i="1" s="1"/>
  <c r="H1910" i="1"/>
  <c r="L1910" i="1" s="1"/>
  <c r="H1911" i="1"/>
  <c r="L1911" i="1" s="1"/>
  <c r="H1912" i="1"/>
  <c r="L1912" i="1" s="1"/>
  <c r="H1913" i="1"/>
  <c r="L1913" i="1" s="1"/>
  <c r="H1914" i="1"/>
  <c r="L1914" i="1" s="1"/>
  <c r="H1915" i="1"/>
  <c r="L1915" i="1" s="1"/>
  <c r="H1916" i="1"/>
  <c r="L1916" i="1" s="1"/>
  <c r="H1917" i="1"/>
  <c r="L1917" i="1" s="1"/>
  <c r="H1918" i="1"/>
  <c r="L1918" i="1" s="1"/>
  <c r="H1919" i="1"/>
  <c r="L1919" i="1" s="1"/>
  <c r="H1920" i="1"/>
  <c r="L1920" i="1" s="1"/>
  <c r="H1921" i="1"/>
  <c r="L1921" i="1" s="1"/>
  <c r="H1922" i="1"/>
  <c r="L1922" i="1" s="1"/>
  <c r="H1923" i="1"/>
  <c r="L1923" i="1" s="1"/>
  <c r="H1924" i="1"/>
  <c r="L1924" i="1" s="1"/>
  <c r="H1925" i="1"/>
  <c r="L1925" i="1" s="1"/>
  <c r="H1926" i="1"/>
  <c r="L1926" i="1" s="1"/>
  <c r="H1927" i="1"/>
  <c r="L1927" i="1" s="1"/>
  <c r="H1928" i="1"/>
  <c r="L1928" i="1" s="1"/>
  <c r="H1929" i="1"/>
  <c r="L1929" i="1" s="1"/>
  <c r="H1930" i="1"/>
  <c r="L1930" i="1" s="1"/>
  <c r="H1931" i="1"/>
  <c r="L1931" i="1" s="1"/>
  <c r="H1932" i="1"/>
  <c r="L1932" i="1" s="1"/>
  <c r="H1933" i="1"/>
  <c r="L1933" i="1" s="1"/>
  <c r="H1934" i="1"/>
  <c r="L1934" i="1" s="1"/>
  <c r="H1935" i="1"/>
  <c r="L1935" i="1" s="1"/>
  <c r="H1936" i="1"/>
  <c r="L1936" i="1" s="1"/>
  <c r="H1937" i="1"/>
  <c r="L1937" i="1" s="1"/>
  <c r="H1938" i="1"/>
  <c r="L1938" i="1" s="1"/>
  <c r="H1939" i="1"/>
  <c r="L1939" i="1" s="1"/>
  <c r="H1940" i="1"/>
  <c r="L1940" i="1" s="1"/>
  <c r="H1941" i="1"/>
  <c r="L1941" i="1" s="1"/>
  <c r="H1942" i="1"/>
  <c r="L1942" i="1" s="1"/>
  <c r="H1943" i="1"/>
  <c r="L1943" i="1" s="1"/>
  <c r="H1944" i="1"/>
  <c r="L1944" i="1" s="1"/>
  <c r="H1945" i="1"/>
  <c r="L1945" i="1" s="1"/>
  <c r="H1946" i="1"/>
  <c r="L1946" i="1" s="1"/>
  <c r="H1947" i="1"/>
  <c r="L1947" i="1" s="1"/>
  <c r="H1948" i="1"/>
  <c r="L1948" i="1" s="1"/>
  <c r="H1949" i="1"/>
  <c r="L1949" i="1" s="1"/>
  <c r="H1950" i="1"/>
  <c r="L1950" i="1" s="1"/>
  <c r="H1951" i="1"/>
  <c r="L1951" i="1" s="1"/>
  <c r="H1952" i="1"/>
  <c r="L1952" i="1" s="1"/>
  <c r="H1953" i="1"/>
  <c r="L1953" i="1" s="1"/>
  <c r="H1954" i="1"/>
  <c r="L1954" i="1" s="1"/>
  <c r="H1955" i="1"/>
  <c r="L1955" i="1" s="1"/>
  <c r="H1956" i="1"/>
  <c r="L1956" i="1" s="1"/>
  <c r="H1957" i="1"/>
  <c r="L1957" i="1" s="1"/>
  <c r="H1958" i="1"/>
  <c r="L1958" i="1" s="1"/>
  <c r="H1959" i="1"/>
  <c r="L1959" i="1" s="1"/>
  <c r="H1960" i="1"/>
  <c r="L1960" i="1" s="1"/>
  <c r="H1961" i="1"/>
  <c r="L1961" i="1" s="1"/>
  <c r="H1962" i="1"/>
  <c r="L1962" i="1" s="1"/>
  <c r="H1963" i="1"/>
  <c r="L1963" i="1" s="1"/>
  <c r="H1964" i="1"/>
  <c r="L1964" i="1" s="1"/>
  <c r="H1965" i="1"/>
  <c r="L1965" i="1" s="1"/>
  <c r="H1966" i="1"/>
  <c r="L1966" i="1" s="1"/>
  <c r="H1967" i="1"/>
  <c r="L1967" i="1" s="1"/>
  <c r="H1968" i="1"/>
  <c r="L1968" i="1" s="1"/>
  <c r="H1969" i="1"/>
  <c r="L1969" i="1" s="1"/>
  <c r="H1970" i="1"/>
  <c r="L1970" i="1" s="1"/>
  <c r="H1971" i="1"/>
  <c r="L1971" i="1" s="1"/>
  <c r="H1972" i="1"/>
  <c r="L1972" i="1" s="1"/>
  <c r="H1973" i="1"/>
  <c r="L1973" i="1" s="1"/>
  <c r="H1974" i="1"/>
  <c r="L1974" i="1" s="1"/>
  <c r="H1975" i="1"/>
  <c r="L1975" i="1" s="1"/>
  <c r="H1976" i="1"/>
  <c r="L1976" i="1" s="1"/>
  <c r="H1977" i="1"/>
  <c r="L1977" i="1" s="1"/>
  <c r="H1978" i="1"/>
  <c r="L1978" i="1" s="1"/>
  <c r="H1979" i="1"/>
  <c r="L1979" i="1" s="1"/>
  <c r="H1980" i="1"/>
  <c r="L1980" i="1" s="1"/>
  <c r="H1981" i="1"/>
  <c r="L1981" i="1" s="1"/>
  <c r="H1982" i="1"/>
  <c r="L1982" i="1" s="1"/>
  <c r="H1983" i="1"/>
  <c r="L1983" i="1" s="1"/>
  <c r="H1984" i="1"/>
  <c r="L1984" i="1" s="1"/>
  <c r="H1985" i="1"/>
  <c r="L1985" i="1" s="1"/>
  <c r="H1986" i="1"/>
  <c r="L1986" i="1" s="1"/>
  <c r="H1987" i="1"/>
  <c r="L1987" i="1" s="1"/>
  <c r="H1988" i="1"/>
  <c r="L1988" i="1" s="1"/>
  <c r="H1989" i="1"/>
  <c r="L1989" i="1" s="1"/>
  <c r="H1990" i="1"/>
  <c r="L1990" i="1" s="1"/>
  <c r="H1991" i="1"/>
  <c r="L1991" i="1" s="1"/>
  <c r="H1992" i="1"/>
  <c r="L1992" i="1" s="1"/>
  <c r="H1993" i="1"/>
  <c r="L1993" i="1" s="1"/>
  <c r="H1994" i="1"/>
  <c r="L1994" i="1" s="1"/>
  <c r="H1995" i="1"/>
  <c r="L1995" i="1" s="1"/>
  <c r="H1996" i="1"/>
  <c r="L1996" i="1" s="1"/>
  <c r="H1997" i="1"/>
  <c r="L1997" i="1" s="1"/>
  <c r="H1998" i="1"/>
  <c r="L1998" i="1" s="1"/>
  <c r="H1999" i="1"/>
  <c r="L1999" i="1" s="1"/>
  <c r="H2000" i="1"/>
  <c r="L2000" i="1" s="1"/>
  <c r="H2001" i="1"/>
  <c r="L2001" i="1" s="1"/>
  <c r="H2002" i="1"/>
  <c r="L2002" i="1" s="1"/>
  <c r="H2003" i="1"/>
  <c r="L2003" i="1" s="1"/>
  <c r="H2004" i="1"/>
  <c r="L2004" i="1" s="1"/>
  <c r="H2005" i="1"/>
  <c r="L2005" i="1" s="1"/>
  <c r="H2006" i="1"/>
  <c r="L2006" i="1" s="1"/>
  <c r="H2007" i="1"/>
  <c r="L2007" i="1" s="1"/>
  <c r="H2008" i="1"/>
  <c r="L2008" i="1" s="1"/>
  <c r="H2009" i="1"/>
  <c r="L2009" i="1" s="1"/>
  <c r="H2010" i="1"/>
  <c r="L2010" i="1" s="1"/>
  <c r="H2011" i="1"/>
  <c r="L2011" i="1" s="1"/>
  <c r="H2012" i="1"/>
  <c r="L2012" i="1" s="1"/>
  <c r="H2013" i="1"/>
  <c r="L2013" i="1" s="1"/>
  <c r="H2014" i="1"/>
  <c r="L2014" i="1" s="1"/>
  <c r="H2015" i="1"/>
  <c r="L2015" i="1" s="1"/>
  <c r="H2016" i="1"/>
  <c r="L2016" i="1" s="1"/>
  <c r="H2017" i="1"/>
  <c r="L2017" i="1" s="1"/>
  <c r="H2018" i="1"/>
  <c r="L2018" i="1" s="1"/>
  <c r="H2019" i="1"/>
  <c r="L2019" i="1" s="1"/>
  <c r="H2020" i="1"/>
  <c r="L2020" i="1" s="1"/>
  <c r="H2021" i="1"/>
  <c r="L2021" i="1" s="1"/>
  <c r="H2022" i="1"/>
  <c r="L2022" i="1" s="1"/>
  <c r="H2023" i="1"/>
  <c r="L2023" i="1" s="1"/>
  <c r="H2024" i="1"/>
  <c r="L2024" i="1" s="1"/>
  <c r="H2025" i="1"/>
  <c r="L2025" i="1" s="1"/>
  <c r="H2026" i="1"/>
  <c r="L2026" i="1" s="1"/>
  <c r="H2027" i="1"/>
  <c r="L2027" i="1" s="1"/>
  <c r="H2028" i="1"/>
  <c r="L2028" i="1" s="1"/>
  <c r="H2029" i="1"/>
  <c r="L2029" i="1" s="1"/>
  <c r="H2030" i="1"/>
  <c r="L2030" i="1" s="1"/>
  <c r="H2031" i="1"/>
  <c r="L2031" i="1" s="1"/>
  <c r="H2032" i="1"/>
  <c r="L2032" i="1" s="1"/>
  <c r="H2033" i="1"/>
  <c r="L2033" i="1" s="1"/>
  <c r="H2034" i="1"/>
  <c r="L2034" i="1" s="1"/>
  <c r="H2035" i="1"/>
  <c r="L2035" i="1" s="1"/>
  <c r="H2036" i="1"/>
  <c r="L2036" i="1" s="1"/>
  <c r="H2037" i="1"/>
  <c r="L2037" i="1" s="1"/>
  <c r="H2038" i="1"/>
  <c r="L2038" i="1" s="1"/>
  <c r="H2039" i="1"/>
  <c r="L2039" i="1" s="1"/>
  <c r="H2040" i="1"/>
  <c r="L2040" i="1" s="1"/>
  <c r="H2041" i="1"/>
  <c r="L2041" i="1" s="1"/>
  <c r="H2042" i="1"/>
  <c r="L2042" i="1" s="1"/>
  <c r="H2043" i="1"/>
  <c r="L2043" i="1" s="1"/>
  <c r="H2044" i="1"/>
  <c r="L2044" i="1" s="1"/>
  <c r="H2045" i="1"/>
  <c r="L2045" i="1" s="1"/>
  <c r="H2046" i="1"/>
  <c r="L2046" i="1" s="1"/>
  <c r="H2047" i="1"/>
  <c r="L2047" i="1" s="1"/>
  <c r="H2048" i="1"/>
  <c r="L2048" i="1" s="1"/>
  <c r="H2049" i="1"/>
  <c r="L2049" i="1" s="1"/>
  <c r="H2050" i="1"/>
  <c r="L2050" i="1" s="1"/>
  <c r="H2051" i="1"/>
  <c r="L2051" i="1" s="1"/>
  <c r="H2052" i="1"/>
  <c r="L2052" i="1" s="1"/>
  <c r="H2053" i="1"/>
  <c r="L2053" i="1" s="1"/>
  <c r="H2054" i="1"/>
  <c r="L2054" i="1" s="1"/>
  <c r="H2055" i="1"/>
  <c r="L2055" i="1" s="1"/>
  <c r="H2056" i="1"/>
  <c r="L2056" i="1" s="1"/>
  <c r="H2057" i="1"/>
  <c r="L2057" i="1" s="1"/>
  <c r="H2058" i="1"/>
  <c r="L2058" i="1" s="1"/>
  <c r="H2059" i="1"/>
  <c r="L2059" i="1" s="1"/>
  <c r="H2060" i="1"/>
  <c r="L2060" i="1" s="1"/>
  <c r="H2061" i="1"/>
  <c r="L2061" i="1" s="1"/>
  <c r="H2062" i="1"/>
  <c r="L2062" i="1" s="1"/>
  <c r="H2063" i="1"/>
  <c r="L2063" i="1" s="1"/>
  <c r="H2064" i="1"/>
  <c r="L2064" i="1" s="1"/>
  <c r="H2065" i="1"/>
  <c r="L2065" i="1" s="1"/>
  <c r="H2066" i="1"/>
  <c r="L2066" i="1" s="1"/>
  <c r="H2067" i="1"/>
  <c r="L2067" i="1" s="1"/>
  <c r="H2068" i="1"/>
  <c r="L2068" i="1" s="1"/>
  <c r="H2069" i="1"/>
  <c r="L2069" i="1" s="1"/>
  <c r="H2070" i="1"/>
  <c r="L2070" i="1" s="1"/>
  <c r="H2071" i="1"/>
  <c r="L2071" i="1" s="1"/>
  <c r="H2072" i="1"/>
  <c r="L2072" i="1" s="1"/>
  <c r="H2073" i="1"/>
  <c r="L2073" i="1" s="1"/>
  <c r="H2074" i="1"/>
  <c r="L2074" i="1" s="1"/>
  <c r="H2075" i="1"/>
  <c r="L2075" i="1" s="1"/>
  <c r="H2076" i="1"/>
  <c r="L2076" i="1" s="1"/>
  <c r="H2077" i="1"/>
  <c r="L2077" i="1" s="1"/>
  <c r="H2078" i="1"/>
  <c r="L2078" i="1" s="1"/>
  <c r="H2079" i="1"/>
  <c r="L2079" i="1" s="1"/>
  <c r="H2080" i="1"/>
  <c r="L2080" i="1" s="1"/>
  <c r="H2081" i="1"/>
  <c r="L2081" i="1" s="1"/>
  <c r="H2082" i="1"/>
  <c r="L2082" i="1" s="1"/>
  <c r="H2083" i="1"/>
  <c r="L2083" i="1" s="1"/>
  <c r="H2084" i="1"/>
  <c r="L2084" i="1" s="1"/>
  <c r="H2085" i="1"/>
  <c r="L2085" i="1" s="1"/>
  <c r="H2086" i="1"/>
  <c r="L2086" i="1" s="1"/>
  <c r="H2087" i="1"/>
  <c r="L2087" i="1" s="1"/>
  <c r="H2088" i="1"/>
  <c r="L2088" i="1" s="1"/>
  <c r="H2089" i="1"/>
  <c r="L2089" i="1" s="1"/>
  <c r="H2090" i="1"/>
  <c r="L2090" i="1" s="1"/>
  <c r="H2091" i="1"/>
  <c r="L2091" i="1" s="1"/>
  <c r="H2092" i="1"/>
  <c r="L2092" i="1" s="1"/>
  <c r="H2093" i="1"/>
  <c r="L2093" i="1" s="1"/>
  <c r="H2094" i="1"/>
  <c r="L2094" i="1" s="1"/>
  <c r="H2095" i="1"/>
  <c r="L2095" i="1" s="1"/>
  <c r="H2096" i="1"/>
  <c r="L2096" i="1" s="1"/>
  <c r="H2097" i="1"/>
  <c r="L2097" i="1" s="1"/>
  <c r="H2098" i="1"/>
  <c r="L2098" i="1" s="1"/>
  <c r="H2099" i="1"/>
  <c r="L2099" i="1" s="1"/>
  <c r="H2100" i="1"/>
  <c r="L2100" i="1" s="1"/>
  <c r="H2101" i="1"/>
  <c r="L2101" i="1" s="1"/>
  <c r="H2102" i="1"/>
  <c r="L2102" i="1" s="1"/>
  <c r="H2103" i="1"/>
  <c r="L2103" i="1" s="1"/>
  <c r="H2104" i="1"/>
  <c r="L2104" i="1" s="1"/>
  <c r="H2105" i="1"/>
  <c r="L2105" i="1" s="1"/>
  <c r="H2106" i="1"/>
  <c r="L2106" i="1" s="1"/>
  <c r="H2107" i="1"/>
  <c r="L2107" i="1" s="1"/>
  <c r="H2108" i="1"/>
  <c r="L2108" i="1" s="1"/>
  <c r="H2109" i="1"/>
  <c r="L2109" i="1" s="1"/>
  <c r="H2110" i="1"/>
  <c r="L2110" i="1" s="1"/>
  <c r="H2111" i="1"/>
  <c r="L2111" i="1" s="1"/>
  <c r="H2112" i="1"/>
  <c r="L2112" i="1" s="1"/>
  <c r="H2113" i="1"/>
  <c r="L2113" i="1" s="1"/>
  <c r="H2114" i="1"/>
  <c r="L2114" i="1" s="1"/>
  <c r="H2115" i="1"/>
  <c r="L2115" i="1" s="1"/>
  <c r="H2116" i="1"/>
  <c r="L2116" i="1" s="1"/>
  <c r="H2117" i="1"/>
  <c r="L2117" i="1" s="1"/>
  <c r="H2118" i="1"/>
  <c r="L2118" i="1" s="1"/>
  <c r="H2119" i="1"/>
  <c r="L2119" i="1" s="1"/>
  <c r="H2120" i="1"/>
  <c r="L2120" i="1" s="1"/>
  <c r="H2121" i="1"/>
  <c r="L2121" i="1" s="1"/>
  <c r="H2122" i="1"/>
  <c r="L2122" i="1" s="1"/>
  <c r="H2123" i="1"/>
  <c r="L2123" i="1" s="1"/>
  <c r="H2124" i="1"/>
  <c r="L2124" i="1" s="1"/>
  <c r="H2125" i="1"/>
  <c r="L2125" i="1" s="1"/>
  <c r="H2126" i="1"/>
  <c r="L2126" i="1" s="1"/>
  <c r="H2127" i="1"/>
  <c r="L2127" i="1" s="1"/>
  <c r="H2128" i="1"/>
  <c r="L2128" i="1" s="1"/>
  <c r="H2129" i="1"/>
  <c r="L2129" i="1" s="1"/>
  <c r="H2130" i="1"/>
  <c r="L2130" i="1" s="1"/>
  <c r="H2131" i="1"/>
  <c r="L2131" i="1" s="1"/>
  <c r="H2132" i="1"/>
  <c r="L2132" i="1" s="1"/>
  <c r="H2133" i="1"/>
  <c r="L2133" i="1" s="1"/>
  <c r="H2134" i="1"/>
  <c r="L2134" i="1" s="1"/>
  <c r="H2135" i="1"/>
  <c r="L2135" i="1" s="1"/>
  <c r="H2136" i="1"/>
  <c r="L2136" i="1" s="1"/>
  <c r="H2137" i="1"/>
  <c r="L2137" i="1" s="1"/>
  <c r="H2138" i="1"/>
  <c r="L2138" i="1" s="1"/>
  <c r="H2139" i="1"/>
  <c r="L2139" i="1" s="1"/>
  <c r="H2140" i="1"/>
  <c r="L2140" i="1" s="1"/>
  <c r="H2141" i="1"/>
  <c r="L2141" i="1" s="1"/>
  <c r="H2142" i="1"/>
  <c r="L2142" i="1" s="1"/>
  <c r="H2143" i="1"/>
  <c r="L2143" i="1" s="1"/>
  <c r="H2144" i="1"/>
  <c r="L2144" i="1" s="1"/>
  <c r="H2145" i="1"/>
  <c r="L2145" i="1" s="1"/>
  <c r="H2146" i="1"/>
  <c r="L2146" i="1" s="1"/>
  <c r="H2147" i="1"/>
  <c r="L2147" i="1" s="1"/>
  <c r="H2148" i="1"/>
  <c r="L2148" i="1" s="1"/>
  <c r="H2149" i="1"/>
  <c r="L2149" i="1" s="1"/>
  <c r="H2150" i="1"/>
  <c r="L2150" i="1" s="1"/>
  <c r="H2151" i="1"/>
  <c r="L2151" i="1" s="1"/>
  <c r="H2152" i="1"/>
  <c r="L2152" i="1" s="1"/>
  <c r="H2153" i="1"/>
  <c r="L2153" i="1" s="1"/>
  <c r="H2154" i="1"/>
  <c r="L2154" i="1" s="1"/>
  <c r="H2155" i="1"/>
  <c r="L2155" i="1" s="1"/>
  <c r="H2156" i="1"/>
  <c r="L2156" i="1" s="1"/>
  <c r="H2157" i="1"/>
  <c r="L2157" i="1" s="1"/>
  <c r="H2158" i="1"/>
  <c r="L2158" i="1" s="1"/>
  <c r="H2159" i="1"/>
  <c r="L2159" i="1" s="1"/>
  <c r="H2160" i="1"/>
  <c r="L2160" i="1" s="1"/>
  <c r="H2161" i="1"/>
  <c r="L2161" i="1" s="1"/>
  <c r="H2162" i="1"/>
  <c r="L2162" i="1" s="1"/>
  <c r="H2163" i="1"/>
  <c r="L2163" i="1" s="1"/>
  <c r="H2164" i="1"/>
  <c r="L2164" i="1" s="1"/>
  <c r="H2165" i="1"/>
  <c r="L2165" i="1" s="1"/>
  <c r="H2166" i="1"/>
  <c r="L2166" i="1" s="1"/>
  <c r="H2167" i="1"/>
  <c r="L2167" i="1" s="1"/>
  <c r="H2168" i="1"/>
  <c r="L2168" i="1" s="1"/>
  <c r="H2169" i="1"/>
  <c r="L2169" i="1" s="1"/>
  <c r="H2170" i="1"/>
  <c r="L2170" i="1" s="1"/>
  <c r="H2171" i="1"/>
  <c r="L2171" i="1" s="1"/>
  <c r="H2172" i="1"/>
  <c r="L2172" i="1" s="1"/>
  <c r="H2173" i="1"/>
  <c r="L2173" i="1" s="1"/>
  <c r="H2174" i="1"/>
  <c r="L2174" i="1" s="1"/>
  <c r="H2175" i="1"/>
  <c r="L2175" i="1" s="1"/>
  <c r="H2176" i="1"/>
  <c r="L2176" i="1" s="1"/>
  <c r="H2177" i="1"/>
  <c r="L2177" i="1" s="1"/>
  <c r="H2178" i="1"/>
  <c r="L2178" i="1" s="1"/>
  <c r="H2179" i="1"/>
  <c r="L2179" i="1" s="1"/>
  <c r="H2180" i="1"/>
  <c r="L2180" i="1" s="1"/>
  <c r="H2181" i="1"/>
  <c r="L2181" i="1" s="1"/>
  <c r="H2182" i="1"/>
  <c r="L2182" i="1" s="1"/>
  <c r="H2183" i="1"/>
  <c r="L2183" i="1" s="1"/>
  <c r="H2184" i="1"/>
  <c r="L2184" i="1" s="1"/>
  <c r="H2185" i="1"/>
  <c r="L2185" i="1" s="1"/>
  <c r="H2186" i="1"/>
  <c r="L2186" i="1" s="1"/>
  <c r="H2187" i="1"/>
  <c r="L2187" i="1" s="1"/>
  <c r="H2188" i="1"/>
  <c r="L2188" i="1" s="1"/>
  <c r="H2189" i="1"/>
  <c r="L2189" i="1" s="1"/>
  <c r="H2190" i="1"/>
  <c r="L2190" i="1" s="1"/>
  <c r="H2191" i="1"/>
  <c r="L2191" i="1" s="1"/>
  <c r="H2192" i="1"/>
  <c r="L2192" i="1" s="1"/>
  <c r="H2193" i="1"/>
  <c r="L2193" i="1" s="1"/>
  <c r="H2194" i="1"/>
  <c r="L2194" i="1" s="1"/>
  <c r="H2195" i="1"/>
  <c r="L2195" i="1" s="1"/>
  <c r="H2196" i="1"/>
  <c r="L2196" i="1" s="1"/>
  <c r="H2197" i="1"/>
  <c r="L2197" i="1" s="1"/>
  <c r="H2198" i="1"/>
  <c r="L2198" i="1" s="1"/>
  <c r="H2199" i="1"/>
  <c r="L2199" i="1" s="1"/>
  <c r="H2200" i="1"/>
  <c r="L2200" i="1" s="1"/>
  <c r="H2201" i="1"/>
  <c r="L2201" i="1" s="1"/>
  <c r="H2202" i="1"/>
  <c r="L2202" i="1" s="1"/>
  <c r="H2203" i="1"/>
  <c r="L2203" i="1" s="1"/>
  <c r="H2204" i="1"/>
  <c r="L2204" i="1" s="1"/>
  <c r="H2205" i="1"/>
  <c r="L2205" i="1" s="1"/>
  <c r="H2206" i="1"/>
  <c r="L2206" i="1" s="1"/>
  <c r="H2207" i="1"/>
  <c r="L2207" i="1" s="1"/>
  <c r="H2208" i="1"/>
  <c r="L2208" i="1" s="1"/>
  <c r="H2209" i="1"/>
  <c r="L2209" i="1" s="1"/>
  <c r="H2210" i="1"/>
  <c r="L2210" i="1" s="1"/>
  <c r="H2211" i="1"/>
  <c r="L2211" i="1" s="1"/>
  <c r="H2212" i="1"/>
  <c r="L2212" i="1" s="1"/>
  <c r="H2213" i="1"/>
  <c r="L2213" i="1" s="1"/>
  <c r="H2214" i="1"/>
  <c r="L2214" i="1" s="1"/>
  <c r="H2215" i="1"/>
  <c r="L2215" i="1" s="1"/>
  <c r="H2216" i="1"/>
  <c r="L2216" i="1" s="1"/>
  <c r="H2217" i="1"/>
  <c r="L2217" i="1" s="1"/>
  <c r="H2218" i="1"/>
  <c r="L2218" i="1" s="1"/>
  <c r="H2219" i="1"/>
  <c r="L2219" i="1" s="1"/>
  <c r="H2220" i="1"/>
  <c r="L2220" i="1" s="1"/>
  <c r="H2221" i="1"/>
  <c r="L2221" i="1" s="1"/>
  <c r="H2222" i="1"/>
  <c r="L2222" i="1" s="1"/>
  <c r="H2223" i="1"/>
  <c r="L2223" i="1" s="1"/>
  <c r="H2224" i="1"/>
  <c r="L2224" i="1" s="1"/>
  <c r="H2225" i="1"/>
  <c r="L2225" i="1" s="1"/>
  <c r="H2226" i="1"/>
  <c r="L2226" i="1" s="1"/>
  <c r="H2227" i="1"/>
  <c r="L2227" i="1" s="1"/>
  <c r="H2228" i="1"/>
  <c r="L2228" i="1" s="1"/>
  <c r="H2229" i="1"/>
  <c r="L2229" i="1" s="1"/>
  <c r="H2230" i="1"/>
  <c r="L2230" i="1" s="1"/>
  <c r="H2231" i="1"/>
  <c r="L2231" i="1" s="1"/>
  <c r="H2232" i="1"/>
  <c r="L2232" i="1" s="1"/>
  <c r="H2233" i="1"/>
  <c r="L2233" i="1" s="1"/>
  <c r="H2234" i="1"/>
  <c r="L2234" i="1" s="1"/>
  <c r="H2235" i="1"/>
  <c r="L2235" i="1" s="1"/>
  <c r="H2236" i="1"/>
  <c r="L2236" i="1" s="1"/>
  <c r="H2237" i="1"/>
  <c r="L2237" i="1" s="1"/>
  <c r="H2238" i="1"/>
  <c r="L2238" i="1" s="1"/>
  <c r="H2239" i="1"/>
  <c r="L2239" i="1" s="1"/>
  <c r="H2240" i="1"/>
  <c r="L2240" i="1" s="1"/>
  <c r="H2241" i="1"/>
  <c r="L2241" i="1" s="1"/>
  <c r="H2242" i="1"/>
  <c r="L2242" i="1" s="1"/>
  <c r="H2243" i="1"/>
  <c r="L2243" i="1" s="1"/>
  <c r="H2244" i="1"/>
  <c r="L2244" i="1" s="1"/>
  <c r="H2245" i="1"/>
  <c r="L2245" i="1" s="1"/>
  <c r="H2246" i="1"/>
  <c r="L2246" i="1" s="1"/>
  <c r="H2247" i="1"/>
  <c r="L2247" i="1" s="1"/>
  <c r="H2248" i="1"/>
  <c r="L2248" i="1" s="1"/>
  <c r="H2249" i="1"/>
  <c r="L2249" i="1" s="1"/>
  <c r="H2250" i="1"/>
  <c r="L2250" i="1" s="1"/>
  <c r="H2251" i="1"/>
  <c r="L2251" i="1" s="1"/>
  <c r="H2252" i="1"/>
  <c r="L2252" i="1" s="1"/>
  <c r="H2253" i="1"/>
  <c r="L2253" i="1" s="1"/>
  <c r="H2254" i="1"/>
  <c r="L2254" i="1" s="1"/>
  <c r="H2255" i="1"/>
  <c r="L2255" i="1" s="1"/>
  <c r="H2256" i="1"/>
  <c r="L2256" i="1" s="1"/>
  <c r="H2257" i="1"/>
  <c r="L2257" i="1" s="1"/>
  <c r="H2258" i="1"/>
  <c r="L2258" i="1" s="1"/>
  <c r="H2259" i="1"/>
  <c r="L2259" i="1" s="1"/>
  <c r="H2260" i="1"/>
  <c r="L2260" i="1" s="1"/>
  <c r="H2261" i="1"/>
  <c r="L2261" i="1" s="1"/>
  <c r="H2262" i="1"/>
  <c r="L2262" i="1" s="1"/>
  <c r="H2263" i="1"/>
  <c r="L2263" i="1" s="1"/>
  <c r="H2264" i="1"/>
  <c r="L2264" i="1" s="1"/>
  <c r="H2265" i="1"/>
  <c r="L2265" i="1" s="1"/>
  <c r="H2266" i="1"/>
  <c r="L2266" i="1" s="1"/>
  <c r="H2267" i="1"/>
  <c r="L2267" i="1" s="1"/>
  <c r="H2268" i="1"/>
  <c r="L2268" i="1" s="1"/>
  <c r="H2269" i="1"/>
  <c r="L2269" i="1" s="1"/>
  <c r="H2270" i="1"/>
  <c r="L2270" i="1" s="1"/>
  <c r="H2271" i="1"/>
  <c r="L2271" i="1" s="1"/>
  <c r="H2272" i="1"/>
  <c r="L2272" i="1" s="1"/>
  <c r="H2273" i="1"/>
  <c r="L2273" i="1" s="1"/>
  <c r="H2274" i="1"/>
  <c r="L2274" i="1" s="1"/>
  <c r="H2275" i="1"/>
  <c r="L2275" i="1" s="1"/>
  <c r="H2276" i="1"/>
  <c r="L2276" i="1" s="1"/>
  <c r="H2277" i="1"/>
  <c r="L2277" i="1" s="1"/>
  <c r="H2278" i="1"/>
  <c r="L2278" i="1" s="1"/>
  <c r="H2279" i="1"/>
  <c r="L2279" i="1" s="1"/>
  <c r="H2280" i="1"/>
  <c r="L2280" i="1" s="1"/>
  <c r="H2281" i="1"/>
  <c r="L2281" i="1" s="1"/>
  <c r="H2282" i="1"/>
  <c r="L2282" i="1" s="1"/>
  <c r="H2283" i="1"/>
  <c r="L2283" i="1" s="1"/>
  <c r="H2284" i="1"/>
  <c r="L2284" i="1" s="1"/>
  <c r="H2285" i="1"/>
  <c r="L2285" i="1" s="1"/>
  <c r="H2286" i="1"/>
  <c r="L2286" i="1" s="1"/>
  <c r="H2287" i="1"/>
  <c r="L2287" i="1" s="1"/>
  <c r="H2288" i="1"/>
  <c r="L2288" i="1" s="1"/>
  <c r="H2289" i="1"/>
  <c r="L2289" i="1" s="1"/>
  <c r="H2290" i="1"/>
  <c r="L2290" i="1" s="1"/>
  <c r="H2291" i="1"/>
  <c r="L2291" i="1" s="1"/>
  <c r="H2292" i="1"/>
  <c r="L2292" i="1" s="1"/>
  <c r="H2293" i="1"/>
  <c r="L2293" i="1" s="1"/>
  <c r="H2294" i="1"/>
  <c r="L2294" i="1" s="1"/>
  <c r="H2295" i="1"/>
  <c r="L2295" i="1" s="1"/>
  <c r="H2296" i="1"/>
  <c r="L2296" i="1" s="1"/>
  <c r="H2297" i="1"/>
  <c r="L2297" i="1" s="1"/>
  <c r="H2298" i="1"/>
  <c r="L2298" i="1" s="1"/>
  <c r="H2299" i="1"/>
  <c r="L2299" i="1" s="1"/>
  <c r="H2300" i="1"/>
  <c r="L2300" i="1" s="1"/>
  <c r="H2301" i="1"/>
  <c r="L2301" i="1" s="1"/>
  <c r="H2302" i="1"/>
  <c r="L2302" i="1" s="1"/>
  <c r="H2303" i="1"/>
  <c r="L2303" i="1" s="1"/>
  <c r="H2304" i="1"/>
  <c r="L2304" i="1" s="1"/>
  <c r="H2305" i="1"/>
  <c r="L2305" i="1" s="1"/>
  <c r="H2306" i="1"/>
  <c r="L2306" i="1" s="1"/>
  <c r="H2307" i="1"/>
  <c r="L2307" i="1" s="1"/>
  <c r="H2308" i="1"/>
  <c r="L2308" i="1" s="1"/>
  <c r="H2309" i="1"/>
  <c r="L2309" i="1" s="1"/>
  <c r="H2310" i="1"/>
  <c r="L2310" i="1" s="1"/>
  <c r="H2311" i="1"/>
  <c r="L2311" i="1" s="1"/>
  <c r="H2312" i="1"/>
  <c r="L2312" i="1" s="1"/>
  <c r="H2313" i="1"/>
  <c r="L2313" i="1" s="1"/>
  <c r="H2314" i="1"/>
  <c r="L2314" i="1" s="1"/>
  <c r="H2315" i="1"/>
  <c r="L2315" i="1" s="1"/>
  <c r="H2316" i="1"/>
  <c r="L2316" i="1" s="1"/>
  <c r="H2317" i="1"/>
  <c r="L2317" i="1" s="1"/>
  <c r="H2318" i="1"/>
  <c r="L2318" i="1" s="1"/>
  <c r="H2319" i="1"/>
  <c r="L2319" i="1" s="1"/>
  <c r="H2320" i="1"/>
  <c r="L2320" i="1" s="1"/>
  <c r="H2321" i="1"/>
  <c r="L2321" i="1" s="1"/>
  <c r="H2322" i="1"/>
  <c r="L2322" i="1" s="1"/>
  <c r="H2323" i="1"/>
  <c r="L2323" i="1" s="1"/>
  <c r="H2324" i="1"/>
  <c r="L2324" i="1" s="1"/>
  <c r="H2325" i="1"/>
  <c r="L2325" i="1" s="1"/>
  <c r="H2326" i="1"/>
  <c r="L2326" i="1" s="1"/>
  <c r="H2327" i="1"/>
  <c r="L2327" i="1" s="1"/>
  <c r="H2328" i="1"/>
  <c r="L2328" i="1" s="1"/>
  <c r="H2329" i="1"/>
  <c r="L2329" i="1" s="1"/>
  <c r="H2330" i="1"/>
  <c r="L2330" i="1" s="1"/>
  <c r="H2331" i="1"/>
  <c r="L2331" i="1" s="1"/>
  <c r="H2332" i="1"/>
  <c r="L2332" i="1" s="1"/>
  <c r="H2333" i="1"/>
  <c r="L2333" i="1" s="1"/>
  <c r="H2334" i="1"/>
  <c r="L2334" i="1" s="1"/>
  <c r="H2335" i="1"/>
  <c r="L2335" i="1" s="1"/>
  <c r="H2336" i="1"/>
  <c r="L2336" i="1" s="1"/>
  <c r="H2337" i="1"/>
  <c r="L2337" i="1" s="1"/>
  <c r="H2338" i="1"/>
  <c r="L2338" i="1" s="1"/>
  <c r="H2339" i="1"/>
  <c r="L2339" i="1" s="1"/>
  <c r="H2340" i="1"/>
  <c r="L2340" i="1" s="1"/>
  <c r="H2341" i="1"/>
  <c r="L2341" i="1" s="1"/>
  <c r="H2342" i="1"/>
  <c r="L2342" i="1" s="1"/>
  <c r="H2343" i="1"/>
  <c r="L2343" i="1" s="1"/>
  <c r="H2344" i="1"/>
  <c r="L2344" i="1" s="1"/>
  <c r="H2345" i="1"/>
  <c r="L2345" i="1" s="1"/>
  <c r="H2346" i="1"/>
  <c r="L2346" i="1" s="1"/>
  <c r="H2347" i="1"/>
  <c r="L2347" i="1" s="1"/>
  <c r="H2348" i="1"/>
  <c r="L2348" i="1" s="1"/>
  <c r="H2349" i="1"/>
  <c r="L2349" i="1" s="1"/>
  <c r="H2350" i="1"/>
  <c r="L2350" i="1" s="1"/>
  <c r="H2351" i="1"/>
  <c r="L2351" i="1" s="1"/>
  <c r="H2352" i="1"/>
  <c r="L2352" i="1" s="1"/>
  <c r="H2353" i="1"/>
  <c r="L2353" i="1" s="1"/>
  <c r="H2354" i="1"/>
  <c r="L2354" i="1" s="1"/>
  <c r="H2355" i="1"/>
  <c r="L2355" i="1" s="1"/>
  <c r="H2356" i="1"/>
  <c r="L2356" i="1" s="1"/>
  <c r="H2357" i="1"/>
  <c r="L2357" i="1" s="1"/>
  <c r="H2358" i="1"/>
  <c r="L2358" i="1" s="1"/>
  <c r="H2359" i="1"/>
  <c r="L2359" i="1" s="1"/>
  <c r="H2360" i="1"/>
  <c r="L2360" i="1" s="1"/>
  <c r="H2361" i="1"/>
  <c r="L2361" i="1" s="1"/>
  <c r="H2362" i="1"/>
  <c r="L2362" i="1" s="1"/>
  <c r="H2363" i="1"/>
  <c r="L2363" i="1" s="1"/>
  <c r="H2364" i="1"/>
  <c r="L2364" i="1" s="1"/>
  <c r="H2365" i="1"/>
  <c r="L2365" i="1" s="1"/>
  <c r="H2366" i="1"/>
  <c r="L2366" i="1" s="1"/>
  <c r="H2367" i="1"/>
  <c r="L2367" i="1" s="1"/>
  <c r="H2368" i="1"/>
  <c r="L2368" i="1" s="1"/>
  <c r="H2369" i="1"/>
  <c r="L2369" i="1" s="1"/>
  <c r="H2370" i="1"/>
  <c r="L2370" i="1" s="1"/>
  <c r="H2371" i="1"/>
  <c r="L2371" i="1" s="1"/>
  <c r="H2372" i="1"/>
  <c r="L2372" i="1" s="1"/>
  <c r="H2373" i="1"/>
  <c r="L2373" i="1" s="1"/>
  <c r="H2374" i="1"/>
  <c r="L2374" i="1" s="1"/>
  <c r="H2375" i="1"/>
  <c r="L2375" i="1" s="1"/>
  <c r="H2376" i="1"/>
  <c r="L2376" i="1" s="1"/>
  <c r="H2377" i="1"/>
  <c r="L2377" i="1" s="1"/>
  <c r="H2378" i="1"/>
  <c r="L2378" i="1" s="1"/>
  <c r="H2379" i="1"/>
  <c r="L2379" i="1" s="1"/>
  <c r="H2380" i="1"/>
  <c r="L2380" i="1" s="1"/>
  <c r="H2381" i="1"/>
  <c r="L2381" i="1" s="1"/>
  <c r="H2382" i="1"/>
  <c r="L2382" i="1" s="1"/>
  <c r="H2383" i="1"/>
  <c r="L2383" i="1" s="1"/>
  <c r="H2384" i="1"/>
  <c r="L2384" i="1" s="1"/>
  <c r="H2385" i="1"/>
  <c r="L2385" i="1" s="1"/>
  <c r="H2386" i="1"/>
  <c r="L2386" i="1" s="1"/>
  <c r="H2387" i="1"/>
  <c r="L2387" i="1" s="1"/>
  <c r="H2388" i="1"/>
  <c r="L2388" i="1" s="1"/>
  <c r="H2389" i="1"/>
  <c r="L2389" i="1" s="1"/>
  <c r="H2390" i="1"/>
  <c r="L2390" i="1" s="1"/>
  <c r="H2391" i="1"/>
  <c r="L2391" i="1" s="1"/>
  <c r="H2392" i="1"/>
  <c r="L2392" i="1" s="1"/>
  <c r="H2393" i="1"/>
  <c r="L2393" i="1" s="1"/>
  <c r="H2394" i="1"/>
  <c r="L2394" i="1" s="1"/>
  <c r="H2395" i="1"/>
  <c r="L2395" i="1" s="1"/>
  <c r="H2396" i="1"/>
  <c r="L2396" i="1" s="1"/>
  <c r="H2397" i="1"/>
  <c r="L2397" i="1" s="1"/>
  <c r="H2398" i="1"/>
  <c r="L2398" i="1" s="1"/>
  <c r="H2399" i="1"/>
  <c r="L2399" i="1" s="1"/>
  <c r="H2400" i="1"/>
  <c r="L2400" i="1" s="1"/>
  <c r="H2401" i="1"/>
  <c r="L2401" i="1" s="1"/>
  <c r="H2402" i="1"/>
  <c r="L2402" i="1" s="1"/>
  <c r="H2403" i="1"/>
  <c r="L2403" i="1" s="1"/>
  <c r="H2404" i="1"/>
  <c r="L2404" i="1" s="1"/>
  <c r="H2405" i="1"/>
  <c r="L2405" i="1" s="1"/>
  <c r="H2406" i="1"/>
  <c r="L2406" i="1" s="1"/>
  <c r="H2407" i="1"/>
  <c r="L2407" i="1" s="1"/>
  <c r="H2408" i="1"/>
  <c r="L2408" i="1" s="1"/>
  <c r="H2409" i="1"/>
  <c r="L2409" i="1" s="1"/>
  <c r="H2410" i="1"/>
  <c r="L2410" i="1" s="1"/>
  <c r="H2411" i="1"/>
  <c r="L2411" i="1" s="1"/>
  <c r="H2412" i="1"/>
  <c r="L2412" i="1" s="1"/>
  <c r="H2413" i="1"/>
  <c r="L2413" i="1" s="1"/>
  <c r="H2414" i="1"/>
  <c r="L2414" i="1" s="1"/>
  <c r="H2415" i="1"/>
  <c r="L2415" i="1" s="1"/>
  <c r="H2416" i="1"/>
  <c r="L2416" i="1" s="1"/>
  <c r="H2417" i="1"/>
  <c r="L2417" i="1" s="1"/>
  <c r="H2418" i="1"/>
  <c r="L2418" i="1" s="1"/>
  <c r="H2419" i="1"/>
  <c r="L2419" i="1" s="1"/>
  <c r="H2420" i="1"/>
  <c r="L2420" i="1" s="1"/>
  <c r="H2421" i="1"/>
  <c r="L2421" i="1" s="1"/>
  <c r="H2422" i="1"/>
  <c r="L2422" i="1" s="1"/>
  <c r="H2423" i="1"/>
  <c r="L2423" i="1" s="1"/>
  <c r="H2424" i="1"/>
  <c r="L2424" i="1" s="1"/>
  <c r="H2425" i="1"/>
  <c r="L2425" i="1" s="1"/>
  <c r="H2426" i="1"/>
  <c r="L2426" i="1" s="1"/>
  <c r="H2427" i="1"/>
  <c r="L2427" i="1" s="1"/>
  <c r="H2428" i="1"/>
  <c r="L2428" i="1" s="1"/>
  <c r="H2429" i="1"/>
  <c r="L2429" i="1" s="1"/>
  <c r="H2430" i="1"/>
  <c r="L2430" i="1" s="1"/>
  <c r="H2431" i="1"/>
  <c r="L2431" i="1" s="1"/>
  <c r="H2432" i="1"/>
  <c r="L2432" i="1" s="1"/>
  <c r="H2433" i="1"/>
  <c r="L2433" i="1" s="1"/>
  <c r="H2434" i="1"/>
  <c r="L2434" i="1" s="1"/>
  <c r="H2435" i="1"/>
  <c r="L2435" i="1" s="1"/>
  <c r="H2436" i="1"/>
  <c r="L2436" i="1" s="1"/>
  <c r="H2437" i="1"/>
  <c r="L2437" i="1" s="1"/>
  <c r="H2438" i="1"/>
  <c r="L2438" i="1" s="1"/>
  <c r="H2439" i="1"/>
  <c r="L2439" i="1" s="1"/>
  <c r="H2440" i="1"/>
  <c r="L2440" i="1" s="1"/>
  <c r="H2441" i="1"/>
  <c r="L2441" i="1" s="1"/>
  <c r="H2442" i="1"/>
  <c r="L2442" i="1" s="1"/>
  <c r="H2443" i="1"/>
  <c r="L2443" i="1" s="1"/>
  <c r="H2444" i="1"/>
  <c r="L2444" i="1" s="1"/>
  <c r="H2445" i="1"/>
  <c r="L2445" i="1" s="1"/>
  <c r="H2446" i="1"/>
  <c r="L2446" i="1" s="1"/>
  <c r="H2447" i="1"/>
  <c r="L2447" i="1" s="1"/>
  <c r="H2448" i="1"/>
  <c r="L2448" i="1" s="1"/>
  <c r="H2449" i="1"/>
  <c r="L2449" i="1" s="1"/>
  <c r="H2450" i="1"/>
  <c r="L2450" i="1" s="1"/>
  <c r="H2451" i="1"/>
  <c r="L2451" i="1" s="1"/>
  <c r="H2452" i="1"/>
  <c r="L2452" i="1" s="1"/>
  <c r="H2453" i="1"/>
  <c r="L2453" i="1" s="1"/>
  <c r="H2454" i="1"/>
  <c r="L2454" i="1" s="1"/>
  <c r="H2455" i="1"/>
  <c r="L2455" i="1" s="1"/>
  <c r="H2456" i="1"/>
  <c r="L2456" i="1" s="1"/>
  <c r="H2457" i="1"/>
  <c r="L2457" i="1" s="1"/>
  <c r="H2458" i="1"/>
  <c r="L2458" i="1" s="1"/>
  <c r="H2459" i="1"/>
  <c r="L2459" i="1" s="1"/>
  <c r="H2460" i="1"/>
  <c r="L2460" i="1" s="1"/>
  <c r="H2461" i="1"/>
  <c r="L2461" i="1" s="1"/>
  <c r="H2462" i="1"/>
  <c r="L2462" i="1" s="1"/>
  <c r="H2463" i="1"/>
  <c r="L2463" i="1" s="1"/>
  <c r="H2464" i="1"/>
  <c r="L2464" i="1" s="1"/>
  <c r="H2465" i="1"/>
  <c r="L2465" i="1" s="1"/>
  <c r="H2466" i="1"/>
  <c r="L2466" i="1" s="1"/>
  <c r="H2467" i="1"/>
  <c r="L2467" i="1" s="1"/>
  <c r="H2468" i="1"/>
  <c r="L2468" i="1" s="1"/>
  <c r="H2469" i="1"/>
  <c r="L2469" i="1" s="1"/>
  <c r="H2470" i="1"/>
  <c r="L2470" i="1" s="1"/>
  <c r="H2471" i="1"/>
  <c r="L2471" i="1" s="1"/>
  <c r="H2472" i="1"/>
  <c r="L2472" i="1" s="1"/>
  <c r="H2473" i="1"/>
  <c r="L2473" i="1" s="1"/>
  <c r="H2474" i="1"/>
  <c r="L2474" i="1" s="1"/>
  <c r="H2475" i="1"/>
  <c r="L2475" i="1" s="1"/>
  <c r="H2476" i="1"/>
  <c r="L2476" i="1" s="1"/>
  <c r="H2477" i="1"/>
  <c r="L2477" i="1" s="1"/>
  <c r="H2478" i="1"/>
  <c r="L2478" i="1" s="1"/>
  <c r="H2479" i="1"/>
  <c r="L2479" i="1" s="1"/>
  <c r="H2480" i="1"/>
  <c r="L2480" i="1" s="1"/>
  <c r="H2481" i="1"/>
  <c r="L2481" i="1" s="1"/>
  <c r="H2482" i="1"/>
  <c r="L2482" i="1" s="1"/>
  <c r="H2483" i="1"/>
  <c r="L2483" i="1" s="1"/>
  <c r="H2484" i="1"/>
  <c r="L2484" i="1" s="1"/>
  <c r="H2485" i="1"/>
  <c r="L2485" i="1" s="1"/>
  <c r="H2486" i="1"/>
  <c r="L2486" i="1" s="1"/>
  <c r="H2487" i="1"/>
  <c r="L2487" i="1" s="1"/>
  <c r="H2488" i="1"/>
  <c r="L2488" i="1" s="1"/>
  <c r="H2489" i="1"/>
  <c r="L2489" i="1" s="1"/>
  <c r="H2490" i="1"/>
  <c r="L2490" i="1" s="1"/>
  <c r="H2491" i="1"/>
  <c r="L2491" i="1" s="1"/>
  <c r="H2492" i="1"/>
  <c r="L2492" i="1" s="1"/>
  <c r="H2493" i="1"/>
  <c r="L2493" i="1" s="1"/>
  <c r="H2494" i="1"/>
  <c r="L2494" i="1" s="1"/>
  <c r="H2495" i="1"/>
  <c r="L2495" i="1" s="1"/>
  <c r="H2496" i="1"/>
  <c r="L2496" i="1" s="1"/>
  <c r="H2497" i="1"/>
  <c r="L2497" i="1" s="1"/>
  <c r="H2498" i="1"/>
  <c r="L2498" i="1" s="1"/>
  <c r="H2499" i="1"/>
  <c r="L2499" i="1" s="1"/>
  <c r="H2500" i="1"/>
  <c r="L2500" i="1" s="1"/>
  <c r="H2501" i="1"/>
  <c r="L2501" i="1" s="1"/>
  <c r="H2" i="1"/>
  <c r="L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3B8C90-88A7-412C-97C3-90E174CEC05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AE5DB6A-8428-4A1F-9BCF-3D6957B930EC}" name="WorksheetConnection_Snitch_Fashion_Sales_Uncleaned.csv - W2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nitch_Fashion_Sales_Uncleaned.csvW2.xlsxTable11"/>
        </x15:connection>
      </ext>
    </extLst>
  </connection>
</connections>
</file>

<file path=xl/sharedStrings.xml><?xml version="1.0" encoding="utf-8"?>
<sst xmlns="http://schemas.openxmlformats.org/spreadsheetml/2006/main" count="12663" uniqueCount="2541">
  <si>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</si>
  <si>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</si>
  <si>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</si>
  <si>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</si>
  <si>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</si>
  <si>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</si>
  <si>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</si>
  <si>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</si>
  <si>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</si>
  <si>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</si>
  <si>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</si>
  <si>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</si>
  <si>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</si>
  <si>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</si>
  <si>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</si>
  <si>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</si>
  <si>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</si>
  <si>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</si>
  <si>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</si>
  <si>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</si>
  <si>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</si>
  <si>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</si>
  <si>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</si>
  <si>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</si>
  <si>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</si>
  <si>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</si>
  <si>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</si>
  <si>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Maria Blake</t>
  </si>
  <si>
    <t>Accessories</t>
  </si>
  <si>
    <t>Belts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</si>
  <si>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</si>
  <si>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</si>
  <si>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</si>
  <si>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</si>
  <si>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</si>
  <si>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</si>
  <si>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</si>
  <si>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</si>
  <si>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</si>
  <si>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</si>
  <si>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</si>
  <si>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</si>
  <si>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</si>
  <si>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</si>
  <si>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</si>
  <si>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</si>
  <si>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</si>
  <si>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</si>
  <si>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</si>
  <si>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</si>
  <si>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</si>
  <si>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</si>
  <si>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</si>
  <si>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</si>
  <si>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</si>
  <si>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</si>
  <si>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</si>
  <si>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</si>
  <si>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</si>
  <si>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</si>
  <si>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</si>
  <si>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</si>
  <si>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</si>
  <si>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</si>
  <si>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</si>
  <si>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</si>
  <si>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</si>
  <si>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</si>
  <si>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</si>
  <si>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</si>
  <si>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</si>
  <si>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</si>
  <si>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</si>
  <si>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</si>
  <si>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</si>
  <si>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</si>
  <si>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</si>
  <si>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</si>
  <si>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</si>
  <si>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</si>
  <si>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</si>
  <si>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</si>
  <si>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</si>
  <si>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</si>
  <si>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</si>
  <si>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</si>
  <si>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</si>
  <si>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</si>
  <si>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</si>
  <si>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</si>
  <si>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</si>
  <si>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</si>
  <si>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</si>
  <si>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</si>
  <si>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</si>
  <si>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</si>
  <si>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</si>
  <si>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</si>
  <si>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</si>
  <si>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</si>
  <si>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</si>
  <si>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</si>
  <si>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</si>
  <si>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</si>
  <si>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</si>
  <si>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</si>
  <si>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</si>
  <si>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</si>
  <si>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</si>
  <si>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</si>
  <si>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</si>
  <si>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</si>
  <si>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</si>
  <si>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</si>
  <si>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</si>
  <si>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</si>
  <si>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</si>
  <si>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</si>
  <si>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</si>
  <si>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</si>
  <si>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</si>
  <si>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</si>
  <si>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</si>
  <si>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</si>
  <si>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</si>
  <si>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</si>
  <si>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</si>
  <si>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</si>
  <si>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</si>
  <si>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</si>
  <si>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</si>
  <si>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</si>
  <si>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</si>
  <si>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</si>
  <si>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</si>
  <si>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</si>
  <si>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</si>
  <si>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</si>
  <si>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</si>
  <si>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</si>
  <si>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</si>
  <si>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</si>
  <si>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</si>
  <si>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</si>
  <si>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</si>
  <si>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</si>
  <si>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</si>
  <si>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</si>
  <si>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</si>
  <si>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</si>
  <si>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</si>
  <si>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</si>
  <si>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</si>
  <si>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</si>
  <si>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</si>
  <si>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</si>
  <si>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</si>
  <si>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</si>
  <si>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</si>
  <si>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</si>
  <si>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</si>
  <si>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</si>
  <si>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</si>
  <si>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</si>
  <si>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</si>
  <si>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</si>
  <si>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</si>
  <si>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</si>
  <si>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</si>
  <si>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</si>
  <si>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</si>
  <si>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</si>
  <si>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</si>
  <si>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</si>
  <si>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</si>
  <si>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</si>
  <si>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</si>
  <si>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</si>
  <si>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</si>
  <si>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</si>
  <si>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</si>
  <si>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</si>
  <si>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</si>
  <si>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</si>
  <si>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</si>
  <si>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</si>
  <si>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</si>
  <si>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</si>
  <si>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</si>
  <si>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</si>
  <si>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</si>
  <si>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</si>
  <si>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</si>
  <si>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</si>
  <si>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</si>
  <si>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</si>
  <si>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</si>
  <si>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</si>
  <si>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</si>
  <si>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</si>
  <si>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</si>
  <si>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</si>
  <si>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</si>
  <si>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</si>
  <si>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</si>
  <si>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</si>
  <si>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</si>
  <si>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</si>
  <si>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</si>
  <si>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</si>
  <si>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</si>
  <si>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</si>
  <si>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</si>
  <si>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</si>
  <si>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</si>
  <si>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</si>
  <si>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</si>
  <si>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</si>
  <si>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</si>
  <si>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</si>
  <si>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</si>
  <si>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</si>
  <si>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</si>
  <si>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</si>
  <si>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</si>
  <si>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</si>
  <si>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</si>
  <si>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</si>
  <si>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</si>
  <si>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</si>
  <si>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</si>
  <si>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</si>
  <si>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</si>
  <si>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</si>
  <si>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</si>
  <si>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</si>
  <si>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</si>
  <si>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</si>
  <si>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</si>
  <si>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</si>
  <si>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</si>
  <si>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</si>
  <si>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</si>
  <si>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</si>
  <si>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</si>
  <si>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</si>
  <si>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</si>
  <si>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</si>
  <si>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</si>
  <si>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</si>
  <si>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</si>
  <si>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</si>
  <si>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</si>
  <si>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</si>
  <si>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</si>
  <si>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</si>
  <si>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</si>
  <si>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</si>
  <si>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</si>
  <si>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</si>
  <si>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</si>
  <si>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</si>
  <si>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</si>
  <si>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</si>
  <si>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</si>
  <si>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</si>
  <si>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</si>
  <si>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</si>
  <si>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</si>
  <si>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</si>
  <si>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</si>
  <si>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</si>
  <si>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</si>
  <si>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</si>
  <si>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</si>
  <si>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</si>
  <si>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</si>
  <si>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</si>
  <si>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</si>
  <si>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</si>
  <si>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</si>
  <si>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</si>
  <si>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</si>
  <si>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</si>
  <si>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</si>
  <si>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</si>
  <si>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</si>
  <si>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</si>
  <si>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</si>
  <si>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</si>
  <si>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</si>
  <si>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</si>
  <si>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</si>
  <si>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</si>
  <si>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</si>
  <si>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</si>
  <si>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</si>
  <si>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</si>
  <si>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</si>
  <si>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</si>
  <si>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</si>
  <si>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</si>
  <si>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</si>
  <si>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</si>
  <si>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</si>
  <si>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</si>
  <si>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</si>
  <si>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</si>
  <si>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</si>
  <si>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</si>
  <si>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</si>
  <si>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</si>
  <si>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</si>
  <si>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</si>
  <si>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</si>
  <si>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</si>
  <si>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</si>
  <si>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</si>
  <si>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</si>
  <si>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</si>
  <si>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</si>
  <si>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</si>
  <si>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</si>
  <si>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</si>
  <si>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</si>
  <si>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</si>
  <si>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</si>
  <si>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</si>
  <si>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</si>
  <si>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</si>
  <si>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</si>
  <si>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</si>
  <si>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</si>
  <si>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</si>
  <si>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</si>
  <si>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</si>
  <si>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</si>
  <si>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</si>
  <si>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</si>
  <si>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</si>
  <si>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</si>
  <si>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</si>
  <si>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</si>
  <si>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</si>
  <si>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</si>
  <si>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</si>
  <si>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</si>
  <si>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</si>
  <si>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</si>
  <si>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</si>
  <si>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</si>
  <si>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</si>
  <si>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</si>
  <si>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</si>
  <si>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</si>
  <si>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</si>
  <si>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</si>
  <si>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</si>
  <si>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</si>
  <si>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</si>
  <si>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</si>
  <si>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</si>
  <si>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</si>
  <si>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</si>
  <si>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</si>
  <si>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</si>
  <si>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</si>
  <si>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</si>
  <si>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</si>
  <si>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</si>
  <si>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</si>
  <si>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</si>
  <si>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</si>
  <si>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</si>
  <si>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</si>
  <si>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</si>
  <si>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</si>
  <si>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</si>
  <si>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</si>
  <si>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</si>
  <si>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</si>
  <si>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</si>
  <si>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</si>
  <si>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</si>
  <si>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</si>
  <si>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</si>
  <si>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</si>
  <si>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</si>
  <si>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</si>
  <si>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</si>
  <si>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</si>
  <si>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</si>
  <si>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</si>
  <si>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</si>
  <si>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</si>
  <si>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</si>
  <si>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</si>
  <si>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</si>
  <si>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</si>
  <si>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</si>
  <si>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</si>
  <si>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</si>
  <si>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</si>
  <si>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</si>
  <si>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</si>
  <si>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</si>
  <si>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</si>
  <si>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</si>
  <si>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</si>
  <si>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</si>
  <si>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</si>
  <si>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</si>
  <si>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</si>
  <si>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</si>
  <si>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</si>
  <si>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</si>
  <si>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</si>
  <si>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</si>
  <si>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</si>
  <si>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</si>
  <si>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</si>
  <si>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</si>
  <si>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</si>
  <si>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</si>
  <si>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</si>
  <si>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</si>
  <si>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</si>
  <si>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</si>
  <si>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</si>
  <si>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</si>
  <si>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</si>
  <si>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</si>
  <si>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</si>
  <si>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</si>
  <si>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</si>
  <si>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</si>
  <si>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</si>
  <si>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</si>
  <si>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</si>
  <si>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</si>
  <si>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</si>
  <si>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</si>
  <si>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</si>
  <si>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</si>
  <si>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</si>
  <si>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</si>
  <si>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</si>
  <si>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</si>
  <si>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</si>
  <si>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</si>
  <si>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</si>
  <si>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</si>
  <si>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</si>
  <si>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</si>
  <si>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</si>
  <si>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</si>
  <si>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</si>
  <si>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</si>
  <si>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</si>
  <si>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</si>
  <si>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</si>
  <si>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</si>
  <si>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</si>
  <si>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</si>
  <si>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</si>
  <si>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</si>
  <si>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</si>
  <si>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</si>
  <si>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</si>
  <si>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</si>
  <si>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</si>
  <si>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</si>
  <si>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</si>
  <si>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</si>
  <si>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</si>
  <si>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</si>
  <si>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</si>
  <si>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</si>
  <si>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</si>
  <si>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</si>
  <si>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</si>
  <si>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</si>
  <si>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</si>
  <si>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</si>
  <si>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</si>
  <si>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</si>
  <si>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</si>
  <si>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</si>
  <si>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</si>
  <si>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</si>
  <si>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</si>
  <si>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</si>
  <si>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</si>
  <si>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</si>
  <si>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</si>
  <si>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</si>
  <si>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</si>
  <si>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</si>
  <si>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</si>
  <si>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</si>
  <si>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</si>
  <si>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</si>
  <si>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</si>
  <si>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</si>
  <si>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</si>
  <si>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</si>
  <si>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</si>
  <si>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</si>
  <si>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</si>
  <si>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</si>
  <si>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</si>
  <si>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</si>
  <si>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</si>
  <si>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</si>
  <si>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</si>
  <si>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</si>
  <si>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</si>
  <si>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</si>
  <si>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</si>
  <si>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</si>
  <si>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</si>
  <si>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</si>
  <si>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</si>
  <si>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</si>
  <si>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</si>
  <si>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</si>
  <si>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</si>
  <si>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</si>
  <si>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</si>
  <si>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</si>
  <si>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</si>
  <si>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</si>
  <si>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</si>
  <si>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</si>
  <si>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</si>
  <si>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</si>
  <si>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</si>
  <si>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</si>
  <si>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</si>
  <si>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</si>
  <si>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</si>
  <si>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</si>
  <si>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</si>
  <si>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</si>
  <si>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</si>
  <si>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</si>
  <si>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</si>
  <si>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</si>
  <si>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</si>
  <si>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</si>
  <si>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</si>
  <si>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</si>
  <si>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</si>
  <si>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</si>
  <si>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</si>
  <si>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</si>
  <si>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</si>
  <si>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</si>
  <si>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</si>
  <si>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</si>
  <si>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</si>
  <si>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</si>
  <si>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</si>
  <si>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</si>
  <si>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</si>
  <si>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</si>
  <si>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</si>
  <si>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</si>
  <si>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</si>
  <si>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</si>
  <si>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</si>
  <si>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</si>
  <si>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</si>
  <si>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</si>
  <si>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</si>
  <si>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</si>
  <si>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</si>
  <si>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</si>
  <si>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</si>
  <si>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</si>
  <si>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</si>
  <si>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</si>
  <si>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</si>
  <si>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</si>
  <si>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</si>
  <si>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</si>
  <si>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</si>
  <si>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</si>
  <si>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</si>
  <si>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</si>
  <si>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</si>
  <si>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</si>
  <si>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</si>
  <si>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</si>
  <si>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</si>
  <si>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</si>
  <si>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</si>
  <si>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</si>
  <si>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</si>
  <si>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</si>
  <si>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</si>
  <si>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</si>
  <si>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</si>
  <si>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</si>
  <si>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</si>
  <si>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</si>
  <si>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</si>
  <si>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</si>
  <si>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</si>
  <si>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</si>
  <si>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</si>
  <si>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</si>
  <si>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</si>
  <si>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</si>
  <si>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</si>
  <si>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</si>
  <si>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</si>
  <si>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</si>
  <si>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</si>
  <si>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</si>
  <si>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</si>
  <si>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</si>
  <si>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</si>
  <si>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</si>
  <si>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</si>
  <si>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</si>
  <si>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</si>
  <si>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</si>
  <si>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</si>
  <si>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</si>
  <si>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</si>
  <si>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</si>
  <si>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</si>
  <si>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</si>
  <si>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</si>
  <si>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</si>
  <si>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</si>
  <si>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</si>
  <si>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</si>
  <si>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</si>
  <si>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</si>
  <si>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</si>
  <si>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</si>
  <si>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</si>
  <si>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</si>
  <si>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</si>
  <si>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</si>
  <si>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</si>
  <si>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</si>
  <si>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</si>
  <si>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</si>
  <si>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</si>
  <si>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</si>
  <si>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</si>
  <si>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</si>
  <si>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</si>
  <si>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</si>
  <si>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</si>
  <si>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</si>
  <si>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</si>
  <si>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</si>
  <si>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</si>
  <si>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</si>
  <si>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</si>
  <si>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</si>
  <si>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</si>
  <si>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</si>
  <si>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</si>
  <si>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</si>
  <si>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</si>
  <si>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</si>
  <si>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</si>
  <si>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</si>
  <si>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</si>
  <si>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</si>
  <si>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</si>
  <si>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</si>
  <si>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</si>
  <si>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</si>
  <si>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</si>
  <si>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</si>
  <si>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</si>
  <si>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</si>
  <si>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</si>
  <si>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</si>
  <si>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</si>
  <si>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</si>
  <si>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</si>
  <si>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</si>
  <si>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</si>
  <si>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</si>
  <si>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</si>
  <si>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</si>
  <si>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</si>
  <si>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</si>
  <si>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</si>
  <si>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</si>
  <si>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</si>
  <si>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</si>
  <si>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</si>
  <si>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</si>
  <si>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</si>
  <si>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</si>
  <si>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</si>
  <si>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</si>
  <si>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</si>
  <si>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</si>
  <si>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</si>
  <si>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</si>
  <si>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</si>
  <si>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</si>
  <si>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</si>
  <si>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</si>
  <si>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</si>
  <si>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</si>
  <si>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</si>
  <si>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</si>
  <si>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</si>
  <si>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</si>
  <si>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</si>
  <si>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</si>
  <si>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</si>
  <si>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</si>
  <si>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</si>
  <si>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</si>
  <si>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</si>
  <si>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</si>
  <si>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</si>
  <si>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</si>
  <si>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</si>
  <si>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</si>
  <si>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</si>
  <si>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</si>
  <si>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</si>
  <si>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</si>
  <si>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</si>
  <si>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</si>
  <si>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</si>
  <si>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</si>
  <si>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</si>
  <si>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</si>
  <si>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</si>
  <si>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</si>
  <si>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</si>
  <si>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</si>
  <si>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</si>
  <si>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</si>
  <si>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</si>
  <si>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</si>
  <si>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</si>
  <si>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</si>
  <si>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</si>
  <si>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</si>
  <si>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</si>
  <si>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</si>
  <si>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</si>
  <si>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</si>
  <si>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</si>
  <si>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</si>
  <si>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</si>
  <si>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</si>
  <si>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</si>
  <si>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</si>
  <si>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</si>
  <si>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</si>
  <si>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</si>
  <si>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</si>
  <si>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</si>
  <si>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</si>
  <si>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</si>
  <si>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</si>
  <si>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</si>
  <si>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</si>
  <si>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</si>
  <si>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</si>
  <si>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</si>
  <si>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</si>
  <si>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</si>
  <si>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</si>
  <si>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</si>
  <si>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</si>
  <si>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</si>
  <si>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</si>
  <si>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</si>
  <si>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</si>
  <si>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</si>
  <si>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</si>
  <si>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</si>
  <si>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</si>
  <si>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</si>
  <si>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</si>
  <si>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</si>
  <si>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</si>
  <si>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</si>
  <si>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</si>
  <si>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</si>
  <si>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</si>
  <si>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</si>
  <si>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</si>
  <si>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</si>
  <si>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</si>
  <si>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</si>
  <si>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</si>
  <si>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</si>
  <si>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</si>
  <si>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</si>
  <si>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</si>
  <si>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</si>
  <si>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</si>
  <si>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</si>
  <si>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</si>
  <si>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</si>
  <si>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</si>
  <si>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</si>
  <si>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</si>
  <si>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</si>
  <si>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</si>
  <si>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</si>
  <si>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</si>
  <si>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</si>
  <si>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</si>
  <si>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</si>
  <si>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</si>
  <si>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</si>
  <si>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</si>
  <si>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</si>
  <si>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</si>
  <si>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</si>
  <si>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</si>
  <si>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</si>
  <si>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</si>
  <si>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</si>
  <si>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</si>
  <si>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</si>
  <si>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</si>
  <si>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</si>
  <si>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</si>
  <si>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</si>
  <si>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</si>
  <si>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</si>
  <si>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</si>
  <si>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</si>
  <si>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</si>
  <si>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</si>
  <si>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</si>
  <si>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</si>
  <si>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</si>
  <si>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</si>
  <si>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</si>
  <si>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</si>
  <si>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</si>
  <si>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</si>
  <si>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</si>
  <si>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</si>
  <si>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</si>
  <si>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</si>
  <si>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</si>
  <si>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</si>
  <si>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</si>
  <si>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</si>
  <si>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</si>
  <si>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</si>
  <si>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</si>
  <si>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</si>
  <si>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</si>
  <si>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</si>
  <si>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</si>
  <si>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</si>
  <si>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</si>
  <si>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</si>
  <si>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</si>
  <si>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</si>
  <si>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</si>
  <si>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</si>
  <si>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</si>
  <si>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</si>
  <si>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</si>
  <si>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</si>
  <si>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</si>
  <si>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</si>
  <si>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</si>
  <si>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</si>
  <si>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</si>
  <si>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</si>
  <si>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</si>
  <si>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</si>
  <si>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</si>
  <si>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</si>
  <si>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</si>
  <si>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</si>
  <si>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</si>
  <si>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</si>
  <si>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</si>
  <si>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</si>
  <si>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</si>
  <si>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</si>
  <si>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</si>
  <si>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</si>
  <si>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</si>
  <si>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</si>
  <si>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</si>
  <si>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</si>
  <si>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</si>
  <si>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</si>
  <si>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</si>
  <si>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</si>
  <si>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</si>
  <si>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</si>
  <si>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</si>
  <si>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</si>
  <si>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</si>
  <si>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</si>
  <si>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</si>
  <si>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</si>
  <si>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</si>
  <si>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</si>
  <si>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</si>
  <si>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</si>
  <si>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</si>
  <si>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</si>
  <si>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</si>
  <si>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</si>
  <si>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</si>
  <si>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</si>
  <si>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</si>
  <si>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</si>
  <si>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</si>
  <si>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</si>
  <si>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</si>
  <si>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</si>
  <si>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</si>
  <si>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</si>
  <si>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</si>
  <si>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</si>
  <si>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</si>
  <si>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</si>
  <si>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</si>
  <si>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</si>
  <si>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</si>
  <si>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</si>
  <si>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</si>
  <si>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</si>
  <si>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</si>
  <si>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</si>
  <si>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</si>
  <si>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</si>
  <si>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</si>
  <si>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</si>
  <si>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</si>
  <si>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</si>
  <si>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</si>
  <si>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</si>
  <si>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</si>
  <si>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</si>
  <si>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</si>
  <si>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</si>
  <si>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</si>
  <si>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</si>
  <si>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</si>
  <si>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</si>
  <si>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</si>
  <si>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</si>
  <si>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</si>
  <si>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</si>
  <si>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</si>
  <si>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</si>
  <si>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</si>
  <si>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</si>
  <si>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</si>
  <si>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</si>
  <si>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</si>
  <si>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</si>
  <si>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</si>
  <si>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</si>
  <si>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</si>
  <si>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</si>
  <si>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</si>
  <si>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</si>
  <si>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</si>
  <si>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</si>
  <si>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</si>
  <si>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</si>
  <si>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</si>
  <si>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</si>
  <si>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</si>
  <si>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</si>
  <si>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</si>
  <si>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</si>
  <si>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</si>
  <si>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</si>
  <si>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</si>
  <si>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</si>
  <si>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</si>
  <si>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</si>
  <si>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</si>
  <si>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</si>
  <si>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</si>
  <si>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</si>
  <si>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</si>
  <si>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</si>
  <si>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</si>
  <si>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</si>
  <si>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</si>
  <si>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</si>
  <si>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</si>
  <si>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</si>
  <si>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</si>
  <si>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</si>
  <si>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</si>
  <si>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</si>
  <si>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</si>
  <si>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</si>
  <si>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</si>
  <si>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</si>
  <si>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</si>
  <si>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</si>
  <si>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</si>
  <si>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</si>
  <si>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</si>
  <si>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</si>
  <si>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</si>
  <si>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</si>
  <si>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</si>
  <si>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</si>
  <si>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</si>
  <si>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</si>
  <si>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</si>
  <si>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</si>
  <si>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</si>
  <si>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</si>
  <si>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</si>
  <si>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</si>
  <si>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</si>
  <si>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</si>
  <si>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</si>
  <si>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</si>
  <si>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</si>
  <si>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</si>
  <si>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</si>
  <si>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</si>
  <si>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</si>
  <si>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</si>
  <si>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</si>
  <si>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</si>
  <si>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</si>
  <si>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</si>
  <si>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</si>
  <si>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</si>
  <si>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</si>
  <si>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</si>
  <si>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</si>
  <si>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</si>
  <si>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</si>
  <si>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</si>
  <si>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</si>
  <si>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</si>
  <si>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</si>
  <si>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</si>
  <si>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</si>
  <si>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</si>
  <si>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</si>
  <si>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</si>
  <si>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</si>
  <si>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</si>
  <si>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</si>
  <si>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</si>
  <si>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</si>
  <si>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</si>
  <si>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</si>
  <si>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</si>
  <si>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</si>
  <si>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</si>
  <si>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</si>
  <si>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</si>
  <si>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</si>
  <si>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</si>
  <si>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</si>
  <si>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</si>
  <si>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</si>
  <si>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</si>
  <si>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</si>
  <si>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</si>
  <si>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</si>
  <si>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</si>
  <si>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</si>
  <si>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</si>
  <si>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</si>
  <si>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</si>
  <si>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</si>
  <si>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</si>
  <si>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</si>
  <si>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</si>
  <si>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</si>
  <si>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</si>
  <si>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</si>
  <si>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</si>
  <si>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</si>
  <si>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</si>
  <si>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</si>
  <si>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</si>
  <si>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</si>
  <si>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</si>
  <si>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</si>
  <si>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</si>
  <si>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</si>
  <si>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</si>
  <si>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</si>
  <si>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</si>
  <si>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</si>
  <si>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</si>
  <si>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</si>
  <si>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</si>
  <si>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</si>
  <si>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</si>
  <si>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</si>
  <si>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</si>
  <si>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</si>
  <si>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</si>
  <si>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</si>
  <si>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</si>
  <si>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</si>
  <si>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</si>
  <si>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</si>
  <si>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</si>
  <si>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</si>
  <si>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</si>
  <si>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</si>
  <si>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</si>
  <si>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</si>
  <si>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</si>
  <si>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</si>
  <si>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</si>
  <si>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</si>
  <si>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</si>
  <si>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</si>
  <si>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</si>
  <si>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</si>
  <si>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</si>
  <si>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</si>
  <si>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</si>
  <si>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</si>
  <si>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</si>
  <si>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</si>
  <si>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</si>
  <si>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</si>
  <si>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</si>
  <si>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</si>
  <si>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</si>
  <si>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</si>
  <si>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</si>
  <si>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</si>
  <si>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</si>
  <si>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</si>
  <si>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</si>
  <si>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</si>
  <si>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</si>
  <si>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</si>
  <si>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</si>
  <si>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</si>
  <si>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</si>
  <si>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</si>
  <si>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</si>
  <si>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</si>
  <si>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</si>
  <si>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</si>
  <si>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</si>
  <si>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</si>
  <si>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</si>
  <si>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</si>
  <si>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</si>
  <si>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</si>
  <si>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</si>
  <si>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</si>
  <si>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</si>
  <si>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</si>
  <si>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</si>
  <si>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</si>
  <si>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</si>
  <si>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</si>
  <si>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</si>
  <si>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</si>
  <si>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</si>
  <si>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</si>
  <si>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</si>
  <si>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</si>
  <si>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</si>
  <si>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</si>
  <si>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</si>
  <si>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</si>
  <si>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</si>
  <si>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</si>
  <si>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</si>
  <si>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</si>
  <si>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</si>
  <si>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</si>
  <si>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</si>
  <si>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</si>
  <si>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</si>
  <si>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</si>
  <si>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</si>
  <si>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</si>
  <si>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</si>
  <si>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</si>
  <si>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</si>
  <si>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</si>
  <si>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</si>
  <si>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</si>
  <si>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</si>
  <si>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</si>
  <si>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</si>
  <si>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</si>
  <si>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</si>
  <si>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</si>
  <si>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</si>
  <si>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</si>
  <si>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</si>
  <si>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</si>
  <si>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</si>
  <si>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</si>
  <si>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</si>
  <si>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</si>
  <si>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</si>
  <si>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</si>
  <si>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</si>
  <si>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</si>
  <si>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</si>
  <si>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</si>
  <si>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</si>
  <si>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</si>
  <si>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</si>
  <si>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</si>
  <si>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</si>
  <si>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</si>
  <si>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</si>
  <si>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</si>
  <si>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</si>
  <si>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</si>
  <si>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</si>
  <si>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</si>
  <si>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</si>
  <si>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</si>
  <si>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</si>
  <si>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</si>
  <si>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</si>
  <si>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</si>
  <si>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</si>
  <si>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</si>
  <si>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</si>
  <si>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</si>
  <si>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</si>
  <si>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</si>
  <si>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</si>
  <si>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</si>
  <si>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</si>
  <si>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</si>
  <si>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</si>
  <si>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</si>
  <si>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</si>
  <si>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</si>
  <si>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</si>
  <si>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</si>
  <si>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</si>
  <si>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</si>
  <si>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</si>
  <si>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</si>
  <si>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</si>
  <si>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</si>
  <si>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</si>
  <si>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</si>
  <si>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</si>
  <si>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</si>
  <si>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</si>
  <si>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</si>
  <si>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</si>
  <si>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</si>
  <si>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</si>
  <si>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</si>
  <si>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</si>
  <si>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</si>
  <si>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</si>
  <si>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</si>
  <si>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</si>
  <si>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</si>
  <si>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</si>
  <si>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</si>
  <si>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</si>
  <si>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</si>
  <si>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</si>
  <si>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</si>
  <si>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</si>
  <si>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</si>
  <si>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</si>
  <si>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</si>
  <si>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</si>
  <si>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</si>
  <si>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</si>
  <si>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</si>
  <si>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</si>
  <si>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</si>
  <si>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</si>
  <si>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</si>
  <si>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</si>
  <si>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</si>
  <si>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</si>
  <si>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</si>
  <si>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</si>
  <si>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</si>
  <si>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</si>
  <si>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</si>
  <si>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</si>
  <si>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</si>
  <si>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</si>
  <si>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</si>
  <si>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</si>
  <si>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</si>
  <si>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</si>
  <si>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</si>
  <si>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</si>
  <si>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</si>
  <si>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</si>
  <si>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</si>
  <si>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</si>
  <si>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</si>
  <si>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</si>
  <si>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</si>
  <si>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</si>
  <si>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</si>
  <si>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</si>
  <si>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</si>
  <si>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</si>
  <si>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</si>
  <si>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</si>
  <si>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</si>
  <si>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</si>
  <si>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</si>
  <si>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</si>
  <si>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</si>
  <si>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</si>
  <si>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</si>
  <si>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</si>
  <si>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</si>
  <si>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</si>
  <si>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</si>
  <si>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</si>
  <si>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</si>
  <si>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</si>
  <si>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</si>
  <si>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</si>
  <si>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</si>
  <si>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</si>
  <si>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</si>
  <si>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</si>
  <si>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</si>
  <si>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</si>
  <si>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</si>
  <si>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</si>
  <si>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</si>
  <si>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</si>
  <si>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</si>
  <si>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</si>
  <si>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</si>
  <si>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</si>
  <si>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</si>
  <si>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</si>
  <si>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</si>
  <si>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</si>
  <si>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</si>
  <si>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</si>
  <si>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</si>
  <si>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</si>
  <si>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</si>
  <si>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</si>
  <si>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</si>
  <si>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</si>
  <si>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</si>
  <si>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</si>
  <si>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</si>
  <si>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</si>
  <si>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</si>
  <si>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</si>
  <si>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</si>
  <si>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</si>
  <si>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</si>
  <si>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</si>
  <si>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</si>
  <si>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</si>
  <si>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</si>
  <si>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</si>
  <si>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</si>
  <si>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</si>
  <si>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</si>
  <si>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</si>
  <si>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</si>
  <si>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</si>
  <si>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</si>
  <si>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</si>
  <si>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</si>
  <si>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</si>
  <si>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</si>
  <si>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</si>
  <si>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</si>
  <si>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</si>
  <si>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</si>
  <si>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</si>
  <si>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</si>
  <si>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</si>
  <si>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</si>
  <si>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</si>
  <si>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</si>
  <si>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</si>
  <si>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</si>
  <si>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</si>
  <si>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</si>
  <si>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</si>
  <si>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</si>
  <si>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</si>
  <si>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</si>
  <si>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</si>
  <si>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</si>
  <si>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</si>
  <si>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</si>
  <si>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</si>
  <si>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</si>
  <si>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</si>
  <si>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</si>
  <si>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</si>
  <si>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</si>
  <si>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</si>
  <si>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</si>
  <si>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</si>
  <si>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</si>
  <si>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</si>
  <si>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</si>
  <si>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</si>
  <si>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</si>
  <si>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</si>
  <si>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</si>
  <si>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</si>
  <si>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</si>
  <si>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</si>
  <si>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</si>
  <si>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</si>
  <si>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</si>
  <si>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</si>
  <si>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</si>
  <si>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</si>
  <si>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</si>
  <si>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</si>
  <si>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</si>
  <si>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</si>
  <si>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</si>
  <si>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</si>
  <si>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</si>
  <si>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</si>
  <si>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</si>
  <si>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</si>
  <si>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</si>
  <si>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</si>
  <si>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</si>
  <si>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</si>
  <si>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</si>
  <si>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</si>
  <si>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</si>
  <si>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</si>
  <si>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</si>
  <si>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</si>
  <si>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</si>
  <si>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</si>
  <si>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</si>
  <si>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</si>
  <si>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</si>
  <si>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</si>
  <si>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</si>
  <si>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</si>
  <si>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</si>
  <si>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</si>
  <si>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</si>
  <si>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</si>
  <si>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</si>
  <si>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</si>
  <si>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</si>
  <si>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</si>
  <si>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</si>
  <si>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</si>
  <si>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</si>
  <si>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</si>
  <si>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</si>
  <si>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</si>
  <si>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</si>
  <si>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</si>
  <si>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</si>
  <si>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</si>
  <si>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</si>
  <si>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</si>
  <si>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</si>
  <si>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</si>
  <si>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</si>
  <si>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</si>
  <si>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</si>
  <si>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</si>
  <si>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</si>
  <si>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</si>
  <si>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</si>
  <si>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</si>
  <si>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</si>
  <si>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</si>
  <si>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</si>
  <si>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</si>
  <si>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</si>
  <si>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</si>
  <si>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</si>
  <si>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</si>
  <si>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</si>
  <si>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</si>
  <si>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</si>
  <si>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</si>
  <si>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</si>
  <si>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</si>
  <si>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</si>
  <si>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</si>
  <si>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</si>
  <si>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</si>
  <si>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</si>
  <si>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</si>
  <si>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</si>
  <si>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</si>
  <si>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</si>
  <si>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</si>
  <si>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</si>
  <si>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</si>
  <si>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</si>
  <si>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</si>
  <si>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</si>
  <si>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</si>
  <si>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</si>
  <si>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</si>
  <si>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</si>
  <si>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</si>
  <si>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</si>
  <si>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</si>
  <si>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</si>
  <si>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</si>
  <si>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</si>
  <si>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</si>
  <si>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</si>
  <si>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</si>
  <si>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</si>
  <si>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</si>
  <si>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</si>
  <si>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</si>
  <si>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</si>
  <si>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</si>
  <si>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</si>
  <si>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</si>
  <si>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</si>
  <si>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</si>
  <si>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</si>
  <si>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</si>
  <si>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</si>
  <si>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</si>
  <si>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</si>
  <si>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</si>
  <si>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</si>
  <si>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</si>
  <si>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</si>
  <si>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</si>
  <si>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</si>
  <si>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</si>
  <si>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</si>
  <si>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</si>
  <si>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</si>
  <si>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</si>
  <si>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</si>
  <si>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</si>
  <si>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</si>
  <si>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</si>
  <si>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</si>
  <si>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</si>
  <si>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</si>
  <si>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</si>
  <si>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</si>
  <si>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</si>
  <si>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</si>
  <si>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</si>
  <si>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</si>
  <si>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</si>
  <si>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</si>
  <si>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</si>
  <si>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</si>
  <si>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</si>
  <si>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</si>
  <si>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</si>
  <si>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</si>
  <si>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</si>
  <si>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</si>
  <si>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</si>
  <si>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</si>
  <si>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</si>
  <si>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</si>
  <si>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</si>
  <si>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</si>
  <si>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</si>
  <si>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</si>
  <si>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</si>
  <si>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</si>
  <si>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</si>
  <si>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</si>
  <si>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</si>
  <si>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</si>
  <si>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</si>
  <si>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</si>
  <si>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</si>
  <si>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</si>
  <si>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</si>
  <si>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</si>
  <si>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</si>
  <si>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</si>
  <si>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</si>
  <si>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</si>
  <si>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</si>
  <si>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</si>
  <si>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</si>
  <si>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</si>
  <si>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</si>
  <si>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</si>
  <si>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</si>
  <si>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</si>
  <si>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</si>
  <si>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</si>
  <si>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</si>
  <si>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</si>
  <si>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</si>
  <si>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</si>
  <si>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</si>
  <si>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</si>
  <si>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</si>
  <si>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</si>
  <si>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</si>
  <si>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</si>
  <si>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</si>
  <si>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</si>
  <si>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</si>
  <si>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</si>
  <si>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</si>
  <si>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</si>
  <si>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</si>
  <si>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</si>
  <si>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</si>
  <si>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</si>
  <si>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</si>
  <si>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</si>
  <si>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</si>
  <si>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</si>
  <si>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</si>
  <si>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</si>
  <si>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</si>
  <si>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</si>
  <si>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</si>
  <si>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</si>
  <si>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</si>
  <si>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</si>
  <si>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</si>
  <si>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</si>
  <si>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</si>
  <si>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</si>
  <si>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</si>
  <si>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</si>
  <si>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</si>
  <si>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</si>
  <si>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</si>
  <si>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</si>
  <si>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</si>
  <si>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</si>
  <si>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</si>
  <si>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</si>
  <si>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</si>
  <si>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</si>
  <si>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</si>
  <si>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</si>
  <si>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</si>
  <si>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</si>
  <si>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</si>
  <si>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</si>
  <si>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</si>
  <si>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</si>
  <si>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</si>
  <si>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</si>
  <si>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</si>
  <si>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</si>
  <si>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</si>
  <si>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</si>
  <si>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</si>
  <si>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</si>
  <si>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</si>
  <si>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</si>
  <si>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</si>
  <si>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</si>
  <si>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</si>
  <si>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</si>
  <si>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</si>
  <si>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</si>
  <si>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</si>
  <si>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</si>
  <si>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</si>
  <si>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</si>
  <si>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</si>
  <si>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</si>
  <si>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</si>
  <si>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</si>
  <si>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</si>
  <si>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</si>
  <si>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</si>
  <si>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</si>
  <si>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</si>
  <si>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</si>
  <si>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</si>
  <si>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</si>
  <si>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</si>
  <si>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</si>
  <si>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</si>
  <si>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</si>
  <si>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</si>
  <si>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</si>
  <si>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</si>
  <si>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</si>
  <si>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</si>
  <si>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</si>
  <si>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</si>
  <si>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</si>
  <si>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</si>
  <si>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</si>
  <si>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</si>
  <si>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</si>
  <si>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</si>
  <si>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</si>
  <si>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</si>
  <si>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</si>
  <si>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</si>
  <si>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</si>
  <si>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</si>
  <si>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</si>
  <si>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</si>
  <si>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</si>
  <si>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</si>
  <si>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</si>
  <si>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</si>
  <si>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</si>
  <si>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</si>
  <si>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</si>
  <si>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</si>
  <si>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</si>
  <si>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</si>
  <si>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</si>
  <si>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</si>
  <si>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</si>
  <si>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</si>
  <si>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</si>
  <si>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</si>
  <si>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</si>
  <si>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</si>
  <si>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</si>
  <si>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</si>
  <si>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</si>
  <si>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</si>
  <si>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</si>
  <si>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</si>
  <si>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</si>
  <si>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</si>
  <si>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</si>
  <si>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</si>
  <si>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</si>
  <si>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</si>
  <si>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</si>
  <si>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</si>
  <si>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</si>
  <si>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</si>
  <si>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</si>
  <si>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</si>
  <si>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</si>
  <si>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</si>
  <si>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</si>
  <si>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</si>
  <si>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</si>
  <si>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</si>
  <si>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</si>
  <si>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</si>
  <si>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</si>
  <si>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</si>
  <si>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</si>
  <si>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</si>
  <si>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</si>
  <si>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</si>
  <si>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</si>
  <si>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</si>
  <si>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</si>
  <si>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</si>
  <si>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</si>
  <si>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</si>
  <si>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</si>
  <si>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</si>
  <si>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</si>
  <si>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</si>
  <si>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</si>
  <si>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</si>
  <si>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</si>
  <si>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</si>
  <si>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</si>
  <si>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</si>
  <si>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</si>
  <si>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</si>
  <si>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</si>
  <si>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</si>
  <si>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</si>
  <si>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</si>
  <si>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</si>
  <si>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</si>
  <si>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</si>
  <si>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</si>
  <si>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</si>
  <si>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</si>
  <si>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</si>
  <si>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</si>
  <si>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</si>
  <si>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</si>
  <si>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</si>
  <si>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</si>
  <si>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</si>
  <si>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</si>
  <si>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</si>
  <si>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</si>
  <si>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</si>
  <si>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</si>
  <si>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</si>
  <si>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</si>
  <si>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</si>
  <si>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</si>
  <si>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</si>
  <si>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</si>
  <si>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</si>
  <si>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</si>
  <si>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</si>
  <si>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</si>
  <si>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</si>
  <si>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</si>
  <si>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</si>
  <si>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</si>
  <si>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</si>
  <si>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</si>
  <si>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</si>
  <si>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</si>
  <si>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</si>
  <si>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</si>
  <si>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</si>
  <si>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</si>
  <si>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</si>
  <si>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</si>
  <si>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</si>
  <si>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</si>
  <si>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</si>
  <si>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</si>
  <si>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</si>
  <si>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</si>
  <si>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</si>
  <si>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</si>
  <si>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</si>
  <si>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</si>
  <si>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</si>
  <si>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</si>
  <si>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</si>
  <si>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</si>
  <si>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</si>
  <si>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</si>
  <si>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</si>
  <si>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</si>
  <si>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</si>
  <si>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</si>
  <si>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</si>
  <si>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</si>
  <si>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</si>
  <si>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</si>
  <si>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</si>
  <si>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</si>
  <si>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</si>
  <si>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</si>
  <si>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</si>
  <si>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</si>
  <si>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</si>
  <si>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</si>
  <si>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</si>
  <si>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</si>
  <si>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</si>
  <si>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</si>
  <si>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</si>
  <si>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</si>
  <si>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</si>
  <si>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</si>
  <si>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</si>
  <si>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</si>
  <si>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</si>
  <si>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</si>
  <si>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</si>
  <si>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</si>
  <si>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</si>
  <si>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</si>
  <si>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</si>
  <si>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</si>
  <si>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</si>
  <si>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</si>
  <si>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</si>
  <si>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</si>
  <si>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</si>
  <si>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</si>
  <si>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</si>
  <si>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</si>
  <si>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</si>
  <si>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</si>
  <si>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</si>
  <si>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</si>
  <si>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</si>
  <si>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</si>
  <si>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</si>
  <si>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</si>
  <si>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</si>
  <si>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</si>
  <si>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</si>
  <si>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</si>
  <si>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</si>
  <si>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</si>
  <si>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</si>
  <si>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</si>
  <si>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</si>
  <si>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</si>
  <si>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</si>
  <si>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</si>
  <si>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</si>
  <si>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</si>
  <si>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</si>
  <si>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</si>
  <si>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</si>
  <si>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</si>
  <si>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</si>
  <si>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</si>
  <si>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</si>
  <si>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</si>
  <si>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</si>
  <si>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</si>
  <si>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</si>
  <si>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</si>
  <si>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</si>
  <si>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</si>
  <si>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</si>
  <si>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</si>
  <si>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</si>
  <si>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</si>
  <si>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</si>
  <si>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</si>
  <si>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</si>
  <si>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</si>
  <si>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</si>
  <si>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</si>
  <si>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</si>
  <si>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</si>
  <si>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</si>
  <si>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</si>
  <si>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</si>
  <si>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</si>
  <si>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</si>
  <si>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</si>
  <si>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</si>
  <si>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</si>
  <si>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</si>
  <si>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</si>
  <si>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</si>
  <si>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</si>
  <si>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</si>
  <si>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</si>
  <si>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</si>
  <si>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</si>
  <si>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</si>
  <si>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</si>
  <si>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</si>
  <si>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</si>
  <si>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</si>
  <si>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</si>
  <si>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</si>
  <si>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</si>
  <si>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</si>
  <si>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</si>
  <si>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</si>
  <si>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</si>
  <si>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</si>
  <si>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</si>
  <si>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</si>
  <si>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</si>
  <si>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</si>
  <si>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</si>
  <si>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</si>
  <si>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</si>
  <si>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</si>
  <si>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</si>
  <si>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</si>
  <si>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</si>
  <si>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</si>
  <si>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</si>
  <si>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</si>
  <si>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</si>
  <si>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</si>
  <si>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</si>
  <si>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</si>
  <si>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</si>
  <si>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</si>
  <si>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</si>
  <si>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</si>
  <si>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</si>
  <si>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</si>
  <si>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</si>
  <si>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</si>
  <si>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</si>
  <si>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</si>
  <si>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</si>
  <si>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</si>
  <si>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</si>
  <si>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</si>
  <si>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</si>
  <si>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</si>
  <si>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</si>
  <si>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</si>
  <si>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</si>
  <si>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</si>
  <si>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</si>
  <si>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</si>
  <si>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</si>
  <si>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</si>
  <si>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</si>
  <si>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</si>
  <si>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</si>
  <si>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</si>
  <si>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</si>
  <si>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</si>
  <si>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</si>
  <si>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</si>
  <si>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</si>
  <si>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</si>
  <si>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</si>
  <si>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</si>
  <si>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</si>
  <si>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</si>
  <si>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</si>
  <si>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</si>
  <si>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</si>
  <si>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</si>
  <si>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</si>
  <si>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</si>
  <si>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</si>
  <si>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</si>
  <si>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</si>
  <si>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</si>
  <si>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</si>
  <si>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</si>
  <si>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</si>
  <si>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</si>
  <si>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</si>
  <si>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</si>
  <si>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</si>
  <si>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</si>
  <si>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</si>
  <si>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</si>
  <si>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</si>
  <si>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</si>
  <si>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</si>
  <si>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</si>
  <si>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</si>
  <si>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</si>
  <si>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</si>
  <si>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</si>
  <si>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</si>
  <si>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</si>
  <si>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</si>
  <si>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</si>
  <si>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</si>
  <si>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</si>
  <si>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</si>
  <si>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</si>
  <si>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</si>
  <si>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</si>
  <si>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</si>
  <si>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</si>
  <si>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</si>
  <si>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</si>
  <si>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</si>
  <si>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</si>
  <si>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</si>
  <si>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</si>
  <si>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</si>
  <si>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</si>
  <si>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</si>
  <si>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</si>
  <si>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</si>
  <si>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</si>
  <si>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</si>
  <si>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</si>
  <si>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</si>
  <si>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</si>
  <si>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</si>
  <si>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</si>
  <si>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</si>
  <si>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</si>
  <si>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</si>
  <si>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</si>
  <si>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</si>
  <si>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</si>
  <si>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</si>
  <si>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</si>
  <si>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</si>
  <si>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</si>
  <si>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</si>
  <si>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</si>
  <si>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</si>
  <si>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</si>
  <si>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</si>
  <si>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</si>
  <si>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</si>
  <si>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</si>
  <si>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</si>
  <si>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</si>
  <si>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</si>
  <si>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</si>
  <si>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</si>
  <si>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</si>
  <si>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</si>
  <si>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</si>
  <si>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</si>
  <si>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</si>
  <si>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</si>
  <si>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</si>
  <si>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</si>
  <si>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</si>
  <si>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</si>
  <si>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</si>
  <si>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</si>
  <si>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</si>
  <si>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</si>
  <si>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</si>
  <si>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</si>
  <si>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</si>
  <si>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</si>
  <si>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</si>
  <si>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</si>
  <si>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</si>
  <si>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</si>
  <si>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</si>
  <si>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</si>
  <si>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</si>
  <si>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</si>
  <si>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</si>
  <si>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</si>
  <si>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</si>
  <si>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</si>
  <si>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</si>
  <si>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</si>
  <si>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</si>
  <si>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</si>
  <si>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</si>
  <si>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</si>
  <si>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</si>
  <si>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</si>
  <si>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</si>
  <si>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</si>
  <si>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</si>
  <si>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</si>
  <si>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</si>
  <si>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</si>
  <si>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</si>
  <si>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</si>
  <si>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</si>
  <si>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</si>
  <si>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</si>
  <si>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</si>
  <si>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</si>
  <si>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</si>
  <si>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</si>
  <si>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</si>
  <si>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</si>
  <si>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</si>
  <si>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</si>
  <si>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</si>
  <si>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</si>
  <si>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</si>
  <si>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</si>
  <si>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</si>
  <si>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</si>
  <si>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</si>
  <si>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</si>
  <si>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</si>
  <si>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</si>
  <si>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</si>
  <si>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</si>
  <si>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</si>
  <si>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</si>
  <si>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</si>
  <si>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</si>
  <si>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</si>
  <si>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</si>
  <si>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</si>
  <si>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</si>
  <si>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</si>
  <si>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</si>
  <si>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</si>
  <si>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</si>
  <si>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</si>
  <si>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</si>
  <si>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</si>
  <si>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</si>
  <si>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</si>
  <si>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</si>
  <si>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</si>
  <si>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</si>
  <si>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</si>
  <si>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</si>
  <si>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</si>
  <si>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</si>
  <si>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</si>
  <si>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</si>
  <si>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</si>
  <si>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</si>
  <si>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</si>
  <si>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</si>
  <si>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</si>
  <si>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</si>
  <si>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</si>
  <si>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</si>
  <si>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</si>
  <si>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</si>
  <si>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</si>
  <si>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</si>
  <si>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</si>
  <si>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</si>
  <si>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</si>
  <si>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</si>
  <si>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</si>
  <si>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</si>
  <si>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</si>
  <si>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</si>
  <si>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</si>
  <si>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</si>
  <si>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</si>
  <si>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</si>
  <si>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</si>
  <si>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</si>
  <si>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</si>
  <si>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</si>
  <si>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</si>
  <si>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</si>
  <si>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</si>
  <si>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</si>
  <si>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</si>
  <si>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</si>
  <si>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</si>
  <si>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</si>
  <si>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</si>
  <si>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</si>
  <si>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</si>
  <si>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</si>
  <si>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</si>
  <si>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</si>
  <si>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</si>
  <si>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</si>
  <si>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</si>
  <si>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</si>
  <si>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</si>
  <si>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</si>
  <si>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</si>
  <si>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</si>
  <si>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</si>
  <si>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</si>
  <si>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</si>
  <si>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</si>
  <si>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</si>
  <si>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</si>
  <si>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</si>
  <si>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</si>
  <si>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</si>
  <si>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</si>
  <si>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</si>
  <si>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</si>
  <si>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</si>
  <si>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</si>
  <si>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</si>
  <si>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</si>
  <si>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</si>
  <si>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</si>
  <si>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</si>
  <si>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</si>
  <si>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</si>
  <si>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</si>
  <si>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</si>
  <si>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</si>
  <si>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</si>
  <si>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</si>
  <si>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</si>
  <si>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</si>
  <si>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</si>
  <si>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</si>
  <si>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</si>
  <si>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</si>
  <si>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</si>
  <si>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</si>
  <si>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</si>
  <si>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</si>
  <si>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</si>
  <si>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</si>
  <si>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</si>
  <si>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</si>
  <si>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</si>
  <si>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</si>
  <si>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</si>
  <si>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</si>
  <si>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</si>
  <si>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</si>
  <si>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</si>
  <si>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</si>
  <si>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</si>
  <si>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</si>
  <si>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</si>
  <si>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</si>
  <si>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</si>
  <si>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</si>
  <si>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</si>
  <si>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</si>
  <si>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</si>
  <si>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</si>
  <si>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</si>
  <si>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</si>
  <si>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</si>
  <si>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</si>
  <si>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</si>
  <si>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</si>
  <si>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</si>
  <si>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</si>
  <si>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</si>
  <si>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</si>
  <si>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</si>
  <si>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</si>
  <si>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</si>
  <si>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</si>
  <si>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</si>
  <si>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</si>
  <si>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</si>
  <si>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</si>
  <si>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</si>
  <si>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</si>
  <si>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</si>
  <si>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</si>
  <si>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</si>
  <si>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</si>
  <si>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</si>
  <si>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</si>
  <si>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</si>
  <si>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</si>
  <si>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</si>
  <si>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</si>
  <si>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</si>
  <si>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</si>
  <si>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</si>
  <si>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</si>
  <si>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</si>
  <si>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</si>
  <si>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</si>
  <si>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</si>
  <si>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</si>
  <si>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</si>
  <si>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</si>
  <si>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</si>
  <si>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</si>
  <si>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</si>
  <si>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</si>
  <si>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</si>
  <si>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</si>
  <si>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</si>
  <si>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</si>
  <si>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</si>
  <si>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</si>
  <si>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</si>
  <si>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</si>
  <si>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</si>
  <si>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</si>
  <si>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</si>
  <si>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</si>
  <si>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</si>
  <si>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</si>
  <si>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</si>
  <si>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</si>
  <si>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</si>
  <si>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</si>
  <si>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</si>
  <si>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</si>
  <si>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</si>
  <si>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</si>
  <si>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</si>
  <si>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</si>
  <si>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</si>
  <si>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</si>
  <si>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</si>
  <si>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</si>
  <si>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</si>
  <si>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</si>
  <si>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</si>
  <si>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</si>
  <si>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</si>
  <si>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</si>
  <si>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</si>
  <si>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</si>
  <si>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</si>
  <si>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</si>
  <si>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</si>
  <si>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</si>
  <si>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</si>
  <si>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</si>
  <si>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</si>
  <si>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</si>
  <si>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</si>
  <si>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</si>
  <si>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</si>
  <si>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</si>
  <si>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</si>
  <si>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</si>
  <si>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</si>
  <si>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</si>
  <si>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</si>
  <si>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</si>
  <si>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</si>
  <si>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</si>
  <si>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</si>
  <si>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</si>
  <si>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</si>
  <si>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</si>
  <si>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</si>
  <si>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</si>
  <si>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</si>
  <si>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</si>
  <si>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</si>
  <si>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</si>
  <si>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</si>
  <si>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</si>
  <si>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</si>
  <si>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</si>
  <si>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</si>
  <si>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</si>
  <si>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</si>
  <si>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</si>
  <si>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</si>
  <si>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</si>
  <si>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</si>
  <si>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</si>
  <si>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</si>
  <si>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</si>
  <si>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</si>
  <si>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</si>
  <si>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</si>
  <si>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</si>
  <si>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</si>
  <si>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</si>
  <si>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</si>
  <si>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</si>
  <si>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</si>
  <si>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</si>
  <si>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</si>
  <si>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</si>
  <si>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</si>
  <si>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</si>
  <si>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</si>
  <si>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</si>
  <si>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</si>
  <si>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</si>
  <si>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</si>
  <si>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</si>
  <si>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</si>
  <si>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</si>
  <si>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</si>
  <si>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</si>
  <si>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</si>
  <si>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</si>
  <si>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</si>
  <si>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</si>
  <si>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</si>
  <si>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</si>
  <si>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</si>
  <si>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</si>
  <si>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</si>
  <si>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</si>
  <si>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</si>
  <si>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</si>
  <si>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</si>
  <si>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</si>
  <si>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</si>
  <si>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</si>
  <si>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</si>
  <si>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</si>
  <si>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</si>
  <si>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</si>
  <si>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</si>
  <si>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</si>
  <si>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</si>
  <si>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</si>
  <si>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</si>
  <si>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</si>
  <si>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</si>
  <si>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Bengaluru</t>
  </si>
  <si>
    <t>Net_Revenue</t>
  </si>
  <si>
    <t>Grand Total</t>
  </si>
  <si>
    <t>Sum of Units_Sold</t>
  </si>
  <si>
    <t>sales by product category</t>
  </si>
  <si>
    <t>profit by product category</t>
  </si>
  <si>
    <t>Sum of Profit</t>
  </si>
  <si>
    <t>sales by city</t>
  </si>
  <si>
    <t>Sum of Sales_Amount</t>
  </si>
  <si>
    <t>sales by segment</t>
  </si>
  <si>
    <t>product performance</t>
  </si>
  <si>
    <t>monthly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</si>
  <si>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</si>
  <si>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</si>
  <si>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</si>
  <si>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</si>
  <si>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</si>
  <si>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</si>
  <si>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</si>
  <si>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</si>
  <si>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</si>
  <si>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</si>
  <si>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</si>
  <si>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</si>
  <si>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</t>
  </si>
  <si>
    <t>Month</t>
  </si>
  <si>
    <t>Product Name</t>
  </si>
  <si>
    <t>Product Category</t>
  </si>
  <si>
    <t>Product_Key</t>
  </si>
  <si>
    <t>Date_Key</t>
  </si>
  <si>
    <t>Year</t>
  </si>
  <si>
    <t>Month_Number</t>
  </si>
  <si>
    <t>City_Key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</si>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</sst>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Times New Roman"/>
      <family val="1"/>
    </font>
    <font>
      <sz val="11"/>
      <color theme="1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42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164" fontId="18" fillId="0" borderId="0" xfId="0" applyNumberFormat="1" applyFont="1"/>
    <xf numFmtId="0" fontId="19" fillId="0" borderId="0" xfId="0" applyFont="1"/>
    <xf numFmtId="1" fontId="18" fillId="0" borderId="0" xfId="0" applyNumberFormat="1" applyFont="1"/>
    <xf numFmtId="49" fontId="13" fillId="38" borderId="11" xfId="0" applyNumberFormat="1" applyFont="1" applyFill="1" applyBorder="1" applyAlignment="1">
      <alignment horizontal="center" vertical="center"/>
    </xf>
    <xf numFmtId="0" fontId="0" fillId="39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39" borderId="11" xfId="0" applyNumberFormat="1" applyFill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14" fontId="0" fillId="39" borderId="11" xfId="0" applyNumberForma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39" borderId="12" xfId="0" applyFill="1" applyBorder="1" applyAlignment="1">
      <alignment horizontal="center" vertical="center"/>
    </xf>
    <xf numFmtId="0" fontId="0" fillId="39" borderId="1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9" borderId="14" xfId="0" applyFill="1" applyBorder="1" applyAlignment="1">
      <alignment horizontal="center" vertical="center"/>
    </xf>
    <xf numFmtId="49" fontId="0" fillId="39" borderId="14" xfId="0" applyNumberFormat="1" applyFill="1" applyBorder="1" applyAlignment="1">
      <alignment horizontal="center" vertical="center"/>
    </xf>
    <xf numFmtId="1" fontId="0" fillId="39" borderId="14" xfId="0" applyNumberFormat="1" applyFill="1" applyBorder="1" applyAlignment="1">
      <alignment horizontal="center" vertical="center"/>
    </xf>
    <xf numFmtId="164" fontId="0" fillId="39" borderId="14" xfId="42" applyNumberFormat="1" applyFont="1" applyFill="1" applyBorder="1" applyAlignment="1">
      <alignment horizontal="center" vertical="center"/>
    </xf>
    <xf numFmtId="9" fontId="0" fillId="39" borderId="14" xfId="0" applyNumberFormat="1" applyFill="1" applyBorder="1" applyAlignment="1">
      <alignment horizontal="center" vertical="center"/>
    </xf>
    <xf numFmtId="14" fontId="0" fillId="39" borderId="14" xfId="0" applyNumberFormat="1" applyFill="1" applyBorder="1" applyAlignment="1">
      <alignment horizontal="center" vertical="center"/>
    </xf>
    <xf numFmtId="164" fontId="0" fillId="39" borderId="14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64" fontId="0" fillId="0" borderId="14" xfId="42" applyNumberFormat="1" applyFon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13" fillId="38" borderId="0" xfId="0" applyNumberFormat="1" applyFont="1" applyFill="1" applyAlignment="1">
      <alignment horizontal="center" vertical="center"/>
    </xf>
    <xf numFmtId="49" fontId="13" fillId="38" borderId="0" xfId="0" applyNumberFormat="1" applyFont="1" applyFill="1" applyAlignment="1">
      <alignment horizontal="center" vertical="center"/>
    </xf>
    <xf numFmtId="164" fontId="13" fillId="38" borderId="0" xfId="42" applyNumberFormat="1" applyFont="1" applyFill="1" applyBorder="1" applyAlignment="1">
      <alignment horizontal="center" vertical="center"/>
    </xf>
    <xf numFmtId="9" fontId="13" fillId="38" borderId="0" xfId="0" applyNumberFormat="1" applyFont="1" applyFill="1" applyAlignment="1">
      <alignment horizontal="center" vertical="center"/>
    </xf>
    <xf numFmtId="14" fontId="13" fillId="38" borderId="0" xfId="0" applyNumberFormat="1" applyFont="1" applyFill="1" applyAlignment="1">
      <alignment horizontal="center" vertical="center"/>
    </xf>
    <xf numFmtId="164" fontId="13" fillId="38" borderId="0" xfId="0" applyNumberFormat="1" applyFont="1" applyFill="1" applyAlignment="1">
      <alignment horizontal="center" vertical="center"/>
    </xf>
    <xf numFmtId="0" fontId="13" fillId="38" borderId="15" xfId="0" applyFont="1" applyFill="1" applyBorder="1" applyAlignment="1">
      <alignment horizontal="center" vertical="center"/>
    </xf>
    <xf numFmtId="0" fontId="13" fillId="38" borderId="16" xfId="0" applyFont="1" applyFill="1" applyBorder="1" applyAlignment="1">
      <alignment horizontal="center" vertical="center"/>
    </xf>
    <xf numFmtId="0" fontId="13" fillId="38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36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8" fillId="37" borderId="1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1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ul G.S" refreshedDate="46253.851285763893" createdVersion="8" refreshedVersion="8" minRefreshableVersion="3" recordCount="2500" xr:uid="{F767C1E3-4555-4564-B41A-8D1454BB294A}">
  <cacheSource type="worksheet">
    <worksheetSource ref="A1:N2501" sheet="Snitch_Fashion_Sales_cleaned"/>
  </cacheSource>
  <cacheFields count="16">
    <cacheField name="Order_ID" numFmtId="1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49">
      <sharedItems count="24">
        <s v="Slim Fit Jeans"/>
        <s v="Puffer Coat"/>
        <s v="Loafers"/>
        <s v="Belts"/>
        <s v="Crop Top"/>
        <s v="Boyfriend Jeans"/>
        <s v="Casual Midi"/>
        <s v="Sunglasses"/>
        <s v="Oversized T-shirt"/>
        <s v="Straight Cut"/>
        <s v="Sneakers"/>
        <s v="Maxi Dress"/>
        <s v="Wrap Dress"/>
        <s v="Slip-ons"/>
        <s v="Classic Tee"/>
        <s v="Bomber Jacket"/>
        <s v="Graphic Tee"/>
        <s v="Boots"/>
        <s v="Denim Jacket"/>
        <s v="Bodycon"/>
        <s v="Ripped Denim"/>
        <s v="Watches"/>
        <s v="Leather Jacket"/>
        <s v="Caps"/>
      </sharedItems>
    </cacheField>
    <cacheField name="Units_Sold" numFmtId="1">
      <sharedItems containsSemiMixedTypes="0" containsString="0" containsNumber="1" minValue="1" maxValue="6" count="7">
        <n v="4"/>
        <n v="1"/>
        <n v="2"/>
        <n v="3"/>
        <n v="5"/>
        <n v="6"/>
        <n v="3.5"/>
      </sharedItems>
    </cacheField>
    <cacheField name="Unit_Price" numFmtId="164">
      <sharedItems containsSemiMixedTypes="0" containsString="0" containsNumber="1" minValue="400.21" maxValue="4998.91"/>
    </cacheField>
    <cacheField name="Discount_%" numFmtId="9">
      <sharedItems containsSemiMixedTypes="0" containsString="0" containsNumber="1" minValue="0" maxValue="1"/>
    </cacheField>
    <cacheField name="Sales_Amount" numFmtId="164">
      <sharedItems containsSemiMixedTypes="0" containsString="0" containsNumber="1" minValue="478.59" maxValue="29907.899999999998" count="1420">
        <n v="3368"/>
        <n v="2366.6149999999998"/>
        <n v="637.82000000000005"/>
        <n v="5924.54"/>
        <n v="2881.07"/>
        <n v="8006.2000000000007"/>
        <n v="2060.85"/>
        <n v="14678.24"/>
        <n v="7732.9050000000007"/>
        <n v="15138.3"/>
        <n v="16028.08"/>
        <n v="7546.2449999999999"/>
        <n v="11566.56"/>
        <n v="11733.8"/>
        <n v="15997.320000000002"/>
        <n v="1405.59"/>
        <n v="10926.54"/>
        <n v="16257.6"/>
        <n v="3008.6549999999997"/>
        <n v="8295.7800000000007"/>
        <n v="5616.15"/>
        <n v="10152.18"/>
        <n v="10319.200000000001"/>
        <n v="18380.32"/>
        <n v="2515.415"/>
        <n v="11063.16"/>
        <n v="3209.31"/>
        <n v="11061.04"/>
        <n v="6546.0300000000007"/>
        <n v="17797.439999999999"/>
        <n v="6688.4699999999993"/>
        <n v="10887.32"/>
        <n v="5155.2700000000004"/>
        <n v="5077.1400000000003"/>
        <n v="4116.4800000000005"/>
        <n v="7612.77"/>
        <n v="11558.14"/>
        <n v="18303.72"/>
        <n v="10431.48"/>
        <n v="9767.68"/>
        <n v="8674.92"/>
        <n v="14458.199999999999"/>
        <n v="10399"/>
        <n v="4332.6400000000003"/>
        <n v="9025.9650000000001"/>
        <n v="16262.449999999999"/>
        <n v="2142.69"/>
        <n v="15465.810000000001"/>
        <n v="11947.59"/>
        <n v="8782.7100000000009"/>
        <n v="14067.550000000001"/>
        <n v="6873.4500000000007"/>
        <n v="13751.65"/>
        <n v="2599.75"/>
        <n v="15043.274999999998"/>
        <n v="13917.76"/>
        <n v="15781"/>
        <n v="4204.04"/>
        <n v="13764.949999999999"/>
        <n v="3002.2799999999997"/>
        <n v="8194.9050000000007"/>
        <n v="11902.56"/>
        <n v="3183.4"/>
        <n v="6055.32"/>
        <n v="14208.46"/>
        <n v="15488.88"/>
        <n v="28788.36"/>
        <n v="2229.4899999999998"/>
        <n v="2844.9900000000002"/>
        <n v="9883.75"/>
        <n v="13618.99"/>
        <n v="5648.68"/>
        <n v="12389.1"/>
        <n v="14224.23"/>
        <n v="1265.76"/>
        <n v="16632.14"/>
        <n v="4023.46"/>
        <n v="7607.3"/>
        <n v="8258.130000000001"/>
        <n v="19792"/>
        <n v="4601.4399999999996"/>
        <n v="9466.4599999999991"/>
        <n v="4110.24"/>
        <n v="15458"/>
        <n v="3411.66"/>
        <n v="14270.2"/>
        <n v="18836"/>
        <n v="12328.800000000001"/>
        <n v="14235.09"/>
        <n v="19893.800000000003"/>
        <n v="2579.8000000000002"/>
        <n v="7156.7249999999995"/>
        <n v="6017.3099999999995"/>
        <n v="14530.32"/>
        <n v="9082.98"/>
        <n v="7237.08"/>
        <n v="13828.95"/>
        <n v="6227.84"/>
        <n v="14633.68"/>
        <n v="16824.240000000002"/>
        <n v="10061.66"/>
        <n v="18027.48"/>
        <n v="14431.6"/>
        <n v="11501.84"/>
        <n v="7414.4400000000005"/>
        <n v="5779.07"/>
        <n v="4664.7000000000007"/>
        <n v="9065.76"/>
        <n v="2538.0450000000001"/>
        <n v="478.59"/>
        <n v="11143.16"/>
        <n v="3870.18"/>
        <n v="13548.24"/>
        <n v="13340.72"/>
        <n v="7207.64"/>
        <n v="9542.2999999999993"/>
        <n v="3100.74"/>
        <n v="12888.175000000001"/>
        <n v="5531.58"/>
        <n v="13787.699999999999"/>
        <n v="10967.130000000001"/>
        <n v="11793.04"/>
        <n v="2891.64"/>
        <n v="10877.28"/>
        <n v="12190.17"/>
        <n v="29907.899999999998"/>
        <n v="8926.92"/>
        <n v="18051.93"/>
        <n v="9704.52"/>
        <n v="4818.3599999999997"/>
        <n v="14975.76"/>
        <n v="14233.800000000001"/>
        <n v="13485.5"/>
        <n v="11432.67"/>
        <n v="29461.68"/>
        <n v="14424.300000000001"/>
        <n v="7409.61"/>
        <n v="12124.24"/>
        <n v="15836.24"/>
        <n v="2537.59"/>
        <n v="10784.91"/>
        <n v="6951.2999999999993"/>
        <n v="10664.880000000001"/>
        <n v="7015.7"/>
        <n v="10007.75"/>
        <n v="16853.599999999999"/>
        <n v="2785.96"/>
        <n v="2252.56"/>
        <n v="16119.48"/>
        <n v="7801.8499999999995"/>
        <n v="16392.48"/>
        <n v="5094.3999999999996"/>
        <n v="22813.62"/>
        <n v="16594.739999999998"/>
        <n v="8551.14"/>
        <n v="4633.3500000000004"/>
        <n v="2735.4"/>
        <n v="5625.28"/>
        <n v="2889.5349999999999"/>
        <n v="8043.9449999999997"/>
        <n v="8357.369999999999"/>
        <n v="1744.73"/>
        <n v="5053.54"/>
        <n v="4279.5200000000004"/>
        <n v="9604.84"/>
        <n v="2578.3200000000002"/>
        <n v="18536.52"/>
        <n v="18671.699999999997"/>
        <n v="7014.12"/>
        <n v="16389.810000000001"/>
        <n v="7291.6"/>
        <n v="8183.1399999999994"/>
        <n v="9682.7999999999993"/>
        <n v="9831.06"/>
        <n v="15228.27"/>
        <n v="7398.72"/>
        <n v="5404.14"/>
        <n v="4915.12"/>
        <n v="17253.52"/>
        <n v="10190.76"/>
        <n v="5463.27"/>
        <n v="12388.11"/>
        <n v="5571.58"/>
        <n v="10170.879999999999"/>
        <n v="13528.32"/>
        <n v="2885.64"/>
        <n v="9765.69"/>
        <n v="17787.28"/>
        <n v="4289.82"/>
        <n v="12396"/>
        <n v="9730.3499999999985"/>
        <n v="9441.0400000000009"/>
        <n v="10652.73"/>
        <n v="7800.99"/>
        <n v="6004.6500000000005"/>
        <n v="2192.7600000000002"/>
        <n v="6000.76"/>
        <n v="12577.075000000001"/>
        <n v="11889.8"/>
        <n v="10772.55"/>
        <n v="5648.48"/>
        <n v="9635.4650000000001"/>
        <n v="11183.16"/>
        <n v="18096.8"/>
        <n v="1026.58"/>
        <n v="18447.599999999999"/>
        <n v="3576.4800000000005"/>
        <n v="9655.17"/>
        <n v="5296.86"/>
        <n v="8407.24"/>
        <n v="19053.8"/>
        <n v="1545.12"/>
        <n v="5383.92"/>
        <n v="8258.9699999999993"/>
        <n v="9550.44"/>
        <n v="6579.6500000000005"/>
        <n v="16417.439999999999"/>
        <n v="11857.76"/>
        <n v="13000.96"/>
        <n v="2587.7800000000002"/>
        <n v="15092.49"/>
        <n v="8728.14"/>
        <n v="12690.225"/>
        <n v="13720.079999999998"/>
        <n v="13522.5"/>
        <n v="12296.24"/>
        <n v="14121.599999999999"/>
        <n v="20062.400000000001"/>
        <n v="13547.64"/>
        <n v="6490.6"/>
        <n v="13370.699999999999"/>
        <n v="2438.4"/>
        <n v="4639.68"/>
        <n v="15965.6"/>
        <n v="1054.69"/>
        <n v="7255.6500000000005"/>
        <n v="4514.28"/>
        <n v="18503.36"/>
        <n v="19812.080000000002"/>
        <n v="17337.21"/>
        <n v="776.52"/>
        <n v="7708.48"/>
        <n v="2008.2999999999997"/>
        <n v="16131.8"/>
        <n v="9381.9599999999991"/>
        <n v="2577.6350000000002"/>
        <n v="12332.004999999999"/>
        <n v="2765.79"/>
        <n v="1261.26"/>
        <n v="5789.12"/>
        <n v="22906.300000000003"/>
        <n v="5159.6000000000004"/>
        <n v="2750.33"/>
        <n v="12045.650000000001"/>
        <n v="5076.09"/>
        <n v="2765.26"/>
        <n v="22199.050000000003"/>
        <n v="7739.4000000000005"/>
        <n v="5484.76"/>
        <n v="8855.16"/>
        <n v="3920.5"/>
        <n v="13376.939999999999"/>
        <n v="3655.9500000000003"/>
        <n v="7327.3"/>
        <n v="10150.36"/>
        <n v="2414.04"/>
        <n v="12298.36"/>
        <n v="19911.240000000002"/>
        <n v="14028.24"/>
        <n v="26674.86"/>
        <n v="14840.310000000001"/>
        <n v="2731.6350000000002"/>
        <n v="12596"/>
        <n v="14108.6"/>
        <n v="4458.9799999999996"/>
        <n v="13399.47"/>
        <n v="2154.4"/>
        <n v="3968.0550000000003"/>
        <n v="15875.85"/>
        <n v="13168.04"/>
        <n v="1428.6"/>
        <n v="8297.369999999999"/>
        <n v="11658.900000000001"/>
        <n v="7991.91"/>
        <n v="2540.48"/>
        <n v="12005.12"/>
        <n v="10356.48"/>
        <n v="4111.08"/>
        <n v="11310.72"/>
        <n v="22752.54"/>
        <n v="6631.8"/>
        <n v="11422.12"/>
        <n v="2482.56"/>
        <n v="7980.84"/>
        <n v="13570.74"/>
        <n v="5199.5"/>
        <n v="9369"/>
        <n v="15478.800000000001"/>
        <n v="7484.9699999999993"/>
        <n v="14924.56"/>
        <n v="10833.4"/>
        <n v="4606.09"/>
        <n v="6646.2000000000007"/>
        <n v="9516.33"/>
        <n v="13557.76"/>
        <n v="13331.36"/>
        <n v="7997.0999999999995"/>
        <n v="4129.62"/>
        <n v="14646.09"/>
        <n v="11076.75"/>
        <n v="9108.7999999999993"/>
        <n v="6832.23"/>
        <n v="2266.2599999999998"/>
        <n v="5078.04"/>
        <n v="7041.57"/>
        <n v="1637.36"/>
        <n v="16501.98"/>
        <n v="7404.48"/>
        <n v="17240.755000000001"/>
        <n v="2666.2200000000003"/>
        <n v="17352.240000000002"/>
        <n v="9045.9599999999991"/>
        <n v="14624.28"/>
        <n v="4384.5"/>
        <n v="22630.02"/>
        <n v="4003.1000000000004"/>
        <n v="8514.9599999999991"/>
        <n v="17043.8"/>
        <n v="9243.58"/>
        <n v="5116.8599999999997"/>
        <n v="5266.56"/>
        <n v="14390.92"/>
        <n v="7588.44"/>
        <n v="16517.939999999999"/>
        <n v="7031.16"/>
        <n v="13788.09"/>
        <n v="4157.24"/>
        <n v="19777"/>
        <n v="2826.84"/>
        <n v="3762.86"/>
        <n v="9448.1200000000008"/>
        <n v="22956.300000000003"/>
        <n v="3768.5"/>
        <n v="13725.04"/>
        <n v="13526.8"/>
        <n v="15225.54"/>
        <n v="15863.76"/>
        <n v="2521.2249999999999"/>
        <n v="19070.439999999999"/>
        <n v="10462.9"/>
        <n v="2044.17"/>
        <n v="4440.24"/>
        <n v="2975.64"/>
        <n v="6819.4500000000007"/>
        <n v="7395.6900000000005"/>
        <n v="2752.99"/>
        <n v="9298.6949999999997"/>
        <n v="3535.04"/>
        <n v="9382.84"/>
        <n v="1361.76"/>
        <n v="17609.599999999999"/>
        <n v="7855.5999999999995"/>
        <n v="6535.34"/>
        <n v="6786.88"/>
        <n v="4774.7700000000004"/>
        <n v="3924.18"/>
        <n v="11011.96"/>
        <n v="19863.900000000001"/>
        <n v="2460.2800000000002"/>
        <n v="1882.14"/>
        <n v="6269.38"/>
        <n v="4809.8999999999996"/>
        <n v="14447.674999999999"/>
        <n v="10954.88"/>
        <n v="2108.2800000000002"/>
        <n v="13331.100000000002"/>
        <n v="15139.96"/>
        <n v="2214.87"/>
        <n v="657.51"/>
        <n v="9933.93"/>
        <n v="12769.29"/>
        <n v="15598.5"/>
        <n v="19765.080000000002"/>
        <n v="10609.83"/>
        <n v="5051.2"/>
        <n v="1575.26"/>
        <n v="29776.199999999997"/>
        <n v="17775.28"/>
        <n v="3433.41"/>
        <n v="5883.96"/>
        <n v="3838.0199999999995"/>
        <n v="13478.2"/>
        <n v="4886"/>
        <n v="2943.88"/>
        <n v="14085.449999999999"/>
        <n v="5924.1"/>
        <n v="3345.58"/>
        <n v="2487.42"/>
        <n v="11965.699999999999"/>
        <n v="7856.07"/>
        <n v="13798.23"/>
        <n v="10578.92"/>
        <n v="12549.66"/>
        <n v="4476.43"/>
        <n v="10641.8"/>
        <n v="16967.349999999999"/>
        <n v="1496.85"/>
        <n v="5530.52"/>
        <n v="7998.6600000000008"/>
        <n v="7126.68"/>
        <n v="7690.7999999999993"/>
        <n v="2338.04"/>
        <n v="6929.2999999999993"/>
        <n v="4059.44"/>
        <n v="8800.3499999999985"/>
        <n v="18016.12"/>
        <n v="3894.52"/>
        <n v="16084"/>
        <n v="7602.24"/>
        <n v="5515.89"/>
        <n v="17669.36"/>
        <n v="15968.84"/>
        <n v="13055.46"/>
        <n v="13919.579999999998"/>
        <n v="5719.72"/>
        <n v="4198.5"/>
        <n v="21535.4"/>
        <n v="8718.2000000000007"/>
        <n v="10613.91"/>
        <n v="16711.439999999999"/>
        <n v="3580.44"/>
        <n v="9706.9500000000007"/>
        <n v="17271.060000000001"/>
        <n v="7528.14"/>
        <n v="13247.99"/>
        <n v="2129.88"/>
        <n v="3517.94"/>
        <n v="8447.48"/>
        <n v="4206.96"/>
        <n v="9996.18"/>
        <n v="6804.94"/>
        <n v="3169.44"/>
        <n v="16683.04"/>
        <n v="24139.45"/>
        <n v="8588.9500000000007"/>
        <n v="10743.68"/>
        <n v="7159.74"/>
        <n v="15454.04"/>
        <n v="3920.68"/>
        <n v="5116.8"/>
        <n v="19944.949999999997"/>
        <n v="13223.369999999999"/>
        <n v="11002.619999999999"/>
        <n v="10238"/>
        <n v="2014.5"/>
        <n v="6817.55"/>
        <n v="13928.95"/>
        <n v="733.15"/>
        <n v="1249.74"/>
        <n v="11800.650000000001"/>
        <n v="24913.4"/>
        <n v="2163.75"/>
        <n v="4577.88"/>
        <n v="11102.349999999999"/>
        <n v="4684.76"/>
        <n v="2889.54"/>
        <n v="4733.2299999999996"/>
        <n v="1762.56"/>
        <n v="1216.1100000000001"/>
        <n v="17997.560000000001"/>
        <n v="7961.7000000000007"/>
        <n v="10886"/>
        <n v="14667.25"/>
        <n v="6810.26"/>
        <n v="5230.5600000000004"/>
        <n v="12979.800000000001"/>
        <n v="5459.6"/>
        <n v="3749.12"/>
        <n v="13029.36"/>
        <n v="6099"/>
        <n v="10767.57"/>
        <n v="6455.76"/>
        <n v="17741.099999999999"/>
        <n v="2921.92"/>
        <n v="1779.28"/>
        <n v="12412.29"/>
        <n v="18739.919999999998"/>
        <n v="13582.85"/>
        <n v="8272.2000000000007"/>
        <n v="12309"/>
        <n v="14757"/>
        <n v="4301.76"/>
        <n v="3268.42"/>
        <n v="8494.76"/>
        <n v="9439.1999999999989"/>
        <n v="17220.080000000002"/>
        <n v="7470.48"/>
        <n v="3304.5"/>
        <n v="1534.98"/>
        <n v="9232.48"/>
        <n v="13746.630000000001"/>
        <n v="11398.17"/>
        <n v="4771.1499999999996"/>
        <n v="1130.83"/>
        <n v="11859.52"/>
        <n v="10347.99"/>
        <n v="10567.08"/>
        <n v="9825.2000000000007"/>
        <n v="2816.58"/>
        <n v="11661.45"/>
        <n v="16585.080000000002"/>
        <n v="5895.9"/>
        <n v="12009.300000000001"/>
        <n v="12438.96"/>
        <n v="13283.82"/>
        <n v="3581.36"/>
        <n v="9155.31"/>
        <n v="8423.76"/>
        <n v="8270.56"/>
        <n v="5848.4"/>
        <n v="2084.13"/>
        <n v="5338.64"/>
        <n v="2781.12"/>
        <n v="3921.81"/>
        <n v="7525"/>
        <n v="7942.2"/>
        <n v="8587.44"/>
        <n v="11468.789999999999"/>
        <n v="19354.25"/>
        <n v="2737.23"/>
        <n v="18238.05"/>
        <n v="5771.44"/>
        <n v="23698.3"/>
        <n v="14084.68"/>
        <n v="6280.24"/>
        <n v="4993.62"/>
        <n v="17884.68"/>
        <n v="7570.16"/>
        <n v="7482.72"/>
        <n v="3381.64"/>
        <n v="14235.1"/>
        <n v="1332.33"/>
        <n v="772.97"/>
        <n v="5317.7999999999993"/>
        <n v="4868.37"/>
        <n v="17403.439999999999"/>
        <n v="7374.5999999999995"/>
        <n v="11846.49"/>
        <n v="7545.02"/>
        <n v="10911.44"/>
        <n v="17825.8"/>
        <n v="5587.78"/>
        <n v="24149.25"/>
        <n v="3884.9"/>
        <n v="3127.64"/>
        <n v="11909.975"/>
        <n v="6695.9000000000005"/>
        <n v="3039.12"/>
        <n v="3114.13"/>
        <n v="6465.48"/>
        <n v="14146.199999999999"/>
        <n v="21968.94"/>
        <n v="6351.2100000000009"/>
        <n v="2325.96"/>
        <n v="4382.13"/>
        <n v="12423.689999999999"/>
        <n v="16897.240000000002"/>
        <n v="15462.48"/>
        <n v="8998.4699999999993"/>
        <n v="5002.34"/>
        <n v="10133.48"/>
        <n v="14473.92"/>
        <n v="9053.4600000000009"/>
        <n v="1745.24"/>
        <n v="4911.9350000000004"/>
        <n v="13476.12"/>
        <n v="4023.8999999999996"/>
        <n v="2572.96"/>
        <n v="13712.08"/>
        <n v="14840.28"/>
        <n v="12613.96"/>
        <n v="9681.66"/>
        <n v="14017.8"/>
        <n v="11776.800000000001"/>
        <n v="11022.36"/>
        <n v="16000.72"/>
        <n v="6811.9500000000007"/>
        <n v="4780.8599999999997"/>
        <n v="11578.900000000001"/>
        <n v="2787.46"/>
        <n v="1979.24"/>
        <n v="12273.52"/>
        <n v="11415.27"/>
        <n v="2739.62"/>
        <n v="6613.17"/>
        <n v="5805.87"/>
        <n v="12899"/>
        <n v="8614.2800000000007"/>
        <n v="14239.560000000001"/>
        <n v="16433.3"/>
        <n v="15413.96"/>
        <n v="21815.4"/>
        <n v="8252.58"/>
        <n v="17502.8"/>
        <n v="1426.73"/>
        <n v="11105.16"/>
        <n v="7044.7800000000007"/>
        <n v="5004.54"/>
        <n v="3610.3500000000004"/>
        <n v="9829.61"/>
        <n v="5052.3999999999996"/>
        <n v="12837.95"/>
        <n v="6881.7350000000006"/>
        <n v="5341.16"/>
        <n v="8732.52"/>
        <n v="4492.67"/>
        <n v="10239.33"/>
        <n v="3853.08"/>
        <n v="13542.36"/>
        <n v="14520.96"/>
        <n v="3989.68"/>
        <n v="8024.37"/>
        <n v="5505.98"/>
        <n v="4307.5499999999993"/>
        <n v="17749.649999999998"/>
        <n v="3595.82"/>
        <n v="15818.92"/>
        <n v="16712.72"/>
        <n v="12379.08"/>
        <n v="1854.54"/>
        <n v="16880.8"/>
        <n v="13674.75"/>
        <n v="1354.69"/>
        <n v="14732.73"/>
        <n v="17853.84"/>
        <n v="18480.72"/>
        <n v="7549.7999999999993"/>
        <n v="1120.52"/>
        <n v="7209.72"/>
        <n v="3419.2"/>
        <n v="8737.44"/>
        <n v="1894.72"/>
        <n v="16714.739999999998"/>
        <n v="5876.52"/>
        <n v="9851.68"/>
        <n v="4234.28"/>
        <n v="2468.54"/>
        <n v="14915.22"/>
        <n v="1254.77"/>
        <n v="2711.6"/>
        <n v="3579.09"/>
        <n v="11176.74"/>
        <n v="6233.4600000000009"/>
        <n v="2108.58"/>
        <n v="14361.6"/>
        <n v="8925.99"/>
        <n v="13064.2"/>
        <n v="4788.0599999999995"/>
        <n v="9352.16"/>
        <n v="4604.28"/>
        <n v="7043.4"/>
        <n v="5556.28"/>
        <n v="14017.050000000001"/>
        <n v="11239.52"/>
        <n v="8422.9599999999991"/>
        <n v="24412.920000000002"/>
        <n v="7832.52"/>
        <n v="5500.53"/>
        <n v="3292.4850000000001"/>
        <n v="5294.44"/>
        <n v="13377.599999999999"/>
        <n v="12655.8"/>
        <n v="15239.8"/>
        <n v="19530.75"/>
        <n v="1293.54"/>
        <n v="7227.24"/>
        <n v="6115.76"/>
        <n v="3062.55"/>
        <n v="7743.87"/>
        <n v="7099.8449999999993"/>
        <n v="8844.24"/>
        <n v="14574.52"/>
        <n v="17248.84"/>
        <n v="8058.1500000000005"/>
        <n v="10153.200000000001"/>
        <n v="5705.58"/>
        <n v="5802.0599999999995"/>
        <n v="16240.699999999999"/>
        <n v="4676.08"/>
        <n v="14302.11"/>
        <n v="11857.380000000001"/>
        <n v="2151.08"/>
        <n v="13284.2"/>
        <n v="2419.6"/>
        <n v="15524.68"/>
        <n v="2462.64"/>
        <n v="6743.4"/>
        <n v="3428.88"/>
        <n v="7280.3099999999995"/>
        <n v="12427.619999999999"/>
        <n v="8766.6"/>
        <n v="6167.98"/>
        <n v="1987.56"/>
        <n v="2720.46"/>
        <n v="11944.17"/>
        <n v="10029.67"/>
        <n v="2782.92"/>
        <n v="10960.495000000001"/>
        <n v="11320.96"/>
        <n v="13082.72"/>
        <n v="6358.98"/>
        <n v="17505.64"/>
        <n v="2785.79"/>
        <n v="5995.2"/>
        <n v="15561.315000000001"/>
        <n v="5783.28"/>
        <n v="2478.33"/>
        <n v="2521.12"/>
        <n v="10716.28"/>
        <n v="2431.86"/>
        <n v="29728.02"/>
        <n v="1399.1100000000001"/>
        <n v="17600.699999999997"/>
        <n v="3997.17"/>
        <n v="4006.28"/>
        <n v="6110.13"/>
        <n v="10836.4"/>
        <n v="2905.59"/>
        <n v="11662.5"/>
        <n v="7937.0199999999995"/>
        <n v="12656.880000000001"/>
        <n v="9492.3150000000005"/>
        <n v="13519.029999999999"/>
        <n v="13965.04"/>
        <n v="14621.48"/>
        <n v="4038.33"/>
        <n v="4833.0599999999995"/>
        <n v="5332.4400000000005"/>
        <n v="9397.2000000000007"/>
        <n v="6438.2100000000009"/>
        <n v="13104.36"/>
        <n v="5075.18"/>
        <n v="7631.7899999999991"/>
        <n v="19416.12"/>
        <n v="1548.4350000000002"/>
        <n v="7702.5"/>
        <n v="9615.7999999999993"/>
        <n v="6512.13"/>
        <n v="7048.92"/>
        <n v="6485.4000000000005"/>
        <n v="13783.6"/>
        <n v="17936.52"/>
        <n v="13573.920000000002"/>
        <n v="4604.8500000000004"/>
        <n v="9680.64"/>
        <n v="2496.17"/>
        <n v="19233.400000000001"/>
        <n v="13710.64"/>
        <n v="12615.869999999999"/>
        <n v="3200.42"/>
        <n v="26701.02"/>
        <n v="6628.4699999999993"/>
        <n v="5754.72"/>
        <n v="16532.22"/>
        <n v="19995.64"/>
        <n v="13434.24"/>
        <n v="2141.08"/>
        <n v="2854.4"/>
        <n v="2532.92"/>
        <n v="8872.44"/>
        <n v="12756.150000000001"/>
        <n v="14164.52"/>
        <n v="26624.639999999999"/>
        <n v="17200.2"/>
        <n v="2710.56"/>
        <n v="10160.4"/>
        <n v="18385.260000000002"/>
        <n v="13369.949999999999"/>
        <n v="11697.119999999999"/>
        <n v="19765.260000000002"/>
        <n v="1965.44"/>
        <n v="13076.699999999999"/>
        <n v="9150.68"/>
        <n v="13628.8"/>
        <n v="5621.56"/>
        <n v="12871.28"/>
        <n v="15898.32"/>
        <n v="12966.28"/>
        <n v="12757.4"/>
        <n v="10005.81"/>
        <n v="13211.22"/>
        <n v="10428.18"/>
        <n v="11935.44"/>
        <n v="17707.28"/>
        <n v="10719.764999999999"/>
        <n v="10752.32"/>
        <n v="4880.76"/>
        <n v="6117.92"/>
        <n v="3016.23"/>
        <n v="2644.23"/>
        <n v="6872.56"/>
        <n v="6322.36"/>
        <n v="14313.449999999999"/>
        <n v="11869.96"/>
        <n v="14234.394999999999"/>
        <n v="11477.449999999999"/>
        <n v="3508.21"/>
        <n v="3886.32"/>
        <n v="6893.8"/>
        <n v="1289.24"/>
        <n v="3127.2300000000005"/>
        <n v="1095.03"/>
        <n v="14768.97"/>
        <n v="4831.96"/>
        <n v="12593.84"/>
        <n v="7500.68"/>
        <n v="11942.525"/>
        <n v="2547.7000000000003"/>
        <n v="12396.6"/>
        <n v="3597.64"/>
        <n v="10203.92"/>
        <n v="10920.869999999999"/>
        <n v="3001.8799999999997"/>
        <n v="8668.6049999999996"/>
        <n v="2576.2200000000003"/>
        <n v="1501.23"/>
        <n v="8914.08"/>
        <n v="3742.28"/>
        <n v="13401.75"/>
        <n v="8716.5400000000009"/>
        <n v="19470.04"/>
        <n v="17833.919999999998"/>
        <n v="7941.96"/>
        <n v="13132.439999999999"/>
        <n v="15281.68"/>
        <n v="10320.93"/>
        <n v="4876.74"/>
        <n v="9012.32"/>
        <n v="11361.14"/>
        <n v="14421.44"/>
        <n v="13421.82"/>
        <n v="13652.849999999999"/>
        <n v="3769.25"/>
        <n v="13538.04"/>
        <n v="5470.53"/>
        <n v="11771.8"/>
        <n v="14574"/>
        <n v="19026.68"/>
        <n v="4319.3599999999997"/>
        <n v="2979.32"/>
        <n v="5829.63"/>
        <n v="19390.919999999998"/>
        <n v="13018.380000000001"/>
        <n v="4290.18"/>
        <n v="16563.439999999999"/>
        <n v="10947.055"/>
        <n v="16978.349999999999"/>
        <n v="12806.04"/>
        <n v="10307.849999999999"/>
        <n v="3664.32"/>
        <n v="11143.380000000001"/>
        <n v="17645.560000000001"/>
        <n v="12380.75"/>
        <n v="7897.32"/>
        <n v="7554.4500000000007"/>
        <n v="16772.400000000001"/>
        <n v="15746.849999999999"/>
        <n v="2500.75"/>
        <n v="9956.7199999999993"/>
        <n v="1906.91"/>
        <n v="12998.75"/>
        <n v="15385.24"/>
        <n v="4981.8599999999997"/>
        <n v="10412.64"/>
        <n v="7987.07"/>
        <n v="10639.8"/>
        <n v="7033.14"/>
        <n v="6667.74"/>
        <n v="3114.58"/>
        <n v="12629.12"/>
        <n v="4225.58"/>
        <n v="4246.4399999999996"/>
        <n v="1216.56"/>
        <n v="1975.96"/>
        <n v="7006.83"/>
        <n v="12396.39"/>
        <n v="17831.32"/>
        <n v="21789.699999999997"/>
        <n v="2449.2599999999998"/>
        <n v="3212.4"/>
        <n v="14836.300000000001"/>
        <n v="11175.42"/>
        <n v="7618.32"/>
        <n v="17757.560000000001"/>
        <n v="2103.54"/>
        <n v="2156.52"/>
        <n v="3441.9"/>
        <n v="4424.3599999999997"/>
        <n v="3607.5"/>
        <n v="8174.68"/>
        <n v="18555.04"/>
        <n v="3777.66"/>
        <n v="5035.08"/>
        <n v="12736.29"/>
        <n v="8467.2899999999991"/>
        <n v="10877.97"/>
        <n v="1927.87"/>
        <n v="11621.460000000001"/>
        <n v="2581.19"/>
        <n v="11388.08"/>
        <n v="9942.7300000000014"/>
        <n v="10617.66"/>
        <n v="12184.44"/>
        <n v="16229.32"/>
        <n v="1677"/>
        <n v="1632.66"/>
        <n v="7452.76"/>
        <n v="11882.400000000001"/>
        <n v="2749.36"/>
        <n v="13796.32"/>
        <n v="8917.9599999999991"/>
        <n v="3199.28"/>
        <n v="8250.99"/>
        <n v="14007.6"/>
        <n v="9617.880000000001"/>
        <n v="8436.32"/>
        <n v="3574.54"/>
        <n v="19585.28"/>
        <n v="19976.28"/>
        <n v="13915.380000000001"/>
        <n v="5122.7400000000007"/>
        <n v="28661.82"/>
        <n v="14468.08"/>
        <n v="10042.17"/>
        <n v="9733.8799999999992"/>
        <n v="14532.28"/>
        <n v="4137.76"/>
        <n v="13879.32"/>
        <n v="3525.75"/>
        <n v="18798.64"/>
        <n v="2270.19"/>
        <n v="4482.08"/>
        <n v="14131.68"/>
        <n v="4423.4399999999996"/>
        <n v="9185.94"/>
        <n v="10859.12"/>
        <n v="609.05999999999995"/>
        <n v="6879.87"/>
        <n v="11686.289999999999"/>
        <n v="12463.650000000001"/>
        <n v="3828.7799999999997"/>
        <n v="3156.84"/>
        <n v="17316.849999999999"/>
        <n v="13025.24"/>
        <n v="14352.09"/>
        <n v="9931.86"/>
        <n v="2945.44"/>
        <n v="7409.01"/>
        <n v="10154.280000000001"/>
        <n v="13236.630000000001"/>
        <n v="24160.799999999999"/>
        <n v="22019.200000000001"/>
        <n v="6513.66"/>
        <n v="1636.26"/>
        <n v="3227.24"/>
        <n v="9159.7199999999993"/>
        <n v="13411.52"/>
        <n v="8034.95"/>
        <n v="10690.56"/>
        <n v="9752.64"/>
        <n v="18121.12"/>
        <n v="13663.6"/>
        <n v="8115.39"/>
        <n v="19729"/>
        <n v="3427.32"/>
        <n v="3506.04"/>
        <n v="12381.96"/>
        <n v="3020.94"/>
        <n v="12072.84"/>
        <n v="19791.84"/>
        <n v="28321.379999999997"/>
        <n v="3130.74"/>
        <n v="19599.36"/>
        <n v="11515.650000000001"/>
        <n v="6560.16"/>
        <n v="15455.8"/>
        <n v="18631.55"/>
        <n v="4236.3599999999997"/>
        <n v="10874.04"/>
        <n v="6636.75"/>
        <n v="4710.7700000000004"/>
        <n v="8322.3349999999991"/>
        <n v="5046.3599999999997"/>
        <n v="2933.45"/>
        <n v="8638.3000000000011"/>
        <n v="10058.799999999999"/>
        <n v="14312.76"/>
        <n v="19138.2"/>
        <n v="15819.849999999999"/>
        <n v="2384.4299999999998"/>
        <n v="7218.36"/>
        <n v="19110.04"/>
        <n v="14310.150000000001"/>
        <n v="2001.5500000000002"/>
        <n v="17465.599999999999"/>
        <n v="6471.32"/>
        <n v="14504.61"/>
        <n v="9902.4600000000009"/>
        <n v="5432.43"/>
        <n v="17349.84"/>
        <n v="8343.68"/>
        <n v="19483.28"/>
        <n v="19530.759999999998"/>
        <n v="10262.200000000001"/>
        <n v="6238.68"/>
        <n v="3515.37"/>
        <n v="2727.93"/>
        <n v="6409.96"/>
        <n v="10429.59"/>
        <n v="4438.3999999999996"/>
        <n v="2865.2"/>
        <n v="7740.2"/>
        <n v="6540.48"/>
        <n v="13046.04"/>
        <n v="1625.13"/>
        <n v="7711.92"/>
        <n v="17267.400000000001"/>
        <n v="12440.73"/>
        <n v="3479.28"/>
        <n v="2674.04"/>
        <n v="1369.29"/>
        <n v="15911.52"/>
        <n v="4760.7700000000004"/>
        <n v="18211.2"/>
        <n v="13053.329999999998"/>
        <n v="14771.849999999999"/>
        <n v="8895.9600000000009"/>
        <n v="10760.28"/>
        <n v="3836.5499999999997"/>
        <n v="10080.030000000001"/>
        <n v="16597.68"/>
        <n v="5756.72"/>
        <n v="15827.32"/>
        <n v="3119.97"/>
        <n v="1735.7400000000002"/>
        <n v="10139.6"/>
        <n v="2245.4499999999998"/>
        <n v="9801.84"/>
        <n v="11206.68"/>
        <n v="8025.8099999999995"/>
        <n v="4156.6000000000004"/>
        <n v="14509.41"/>
        <n v="3773.43"/>
        <n v="10231.14"/>
        <n v="7483.28"/>
        <n v="22093.75"/>
        <n v="28704"/>
        <n v="19720.32"/>
        <n v="12257.12"/>
        <n v="16939.080000000002"/>
        <n v="6115.11"/>
        <n v="17704.599999999999"/>
        <n v="5664.8099999999995"/>
        <n v="14532.060000000001"/>
        <n v="11453.16"/>
        <n v="2218.71"/>
        <n v="2454.71"/>
        <n v="15457.48"/>
        <n v="15987.48"/>
        <n v="11852.08"/>
        <n v="14452.349999999999"/>
        <n v="14353.68"/>
        <n v="21366.65"/>
        <n v="12330.43"/>
        <n v="13658.175000000001"/>
        <n v="18439.8"/>
        <n v="17772.04"/>
        <n v="1683.72"/>
        <n v="6892.62"/>
        <n v="20770.25"/>
        <n v="5437.74"/>
        <n v="4440.4399999999996"/>
        <n v="10198.36"/>
        <n v="10100.16"/>
        <n v="10272.869999999999"/>
        <n v="10751.84"/>
        <n v="6101.12"/>
        <n v="5450.28"/>
        <n v="4849.76"/>
        <n v="13212.08"/>
        <n v="7325.6"/>
        <n v="9810.869999999999"/>
        <n v="17712.96"/>
        <n v="8758.56"/>
        <n v="12676.45"/>
        <n v="6129.9"/>
        <n v="5568.84"/>
        <n v="16955.64"/>
        <n v="1678.68"/>
        <n v="6770.7000000000007"/>
        <n v="11262.69"/>
        <n v="22948.920000000002"/>
        <n v="1750.59"/>
        <n v="9283.0400000000009"/>
        <n v="5500.66"/>
        <n v="5332.96"/>
        <n v="12916.6"/>
        <n v="9995.16"/>
        <n v="2357.36"/>
        <n v="7186.12"/>
        <n v="1194.44"/>
        <n v="16591.560000000001"/>
        <n v="6173.18"/>
        <n v="3635.42"/>
        <n v="15766.849999999999"/>
        <n v="6013.65"/>
        <n v="5915.72"/>
        <n v="11715.36"/>
        <n v="4110.16"/>
        <n v="9066.4500000000007"/>
        <n v="7450.4699999999993"/>
        <n v="8369.32"/>
        <n v="1071.24"/>
        <n v="8711.3249999999989"/>
        <n v="12455.64"/>
        <n v="3910.56"/>
        <n v="13052.24"/>
        <n v="18933.64"/>
        <n v="7928.1900000000005"/>
        <n v="13148.900000000001"/>
        <n v="11564"/>
        <n v="13826.300000000001"/>
        <n v="14724.32"/>
        <n v="17950"/>
        <n v="7288.89"/>
        <n v="8577.44"/>
        <n v="13914.060000000001"/>
        <n v="1313.35"/>
        <n v="2385.5749999999998"/>
        <n v="12470.75"/>
        <n v="5030.83"/>
        <n v="1412.04"/>
        <n v="10502.94"/>
        <n v="10840.6"/>
        <n v="16455.919999999998"/>
        <n v="4609.59"/>
        <n v="2280.84"/>
        <n v="6600.04"/>
        <n v="17004.645"/>
        <n v="3027.66"/>
        <n v="9045.5999999999985"/>
        <n v="10594.56"/>
        <n v="13423.375"/>
        <n v="6291.8"/>
        <n v="12823.72"/>
        <n v="7492.5599999999995"/>
        <n v="8251.6"/>
        <n v="15506.579999999998"/>
        <n v="12254.91"/>
        <n v="12822.92"/>
        <n v="8214.6"/>
        <n v="18988.64"/>
        <n v="4596.3"/>
        <n v="10470.64"/>
        <n v="7500.9"/>
        <n v="13814.32"/>
        <n v="3514.71"/>
        <n v="5278.9800000000005"/>
        <n v="15688.04"/>
        <n v="8642.5499999999993"/>
        <n v="12050.34"/>
        <n v="2358.86"/>
        <n v="16055"/>
        <n v="18979.439999999999"/>
        <n v="10820.36"/>
        <n v="5086.83"/>
        <n v="13381.8"/>
        <n v="9069.2000000000007"/>
        <n v="16407.560000000001"/>
        <n v="18274.5"/>
        <n v="7150.08"/>
        <n v="15991.32"/>
        <n v="3954.12"/>
        <n v="2545.3500000000004"/>
        <n v="3982.1949999999997"/>
        <n v="1293.93"/>
        <n v="12722.76"/>
        <n v="4545.6400000000003"/>
        <n v="15888.900000000001"/>
        <n v="3871.26"/>
        <n v="8611.6999999999989"/>
        <n v="11793.44"/>
        <n v="19796.68"/>
        <n v="7493.56"/>
        <n v="17250.2"/>
        <n v="19887.72"/>
        <n v="3494.56"/>
        <n v="18471.400000000001"/>
        <n v="478.6"/>
        <n v="6005.96"/>
        <n v="10252.959999999999"/>
        <n v="8519.94"/>
        <n v="6294.56"/>
        <n v="6949.92"/>
        <n v="2769.84"/>
        <n v="13378.96"/>
        <n v="9461.16"/>
        <n v="9099.5999999999985"/>
        <n v="4367.04"/>
        <n v="3102.82"/>
        <n v="13148.579999999998"/>
        <n v="4624.18"/>
        <n v="9334.9500000000007"/>
        <n v="8989.2899999999991"/>
        <n v="17707.48"/>
        <n v="17096.04"/>
        <n v="8274.56"/>
        <n v="12309.96"/>
        <n v="3359.48"/>
        <n v="12107"/>
        <n v="13027.44"/>
        <n v="8165.22"/>
        <n v="3711.4500000000003"/>
        <n v="3792.24"/>
        <n v="2890.96"/>
        <n v="2473.77"/>
        <n v="3147.81"/>
        <n v="11147.449999999999"/>
        <n v="21323.95"/>
        <n v="1475.31"/>
        <n v="12867.6"/>
        <n v="12804.36"/>
        <n v="14970.48"/>
        <n v="14814.09"/>
        <n v="17642.699999999997"/>
        <n v="974.54"/>
        <n v="14491.72"/>
        <n v="2995.335"/>
        <n v="18165.96"/>
        <n v="4887.3599999999997"/>
        <n v="10657.72"/>
        <n v="13244.91"/>
        <n v="3402.76"/>
        <n v="8466.6"/>
        <n v="18892.080000000002"/>
        <n v="3154.48"/>
        <n v="10613.28"/>
        <n v="29860.86"/>
        <n v="11977.24"/>
        <n v="9228.75"/>
        <n v="4459.54"/>
        <n v="14472.68"/>
        <n v="13300.050000000001"/>
        <n v="4823.92"/>
        <n v="17383.16"/>
        <n v="8811.27"/>
        <n v="13421.52"/>
        <n v="2057.88"/>
        <n v="9906.6"/>
        <n v="9236.76"/>
        <n v="7614.1350000000002"/>
        <n v="23993.82"/>
        <n v="2810.2799999999997"/>
        <n v="3899.2200000000003"/>
        <n v="14273.8"/>
        <n v="14445.4"/>
        <n v="2874.48"/>
        <n v="14691.72"/>
        <n v="11690.2"/>
        <n v="13979.56"/>
        <n v="10081.76"/>
        <n v="14650.560000000001"/>
        <n v="2343.39"/>
        <n v="17122.8"/>
        <n v="9664.6500000000015"/>
        <n v="6497.12"/>
        <n v="18427.400000000001"/>
        <n v="7279.5"/>
        <n v="552.80999999999995"/>
        <n v="3119.25"/>
        <n v="11927.875"/>
        <n v="3664.8"/>
        <n v="5273.7000000000007"/>
        <n v="8500.08"/>
        <n v="14082.93"/>
        <n v="10618.64"/>
        <n v="10341.5"/>
        <n v="13864.4"/>
        <n v="11387.285"/>
        <n v="4585.71"/>
        <n v="12744.44"/>
        <n v="14528.22"/>
        <n v="8247.64"/>
        <n v="22149.75"/>
        <n v="23429.16"/>
        <n v="3762.56"/>
        <n v="13046.355000000001"/>
        <n v="18728.939999999999"/>
        <n v="2833.08"/>
        <n v="6590.2550000000001"/>
        <n v="13398.32"/>
        <n v="3965.8"/>
        <n v="11993"/>
        <n v="9572.2199999999993"/>
        <n v="10689.04"/>
        <n v="12709.349999999999"/>
        <n v="12269.039999999999"/>
        <n v="17636.88"/>
        <n v="10749.18"/>
        <n v="11303.07"/>
        <n v="18575.84"/>
        <n v="8811.92"/>
        <n v="17389.72"/>
        <n v="5267.6"/>
        <n v="2124.13"/>
        <n v="14316.19"/>
        <n v="12952.2"/>
        <n v="17808.16"/>
        <n v="13608.27"/>
        <n v="11688.210000000001"/>
        <n v="15777.84"/>
        <n v="9326.07"/>
        <n v="9757.6200000000008"/>
        <n v="7490.7699999999995"/>
        <n v="11650.4"/>
        <n v="9022.7999999999993"/>
        <n v="13440.72"/>
        <n v="12028.349999999999"/>
        <n v="9143.0399999999991"/>
        <n v="4390.32"/>
        <n v="13307.699999999999"/>
        <n v="4094.19"/>
        <n v="6485.2"/>
        <n v="21449.55"/>
        <n v="2847.86"/>
        <n v="23545.68"/>
        <n v="4160.18"/>
        <n v="4219.66"/>
        <n v="14711.8"/>
        <n v="2532.46"/>
        <n v="11619.81"/>
        <n v="5598.84"/>
        <n v="7678.0499999999993"/>
        <n v="9333.5399999999991"/>
        <n v="966.41"/>
        <n v="14728.74"/>
        <n v="4141.32"/>
        <n v="11833.074999999999"/>
        <n v="15016.96"/>
        <n v="9659.7199999999993"/>
        <n v="3182.6499999999996"/>
        <n v="16827.64"/>
        <n v="10310.540000000001"/>
        <n v="9165.24"/>
        <n v="14029.92"/>
        <n v="7467.6900000000005"/>
        <n v="1326.24"/>
        <n v="3193.1099999999997"/>
        <n v="12862.5"/>
        <n v="8332.68"/>
        <n v="2282.7600000000002"/>
        <n v="9579.36"/>
        <n v="11371.64"/>
        <n v="1280.52"/>
        <n v="5191.92"/>
        <n v="4528.0199999999995"/>
        <n v="7520.18"/>
        <n v="8352.75"/>
        <n v="15558.65"/>
        <n v="4998.5600000000004"/>
        <n v="7840.6"/>
        <n v="10436.24"/>
        <n v="9241.8799999999992"/>
        <n v="16014.64"/>
        <n v="6369.51"/>
        <n v="14197.26"/>
        <n v="12742.32"/>
        <n v="14199.689999999999"/>
        <n v="23771.100000000002"/>
        <n v="8826.99"/>
        <n v="10325.67"/>
        <n v="8976.2800000000007"/>
        <n v="19886.240000000002"/>
        <n v="2547.6799999999998"/>
        <n v="3950.72"/>
        <n v="11673.210000000001"/>
        <n v="1600.84"/>
        <n v="4608.42"/>
        <n v="11697.48"/>
        <n v="3894.08"/>
        <n v="14274.72"/>
        <n v="19050.48"/>
        <n v="3215.16"/>
        <n v="9357.44"/>
        <n v="7687.41"/>
        <n v="16855.400000000001"/>
        <n v="11925.72"/>
        <n v="3443.44"/>
        <n v="10821.69"/>
        <n v="6838.62"/>
        <n v="20297.650000000001"/>
        <n v="11730.32"/>
        <n v="13979.44"/>
        <n v="6557.49"/>
        <n v="14414.73"/>
        <n v="10006.290000000001"/>
        <n v="4679.5600000000004"/>
        <n v="7799.25"/>
        <n v="11806.12"/>
        <n v="8418.7000000000007"/>
        <n v="12118.16"/>
        <n v="1198.1400000000001"/>
        <n v="11139.04"/>
        <n v="12379.170000000002"/>
        <n v="15423.65"/>
        <n v="14677.8"/>
        <n v="2546.37"/>
        <n v="10167.719999999999"/>
        <n v="19220.95"/>
        <n v="7438.5"/>
      </sharedItems>
    </cacheField>
    <cacheField name="Order_Date" numFmtId="14">
      <sharedItems containsSemiMixedTypes="0" containsNonDate="0" containsDate="1" containsString="0" minDate="2023-07-23T00:00:00" maxDate="2025-07-23T00:00:00" count="561">
        <d v="2025-02-27T00:00:00"/>
        <d v="2025-07-15T00:00:00"/>
        <d v="2025-01-02T00:00:00"/>
        <d v="2025-06-18T00:00:00"/>
        <d v="2024-12-21T00:00:00"/>
        <d v="2023-12-05T00:00:00"/>
        <d v="2024-04-02T00:00:00"/>
        <d v="2025-07-20T00:00:00"/>
        <d v="2025-05-27T00:00:00"/>
        <d v="2024-08-22T00:00:00"/>
        <d v="2024-09-21T00:00:00"/>
        <d v="2024-10-26T00:00:00"/>
        <d v="2024-04-13T00:00:00"/>
        <d v="2024-10-22T00:00:00"/>
        <d v="2025-03-19T00:00:00"/>
        <d v="2024-05-05T00:00:00"/>
        <d v="2025-02-19T00:00:00"/>
        <d v="2025-07-18T00:00:00"/>
        <d v="2023-09-03T00:00:00"/>
        <d v="2025-01-31T00:00:00"/>
        <d v="2025-01-25T00:00:00"/>
        <d v="2024-11-13T00:00:00"/>
        <d v="2025-07-13T00:00:00"/>
        <d v="2024-04-06T00:00:00"/>
        <d v="2024-01-20T00:00:00"/>
        <d v="2025-05-20T00:00:00"/>
        <d v="2024-11-15T00:00:00"/>
        <d v="2025-03-07T00:00:00"/>
        <d v="2025-04-12T00:00:00"/>
        <d v="2025-04-05T00:00:00"/>
        <d v="2024-09-12T00:00:00"/>
        <d v="2025-02-10T00:00:00"/>
        <d v="2025-06-12T00:00:00"/>
        <d v="2024-10-16T00:00:00"/>
        <d v="2025-07-08T00:00:00"/>
        <d v="2025-04-26T00:00:00"/>
        <d v="2023-12-08T00:00:00"/>
        <d v="2025-07-21T00:00:00"/>
        <d v="2025-02-12T00:00:00"/>
        <d v="2024-03-02T00:00:00"/>
        <d v="2025-07-11T00:00:00"/>
        <d v="2024-12-23T00:00:00"/>
        <d v="2024-08-14T00:00:00"/>
        <d v="2025-07-14T00:00:00"/>
        <d v="2024-11-05T00:00:00"/>
        <d v="2025-06-28T00:00:00"/>
        <d v="2024-05-28T00:00:00"/>
        <d v="2025-01-15T00:00:00"/>
        <d v="2025-06-30T00:00:00"/>
        <d v="2024-03-11T00:00:00"/>
        <d v="2025-04-06T00:00:00"/>
        <d v="2025-01-07T00:00:00"/>
        <d v="2024-09-20T00:00:00"/>
        <d v="2025-02-13T00:00:00"/>
        <d v="2024-12-24T00:00:00"/>
        <d v="2023-10-18T00:00:00"/>
        <d v="2025-03-16T00:00:00"/>
        <d v="2025-05-08T00:00:00"/>
        <d v="2025-02-22T00:00:00"/>
        <d v="2024-11-09T00:00:00"/>
        <d v="2023-07-28T00:00:00"/>
        <d v="2024-12-03T00:00:00"/>
        <d v="2025-01-04T00:00:00"/>
        <d v="2025-01-18T00:00:00"/>
        <d v="2024-09-08T00:00:00"/>
        <d v="2024-02-22T00:00:00"/>
        <d v="2024-12-30T00:00:00"/>
        <d v="2025-03-04T00:00:00"/>
        <d v="2025-04-15T00:00:00"/>
        <d v="2025-06-11T00:00:00"/>
        <d v="2024-06-11T00:00:00"/>
        <d v="2025-04-01T00:00:00"/>
        <d v="2024-12-16T00:00:00"/>
        <d v="2025-05-02T00:00:00"/>
        <d v="2025-06-26T00:00:00"/>
        <d v="2025-02-18T00:00:00"/>
        <d v="2025-03-02T00:00:00"/>
        <d v="2025-05-01T00:00:00"/>
        <d v="2025-05-14T00:00:00"/>
        <d v="2025-05-05T00:00:00"/>
        <d v="2024-04-11T00:00:00"/>
        <d v="2024-12-31T00:00:00"/>
        <d v="2024-08-07T00:00:00"/>
        <d v="2025-06-27T00:00:00"/>
        <d v="2024-10-23T00:00:00"/>
        <d v="2024-01-27T00:00:00"/>
        <d v="2025-04-23T00:00:00"/>
        <d v="2024-10-28T00:00:00"/>
        <d v="2024-08-13T00:00:00"/>
        <d v="2024-04-19T00:00:00"/>
        <d v="2024-11-06T00:00:00"/>
        <d v="2025-03-03T00:00:00"/>
        <d v="2024-12-06T00:00:00"/>
        <d v="2025-01-23T00:00:00"/>
        <d v="2024-10-05T00:00:00"/>
        <d v="2024-10-17T00:00:00"/>
        <d v="2025-07-17T00:00:00"/>
        <d v="2024-11-03T00:00:00"/>
        <d v="2024-12-15T00:00:00"/>
        <d v="2024-10-10T00:00:00"/>
        <d v="2024-11-08T00:00:00"/>
        <d v="2025-06-25T00:00:00"/>
        <d v="2025-07-06T00:00:00"/>
        <d v="2024-11-11T00:00:00"/>
        <d v="2024-03-01T00:00:00"/>
        <d v="2024-11-25T00:00:00"/>
        <d v="2025-01-09T00:00:00"/>
        <d v="2024-10-04T00:00:00"/>
        <d v="2023-08-27T00:00:00"/>
        <d v="2025-06-16T00:00:00"/>
        <d v="2024-10-01T00:00:00"/>
        <d v="2025-03-30T00:00:00"/>
        <d v="2025-04-04T00:00:00"/>
        <d v="2024-08-06T00:00:00"/>
        <d v="2024-03-27T00:00:00"/>
        <d v="2025-06-21T00:00:00"/>
        <d v="2024-08-27T00:00:00"/>
        <d v="2025-01-28T00:00:00"/>
        <d v="2024-08-08T00:00:00"/>
        <d v="2025-07-09T00:00:00"/>
        <d v="2025-04-17T00:00:00"/>
        <d v="2025-02-02T00:00:00"/>
        <d v="2025-01-10T00:00:00"/>
        <d v="2025-03-23T00:00:00"/>
        <d v="2025-01-14T00:00:00"/>
        <d v="2024-11-12T00:00:00"/>
        <d v="2025-03-31T00:00:00"/>
        <d v="2024-05-21T00:00:00"/>
        <d v="2025-05-26T00:00:00"/>
        <d v="2024-12-04T00:00:00"/>
        <d v="2025-01-27T00:00:00"/>
        <d v="2024-07-22T00:00:00"/>
        <d v="2024-11-28T00:00:00"/>
        <d v="2024-09-28T00:00:00"/>
        <d v="2024-10-30T00:00:00"/>
        <d v="2025-03-21T00:00:00"/>
        <d v="2024-03-05T00:00:00"/>
        <d v="2025-03-27T00:00:00"/>
        <d v="2023-09-14T00:00:00"/>
        <d v="2025-04-25T00:00:00"/>
        <d v="2025-06-24T00:00:00"/>
        <d v="2025-04-18T00:00:00"/>
        <d v="2025-06-09T00:00:00"/>
        <d v="2024-10-20T00:00:00"/>
        <d v="2023-07-29T00:00:00"/>
        <d v="2024-06-22T00:00:00"/>
        <d v="2024-12-02T00:00:00"/>
        <d v="2024-06-29T00:00:00"/>
        <d v="2024-12-13T00:00:00"/>
        <d v="2023-07-23T00:00:00"/>
        <d v="2024-09-10T00:00:00"/>
        <d v="2025-02-04T00:00:00"/>
        <d v="2025-04-02T00:00:00"/>
        <d v="2025-02-14T00:00:00"/>
        <d v="2024-11-18T00:00:00"/>
        <d v="2025-03-12T00:00:00"/>
        <d v="2025-03-25T00:00:00"/>
        <d v="2024-11-02T00:00:00"/>
        <d v="2024-10-27T00:00:00"/>
        <d v="2025-03-24T00:00:00"/>
        <d v="2023-10-25T00:00:00"/>
        <d v="2023-11-16T00:00:00"/>
        <d v="2025-06-29T00:00:00"/>
        <d v="2024-05-13T00:00:00"/>
        <d v="2023-12-12T00:00:00"/>
        <d v="2024-02-26T00:00:00"/>
        <d v="2024-09-05T00:00:00"/>
        <d v="2024-09-23T00:00:00"/>
        <d v="2024-08-21T00:00:00"/>
        <d v="2024-10-13T00:00:00"/>
        <d v="2024-11-07T00:00:00"/>
        <d v="2025-01-19T00:00:00"/>
        <d v="2024-05-18T00:00:00"/>
        <d v="2024-12-25T00:00:00"/>
        <d v="2025-02-06T00:00:00"/>
        <d v="2024-07-26T00:00:00"/>
        <d v="2025-03-26T00:00:00"/>
        <d v="2024-08-02T00:00:00"/>
        <d v="2025-07-05T00:00:00"/>
        <d v="2025-06-02T00:00:00"/>
        <d v="2023-08-19T00:00:00"/>
        <d v="2025-04-08T00:00:00"/>
        <d v="2025-05-29T00:00:00"/>
        <d v="2023-12-24T00:00:00"/>
        <d v="2024-11-30T00:00:00"/>
        <d v="2024-06-30T00:00:00"/>
        <d v="2025-04-22T00:00:00"/>
        <d v="2024-08-04T00:00:00"/>
        <d v="2024-03-07T00:00:00"/>
        <d v="2024-09-26T00:00:00"/>
        <d v="2024-04-30T00:00:00"/>
        <d v="2024-12-12T00:00:00"/>
        <d v="2024-12-22T00:00:00"/>
        <d v="2023-08-06T00:00:00"/>
        <d v="2023-12-25T00:00:00"/>
        <d v="2025-05-11T00:00:00"/>
        <d v="2023-11-10T00:00:00"/>
        <d v="2025-06-06T00:00:00"/>
        <d v="2024-11-21T00:00:00"/>
        <d v="2025-07-01T00:00:00"/>
        <d v="2025-04-24T00:00:00"/>
        <d v="2025-02-17T00:00:00"/>
        <d v="2024-09-11T00:00:00"/>
        <d v="2025-02-05T00:00:00"/>
        <d v="2025-06-08T00:00:00"/>
        <d v="2025-05-12T00:00:00"/>
        <d v="2025-04-11T00:00:00"/>
        <d v="2025-01-21T00:00:00"/>
        <d v="2025-02-16T00:00:00"/>
        <d v="2025-01-03T00:00:00"/>
        <d v="2024-12-07T00:00:00"/>
        <d v="2025-06-10T00:00:00"/>
        <d v="2024-11-24T00:00:00"/>
        <d v="2024-12-26T00:00:00"/>
        <d v="2024-02-13T00:00:00"/>
        <d v="2024-07-27T00:00:00"/>
        <d v="2025-01-22T00:00:00"/>
        <d v="2024-10-09T00:00:00"/>
        <d v="2024-07-13T00:00:00"/>
        <d v="2024-09-14T00:00:00"/>
        <d v="2025-07-03T00:00:00"/>
        <d v="2024-08-03T00:00:00"/>
        <d v="2023-07-25T00:00:00"/>
        <d v="2025-03-22T00:00:00"/>
        <d v="2025-03-28T00:00:00"/>
        <d v="2024-10-31T00:00:00"/>
        <d v="2025-01-16T00:00:00"/>
        <d v="2025-06-20T00:00:00"/>
        <d v="2025-06-15T00:00:00"/>
        <d v="2024-09-04T00:00:00"/>
        <d v="2024-08-29T00:00:00"/>
        <d v="2025-06-04T00:00:00"/>
        <d v="2023-11-23T00:00:00"/>
        <d v="2024-08-11T00:00:00"/>
        <d v="2024-10-15T00:00:00"/>
        <d v="2025-03-10T00:00:00"/>
        <d v="2024-10-03T00:00:00"/>
        <d v="2025-04-29T00:00:00"/>
        <d v="2024-06-02T00:00:00"/>
        <d v="2025-04-16T00:00:00"/>
        <d v="2025-02-15T00:00:00"/>
        <d v="2023-09-17T00:00:00"/>
        <d v="2025-07-22T00:00:00"/>
        <d v="2024-07-06T00:00:00"/>
        <d v="2024-07-11T00:00:00"/>
        <d v="2025-06-19T00:00:00"/>
        <d v="2024-08-15T00:00:00"/>
        <d v="2023-12-03T00:00:00"/>
        <d v="2023-12-09T00:00:00"/>
        <d v="2024-06-13T00:00:00"/>
        <d v="2025-05-24T00:00:00"/>
        <d v="2024-01-17T00:00:00"/>
        <d v="2024-10-12T00:00:00"/>
        <d v="2025-03-09T00:00:00"/>
        <d v="2025-06-17T00:00:00"/>
        <d v="2025-05-06T00:00:00"/>
        <d v="2025-02-20T00:00:00"/>
        <d v="2023-09-07T00:00:00"/>
        <d v="2023-08-15T00:00:00"/>
        <d v="2023-08-21T00:00:00"/>
        <d v="2025-01-24T00:00:00"/>
        <d v="2024-07-18T00:00:00"/>
        <d v="2024-05-08T00:00:00"/>
        <d v="2023-12-29T00:00:00"/>
        <d v="2024-03-15T00:00:00"/>
        <d v="2025-04-27T00:00:00"/>
        <d v="2025-03-18T00:00:00"/>
        <d v="2024-12-29T00:00:00"/>
        <d v="2024-09-16T00:00:00"/>
        <d v="2025-05-18T00:00:00"/>
        <d v="2023-08-13T00:00:00"/>
        <d v="2025-06-13T00:00:00"/>
        <d v="2024-09-25T00:00:00"/>
        <d v="2024-08-26T00:00:00"/>
        <d v="2024-10-19T00:00:00"/>
        <d v="2025-05-04T00:00:00"/>
        <d v="2024-11-10T00:00:00"/>
        <d v="2024-06-15T00:00:00"/>
        <d v="2024-04-20T00:00:00"/>
        <d v="2025-06-23T00:00:00"/>
        <d v="2025-04-30T00:00:00"/>
        <d v="2024-07-30T00:00:00"/>
        <d v="2023-12-16T00:00:00"/>
        <d v="2024-10-11T00:00:00"/>
        <d v="2023-10-31T00:00:00"/>
        <d v="2024-09-30T00:00:00"/>
        <d v="2023-08-29T00:00:00"/>
        <d v="2024-12-11T00:00:00"/>
        <d v="2023-12-22T00:00:00"/>
        <d v="2025-05-13T00:00:00"/>
        <d v="2025-01-06T00:00:00"/>
        <d v="2025-03-29T00:00:00"/>
        <d v="2024-09-03T00:00:00"/>
        <d v="2025-05-15T00:00:00"/>
        <d v="2025-01-12T00:00:00"/>
        <d v="2023-12-13T00:00:00"/>
        <d v="2025-01-11T00:00:00"/>
        <d v="2024-08-12T00:00:00"/>
        <d v="2024-12-01T00:00:00"/>
        <d v="2025-03-13T00:00:00"/>
        <d v="2025-01-05T00:00:00"/>
        <d v="2025-06-22T00:00:00"/>
        <d v="2024-03-29T00:00:00"/>
        <d v="2025-05-03T00:00:00"/>
        <d v="2025-05-31T00:00:00"/>
        <d v="2025-03-05T00:00:00"/>
        <d v="2025-04-03T00:00:00"/>
        <d v="2023-08-18T00:00:00"/>
        <d v="2024-09-17T00:00:00"/>
        <d v="2023-10-08T00:00:00"/>
        <d v="2025-02-26T00:00:00"/>
        <d v="2025-01-08T00:00:00"/>
        <d v="2023-08-04T00:00:00"/>
        <d v="2023-10-13T00:00:00"/>
        <d v="2024-03-10T00:00:00"/>
        <d v="2023-08-24T00:00:00"/>
        <d v="2024-12-14T00:00:00"/>
        <d v="2024-04-15T00:00:00"/>
        <d v="2023-09-09T00:00:00"/>
        <d v="2024-08-16T00:00:00"/>
        <d v="2025-07-02T00:00:00"/>
        <d v="2024-09-24T00:00:00"/>
        <d v="2025-02-07T00:00:00"/>
        <d v="2025-06-14T00:00:00"/>
        <d v="2024-08-19T00:00:00"/>
        <d v="2025-06-01T00:00:00"/>
        <d v="2024-08-10T00:00:00"/>
        <d v="2023-10-10T00:00:00"/>
        <d v="2024-11-14T00:00:00"/>
        <d v="2024-07-21T00:00:00"/>
        <d v="2024-02-15T00:00:00"/>
        <d v="2024-12-28T00:00:00"/>
        <d v="2024-08-05T00:00:00"/>
        <d v="2025-07-12T00:00:00"/>
        <d v="2024-10-02T00:00:00"/>
        <d v="2024-09-27T00:00:00"/>
        <d v="2024-07-29T00:00:00"/>
        <d v="2025-02-09T00:00:00"/>
        <d v="2025-01-30T00:00:00"/>
        <d v="2025-06-05T00:00:00"/>
        <d v="2024-11-01T00:00:00"/>
        <d v="2025-05-19T00:00:00"/>
        <d v="2024-07-23T00:00:00"/>
        <d v="2025-05-25T00:00:00"/>
        <d v="2025-03-15T00:00:00"/>
        <d v="2023-07-31T00:00:00"/>
        <d v="2025-02-03T00:00:00"/>
        <d v="2024-08-28T00:00:00"/>
        <d v="2023-11-06T00:00:00"/>
        <d v="2025-01-29T00:00:00"/>
        <d v="2025-01-01T00:00:00"/>
        <d v="2024-01-13T00:00:00"/>
        <d v="2024-04-07T00:00:00"/>
        <d v="2024-07-17T00:00:00"/>
        <d v="2023-07-30T00:00:00"/>
        <d v="2025-03-11T00:00:00"/>
        <d v="2025-03-06T00:00:00"/>
        <d v="2025-02-21T00:00:00"/>
        <d v="2023-07-26T00:00:00"/>
        <d v="2023-09-28T00:00:00"/>
        <d v="2024-02-28T00:00:00"/>
        <d v="2024-08-01T00:00:00"/>
        <d v="2024-10-08T00:00:00"/>
        <d v="2024-11-16T00:00:00"/>
        <d v="2025-05-16T00:00:00"/>
        <d v="2025-02-08T00:00:00"/>
        <d v="2025-06-03T00:00:00"/>
        <d v="2024-07-19T00:00:00"/>
        <d v="2025-01-26T00:00:00"/>
        <d v="2024-08-17T00:00:00"/>
        <d v="2024-02-24T00:00:00"/>
        <d v="2024-11-27T00:00:00"/>
        <d v="2024-02-29T00:00:00"/>
        <d v="2024-11-17T00:00:00"/>
        <d v="2025-07-04T00:00:00"/>
        <d v="2024-12-08T00:00:00"/>
        <d v="2023-08-05T00:00:00"/>
        <d v="2024-04-26T00:00:00"/>
        <d v="2023-09-15T00:00:00"/>
        <d v="2024-11-20T00:00:00"/>
        <d v="2025-04-10T00:00:00"/>
        <d v="2024-05-07T00:00:00"/>
        <d v="2024-02-20T00:00:00"/>
        <d v="2024-06-23T00:00:00"/>
        <d v="2024-08-20T00:00:00"/>
        <d v="2025-04-28T00:00:00"/>
        <d v="2023-08-22T00:00:00"/>
        <d v="2024-12-17T00:00:00"/>
        <d v="2025-05-22T00:00:00"/>
        <d v="2025-07-10T00:00:00"/>
        <d v="2024-03-16T00:00:00"/>
        <d v="2024-01-06T00:00:00"/>
        <d v="2025-05-30T00:00:00"/>
        <d v="2024-05-26T00:00:00"/>
        <d v="2025-01-13T00:00:00"/>
        <d v="2024-12-05T00:00:00"/>
        <d v="2024-05-01T00:00:00"/>
        <d v="2024-03-14T00:00:00"/>
        <d v="2023-11-26T00:00:00"/>
        <d v="2024-03-23T00:00:00"/>
        <d v="2023-12-07T00:00:00"/>
        <d v="2025-02-01T00:00:00"/>
        <d v="2024-08-18T00:00:00"/>
        <d v="2025-04-09T00:00:00"/>
        <d v="2023-10-14T00:00:00"/>
        <d v="2023-10-04T00:00:00"/>
        <d v="2025-05-09T00:00:00"/>
        <d v="2023-12-14T00:00:00"/>
        <d v="2024-11-29T00:00:00"/>
        <d v="2024-11-23T00:00:00"/>
        <d v="2023-11-12T00:00:00"/>
        <d v="2025-04-20T00:00:00"/>
        <d v="2024-06-14T00:00:00"/>
        <d v="2025-02-28T00:00:00"/>
        <d v="2024-05-31T00:00:00"/>
        <d v="2024-07-28T00:00:00"/>
        <d v="2024-01-04T00:00:00"/>
        <d v="2025-05-21T00:00:00"/>
        <d v="2024-04-29T00:00:00"/>
        <d v="2024-09-19T00:00:00"/>
        <d v="2023-09-23T00:00:00"/>
        <d v="2025-03-20T00:00:00"/>
        <d v="2025-01-20T00:00:00"/>
        <d v="2024-10-07T00:00:00"/>
        <d v="2025-04-07T00:00:00"/>
        <d v="2024-04-22T00:00:00"/>
        <d v="2025-07-16T00:00:00"/>
        <d v="2024-09-15T00:00:00"/>
        <d v="2024-09-18T00:00:00"/>
        <d v="2024-03-12T00:00:00"/>
        <d v="2023-08-20T00:00:00"/>
        <d v="2023-08-17T00:00:00"/>
        <d v="2023-09-13T00:00:00"/>
        <d v="2023-09-02T00:00:00"/>
        <d v="2025-03-17T00:00:00"/>
        <d v="2024-02-06T00:00:00"/>
        <d v="2025-06-07T00:00:00"/>
        <d v="2024-01-23T00:00:00"/>
        <d v="2023-12-10T00:00:00"/>
        <d v="2024-05-04T00:00:00"/>
        <d v="2025-05-23T00:00:00"/>
        <d v="2023-11-18T00:00:00"/>
        <d v="2024-01-30T00:00:00"/>
        <d v="2024-04-16T00:00:00"/>
        <d v="2024-09-09T00:00:00"/>
        <d v="2024-11-22T00:00:00"/>
        <d v="2024-10-06T00:00:00"/>
        <d v="2024-07-24T00:00:00"/>
        <d v="2023-10-17T00:00:00"/>
        <d v="2024-04-09T00:00:00"/>
        <d v="2024-08-23T00:00:00"/>
        <d v="2023-08-09T00:00:00"/>
        <d v="2023-11-30T00:00:00"/>
        <d v="2023-12-23T00:00:00"/>
        <d v="2025-03-08T00:00:00"/>
        <d v="2024-04-28T00:00:00"/>
        <d v="2025-04-13T00:00:00"/>
        <d v="2024-01-22T00:00:00"/>
        <d v="2024-10-21T00:00:00"/>
        <d v="2025-02-11T00:00:00"/>
        <d v="2024-01-31T00:00:00"/>
        <d v="2024-12-19T00:00:00"/>
        <d v="2024-11-26T00:00:00"/>
        <d v="2024-01-29T00:00:00"/>
        <d v="2024-01-15T00:00:00"/>
        <d v="2023-11-19T00:00:00"/>
        <d v="2024-02-21T00:00:00"/>
        <d v="2024-03-22T00:00:00"/>
        <d v="2024-11-19T00:00:00"/>
        <d v="2023-10-19T00:00:00"/>
        <d v="2024-03-13T00:00:00"/>
        <d v="2024-09-01T00:00:00"/>
        <d v="2023-12-19T00:00:00"/>
        <d v="2025-01-17T00:00:00"/>
        <d v="2024-08-31T00:00:00"/>
        <d v="2024-05-29T00:00:00"/>
        <d v="2023-09-25T00:00:00"/>
        <d v="2024-09-22T00:00:00"/>
        <d v="2025-07-07T00:00:00"/>
        <d v="2025-03-14T00:00:00"/>
        <d v="2025-05-17T00:00:00"/>
        <d v="2024-05-06T00:00:00"/>
        <d v="2024-12-27T00:00:00"/>
        <d v="2024-03-08T00:00:00"/>
        <d v="2023-10-22T00:00:00"/>
        <d v="2024-09-13T00:00:00"/>
        <d v="2024-08-09T00:00:00"/>
        <d v="2024-12-18T00:00:00"/>
        <d v="2023-09-24T00:00:00"/>
        <d v="2023-12-30T00:00:00"/>
        <d v="2024-01-12T00:00:00"/>
        <d v="2024-04-01T00:00:00"/>
        <d v="2024-04-10T00:00:00"/>
        <d v="2024-09-07T00:00:00"/>
        <d v="2024-05-30T00:00:00"/>
        <d v="2024-06-21T00:00:00"/>
        <d v="2024-09-06T00:00:00"/>
        <d v="2024-09-02T00:00:00"/>
        <d v="2023-08-10T00:00:00"/>
        <d v="2023-10-11T00:00:00"/>
        <d v="2024-01-11T00:00:00"/>
        <d v="2024-02-03T00:00:00"/>
        <d v="2025-04-14T00:00:00"/>
        <d v="2024-07-31T00:00:00"/>
        <d v="2024-08-25T00:00:00"/>
        <d v="2024-03-31T00:00:00"/>
        <d v="2024-09-29T00:00:00"/>
        <d v="2023-10-24T00:00:00"/>
        <d v="2024-07-10T00:00:00"/>
        <d v="2023-12-17T00:00:00"/>
        <d v="2025-05-07T00:00:00"/>
        <d v="2023-07-27T00:00:00"/>
        <d v="2023-08-23T00:00:00"/>
        <d v="2023-09-30T00:00:00"/>
        <d v="2024-01-03T00:00:00"/>
        <d v="2024-06-05T00:00:00"/>
        <d v="2024-10-24T00:00:00"/>
        <d v="2024-05-19T00:00:00"/>
        <d v="2024-06-08T00:00:00"/>
        <d v="2023-12-21T00:00:00"/>
        <d v="2024-12-09T00:00:00"/>
        <d v="2025-05-10T00:00:00"/>
        <d v="2024-01-26T00:00:00"/>
        <d v="2025-02-23T00:00:00"/>
        <d v="2024-10-29T00:00:00"/>
        <d v="2024-08-24T00:00:00"/>
        <d v="2023-08-28T00:00:00"/>
        <d v="2024-12-20T00:00:00"/>
        <d v="2023-12-04T00:00:00"/>
        <d v="2024-04-21T00:00:00"/>
        <d v="2023-10-30T00:00:00"/>
        <d v="2024-02-05T00:00:00"/>
        <d v="2025-04-19T00:00:00"/>
        <d v="2025-03-01T00:00:00"/>
        <d v="2023-12-18T00:00:00"/>
        <d v="2024-01-19T00:00:00"/>
        <d v="2024-05-10T00:00:00"/>
        <d v="2024-06-01T00:00:00"/>
        <d v="2024-04-14T00:00:00"/>
        <d v="2024-03-24T00:00:00"/>
        <d v="2023-08-08T00:00:00"/>
        <d v="2024-02-23T00:00:00"/>
        <d v="2024-10-18T00:00:00"/>
        <d v="2024-02-25T00:00:00"/>
        <d v="2024-08-30T00:00:00"/>
        <d v="2023-10-12T00:00:00"/>
        <d v="2024-04-05T00:00:00"/>
        <d v="2025-02-25T00:00:00"/>
        <d v="2023-10-02T00:00:00"/>
        <d v="2023-08-25T00:00:00"/>
        <d v="2024-10-14T00:00:00"/>
        <d v="2023-11-24T00:00:00"/>
        <d v="2023-08-12T00:00:00"/>
        <d v="2024-03-09T00:00:00"/>
        <d v="2024-07-20T00:00:00"/>
        <d v="2024-11-04T00:00:00"/>
        <d v="2024-06-10T00:00:00"/>
        <d v="2024-02-19T00:00:00"/>
        <d v="2023-08-07T00:00:00"/>
        <d v="2025-07-19T00:00:00"/>
        <d v="2023-12-31T00:00:00"/>
      </sharedItems>
      <fieldGroup par="15"/>
    </cacheField>
    <cacheField name="City" numFmtId="49">
      <sharedItems count="6">
        <s v="Delhi"/>
        <s v="Ahmedabad"/>
        <s v="Mumbai"/>
        <s v="Bengaluru"/>
        <s v="Hyderabad"/>
        <s v="Pune"/>
      </sharedItems>
    </cacheField>
    <cacheField name="Segment" numFmtId="49">
      <sharedItems count="2">
        <s v="B2C"/>
        <s v="B2B"/>
      </sharedItems>
    </cacheField>
    <cacheField name="Net_Revenue" numFmtId="164">
      <sharedItems containsSemiMixedTypes="0" containsString="0" containsNumber="1" minValue="0" maxValue="29180.675999999996"/>
    </cacheField>
    <cacheField name="Profit" numFmtId="164">
      <sharedItems containsSemiMixedTypes="0" containsString="0" containsNumber="1" minValue="-992.61" maxValue="2997.11"/>
    </cacheField>
    <cacheField name="Months (Order_Date)" numFmtId="0" databaseField="0">
      <fieldGroup base="8">
        <rangePr groupBy="months" startDate="2023-07-23T00:00:00" endDate="2025-07-23T00:00:00"/>
        <groupItems count="14">
          <s v="&lt;23-07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7-2025"/>
        </groupItems>
      </fieldGroup>
    </cacheField>
    <cacheField name="Quarters (Order_Date)" numFmtId="0" databaseField="0">
      <fieldGroup base="8">
        <rangePr groupBy="quarters" startDate="2023-07-23T00:00:00" endDate="2025-07-23T00:00:00"/>
        <groupItems count="6">
          <s v="&lt;23-07-2023"/>
          <s v="Qtr1"/>
          <s v="Qtr2"/>
          <s v="Qtr3"/>
          <s v="Qtr4"/>
          <s v="&gt;23-07-2025"/>
        </groupItems>
      </fieldGroup>
    </cacheField>
    <cacheField name="Years (Order_Date)" numFmtId="0" databaseField="0">
      <fieldGroup base="8">
        <rangePr groupBy="years" startDate="2023-07-23T00:00:00" endDate="2025-07-23T00:00:00"/>
        <groupItems count="5">
          <s v="&lt;23-07-2023"/>
          <s v="2023"/>
          <s v="2024"/>
          <s v="2025"/>
          <s v="&gt;23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kul G.S" refreshedDate="46253.877240972222" backgroundQuery="1" createdVersion="8" refreshedVersion="8" minRefreshableVersion="3" recordCount="0" supportSubquery="1" supportAdvancedDrill="1" xr:uid="{2249C98F-7930-4ED6-9E60-D9CB7282B195}">
  <cacheSource type="external" connectionId="1"/>
  <cacheFields count="2">
    <cacheField name="[Table1].[Product_Category].[Product_Category]" caption="Product_Category" numFmtId="0" hierarchy="2" level="1">
      <sharedItems count="6">
        <s v="Accessories"/>
        <s v="Dresses"/>
        <s v="Jackets"/>
        <s v="Jeans"/>
        <s v="Shoes"/>
        <s v="T-Shirts"/>
      </sharedItems>
    </cacheField>
    <cacheField name="[Measures].[Sum of Sales_Amount]" caption="Sum of Sales_Amount" numFmtId="0" hierarchy="16" level="32767"/>
  </cacheFields>
  <cacheHierarchies count="17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Product_Category]" caption="Product_Category" attribute="1" defaultMemberUniqueName="[Table1].[Product_Category].[All]" allUniqueName="[Table1].[Product_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Units_Sold]" caption="Units_Sold" attribute="1" defaultMemberUniqueName="[Table1].[Units_Sold].[All]" allUniqueName="[Table1].[Units_Sold].[All]" dimensionUniqueName="[Table1]" displayFolder="" count="0" memberValueDatatype="5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5" unbalanced="0"/>
    <cacheHierarchy uniqueName="[Table1].[Discount_%]" caption="Discount_%" attribute="1" defaultMemberUniqueName="[Table1].[Discount_%].[All]" allUniqueName="[Table1].[Discount_%].[All]" dimensionUniqueName="[Table1]" displayFolder="" count="0" memberValueDatatype="5" unbalanced="0"/>
    <cacheHierarchy uniqueName="[Table1].[Sales_Amount]" caption="Sales_Amount" attribute="1" defaultMemberUniqueName="[Table1].[Sales_Amount].[All]" allUniqueName="[Table1].[Sales_Amount].[All]" dimensionUniqueName="[Table1]" displayFolder="" count="0" memberValueDatatype="5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Net_Revenue]" caption="Net_Revenue" attribute="1" defaultMemberUniqueName="[Table1].[Net_Revenue].[All]" allUniqueName="[Table1].[Net_Revenu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_Amount]" caption="Sum of Sales_Am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000"/>
    <s v="Brian Thompson"/>
    <x v="0"/>
    <x v="0"/>
    <x v="0"/>
    <n v="842"/>
    <n v="0.6"/>
    <x v="0"/>
    <x v="0"/>
    <x v="0"/>
    <x v="0"/>
    <n v="1347.2"/>
    <n v="336.8"/>
  </r>
  <r>
    <n v="1001"/>
    <s v="Shaun Ross"/>
    <x v="0"/>
    <x v="0"/>
    <x v="1"/>
    <n v="2366.6149999999998"/>
    <n v="0.51"/>
    <x v="1"/>
    <x v="1"/>
    <x v="1"/>
    <x v="1"/>
    <n v="1159.6413499999999"/>
    <n v="289.91033749999997"/>
  </r>
  <r>
    <n v="1002"/>
    <s v="Sarah Snyder"/>
    <x v="1"/>
    <x v="1"/>
    <x v="1"/>
    <n v="637.82000000000005"/>
    <n v="0.51"/>
    <x v="2"/>
    <x v="2"/>
    <x v="2"/>
    <x v="1"/>
    <n v="312.53180000000003"/>
    <n v="-158.03"/>
  </r>
  <r>
    <n v="1003"/>
    <s v="Jay Briggs"/>
    <x v="2"/>
    <x v="2"/>
    <x v="2"/>
    <n v="2962.27"/>
    <n v="0.51"/>
    <x v="3"/>
    <x v="3"/>
    <x v="3"/>
    <x v="1"/>
    <n v="2903.0245999999997"/>
    <n v="2296.5"/>
  </r>
  <r>
    <n v="1004"/>
    <s v="Maria Blake"/>
    <x v="3"/>
    <x v="3"/>
    <x v="1"/>
    <n v="2881.07"/>
    <n v="0.27"/>
    <x v="4"/>
    <x v="4"/>
    <x v="4"/>
    <x v="1"/>
    <n v="2103.1811000000002"/>
    <n v="63.66"/>
  </r>
  <r>
    <n v="1005"/>
    <s v="Samuel Miller"/>
    <x v="4"/>
    <x v="4"/>
    <x v="0"/>
    <n v="2001.5500000000002"/>
    <n v="0.51"/>
    <x v="5"/>
    <x v="5"/>
    <x v="2"/>
    <x v="1"/>
    <n v="3923.0380000000005"/>
    <n v="1477.73"/>
  </r>
  <r>
    <n v="1006"/>
    <s v="John Mclean"/>
    <x v="0"/>
    <x v="5"/>
    <x v="1"/>
    <n v="2060.85"/>
    <n v="0.51"/>
    <x v="6"/>
    <x v="6"/>
    <x v="1"/>
    <x v="1"/>
    <n v="1009.8164999999999"/>
    <n v="198.36"/>
  </r>
  <r>
    <n v="1007"/>
    <s v="Dr. Kathryn Bass PhD"/>
    <x v="5"/>
    <x v="6"/>
    <x v="0"/>
    <n v="3669.56"/>
    <n v="0.51"/>
    <x v="7"/>
    <x v="4"/>
    <x v="3"/>
    <x v="0"/>
    <n v="7192.3375999999998"/>
    <n v="2490.0100000000002"/>
  </r>
  <r>
    <n v="1008"/>
    <s v="Marie Fisher"/>
    <x v="3"/>
    <x v="7"/>
    <x v="3"/>
    <n v="2577.6350000000002"/>
    <n v="0.51"/>
    <x v="8"/>
    <x v="4"/>
    <x v="1"/>
    <x v="0"/>
    <n v="3789.12345"/>
    <n v="-886.8"/>
  </r>
  <r>
    <n v="1009"/>
    <s v="Dale Perry"/>
    <x v="4"/>
    <x v="8"/>
    <x v="4"/>
    <n v="3027.66"/>
    <n v="0.51"/>
    <x v="9"/>
    <x v="7"/>
    <x v="3"/>
    <x v="1"/>
    <n v="7417.7669999999998"/>
    <n v="-972.73"/>
  </r>
  <r>
    <n v="1010"/>
    <s v="Oscar Turner"/>
    <x v="4"/>
    <x v="4"/>
    <x v="0"/>
    <n v="4007.02"/>
    <n v="0.51"/>
    <x v="10"/>
    <x v="4"/>
    <x v="5"/>
    <x v="1"/>
    <n v="7853.7591999999995"/>
    <n v="-950.38"/>
  </r>
  <r>
    <n v="1011"/>
    <s v="Jacob Sanchez"/>
    <x v="3"/>
    <x v="3"/>
    <x v="3"/>
    <n v="2515.415"/>
    <n v="0.51"/>
    <x v="11"/>
    <x v="8"/>
    <x v="0"/>
    <x v="0"/>
    <n v="3697.66005"/>
    <n v="1370.67"/>
  </r>
  <r>
    <n v="1012"/>
    <s v="Valerie Hampton"/>
    <x v="0"/>
    <x v="9"/>
    <x v="0"/>
    <n v="2891.64"/>
    <n v="0.21"/>
    <x v="12"/>
    <x v="9"/>
    <x v="1"/>
    <x v="1"/>
    <n v="9137.5823999999993"/>
    <n v="843.61"/>
  </r>
  <r>
    <n v="1013"/>
    <s v="James Delgado"/>
    <x v="4"/>
    <x v="4"/>
    <x v="0"/>
    <n v="2001.5500000000002"/>
    <n v="0.62"/>
    <x v="5"/>
    <x v="4"/>
    <x v="5"/>
    <x v="0"/>
    <n v="3042.3560000000002"/>
    <n v="1279.58"/>
  </r>
  <r>
    <n v="1014"/>
    <s v="Richard Hood"/>
    <x v="2"/>
    <x v="2"/>
    <x v="0"/>
    <n v="2933.45"/>
    <n v="0.51"/>
    <x v="13"/>
    <x v="10"/>
    <x v="4"/>
    <x v="1"/>
    <n v="5749.5619999999999"/>
    <n v="-889.25"/>
  </r>
  <r>
    <n v="1015"/>
    <s v="Julie Fox"/>
    <x v="2"/>
    <x v="10"/>
    <x v="5"/>
    <n v="2666.2200000000003"/>
    <n v="0.51"/>
    <x v="14"/>
    <x v="4"/>
    <x v="1"/>
    <x v="1"/>
    <n v="7838.6868000000004"/>
    <n v="793.8"/>
  </r>
  <r>
    <n v="1016"/>
    <s v="Valerie Garner"/>
    <x v="4"/>
    <x v="4"/>
    <x v="0"/>
    <n v="2001.5500000000002"/>
    <n v="0.51"/>
    <x v="5"/>
    <x v="11"/>
    <x v="4"/>
    <x v="1"/>
    <n v="3923.0380000000005"/>
    <n v="1881.89"/>
  </r>
  <r>
    <n v="1017"/>
    <s v="Alejandro Johnson"/>
    <x v="4"/>
    <x v="8"/>
    <x v="3"/>
    <n v="468.53"/>
    <n v="0.51"/>
    <x v="15"/>
    <x v="4"/>
    <x v="2"/>
    <x v="1"/>
    <n v="688.73909999999989"/>
    <n v="-195.65"/>
  </r>
  <r>
    <n v="1018"/>
    <s v="Andrew Washington"/>
    <x v="5"/>
    <x v="11"/>
    <x v="0"/>
    <n v="2731.6350000000002"/>
    <n v="0.51"/>
    <x v="16"/>
    <x v="12"/>
    <x v="3"/>
    <x v="0"/>
    <n v="5354.0046000000002"/>
    <n v="2102.56"/>
  </r>
  <r>
    <n v="1019"/>
    <s v="Mark Allison"/>
    <x v="5"/>
    <x v="6"/>
    <x v="0"/>
    <n v="4064.4"/>
    <n v="0.7"/>
    <x v="17"/>
    <x v="13"/>
    <x v="1"/>
    <x v="0"/>
    <n v="4877.2800000000007"/>
    <n v="877.21"/>
  </r>
  <r>
    <n v="1020"/>
    <s v="Russell Eaton"/>
    <x v="0"/>
    <x v="5"/>
    <x v="1"/>
    <n v="3008.6549999999997"/>
    <n v="0.51"/>
    <x v="18"/>
    <x v="14"/>
    <x v="5"/>
    <x v="1"/>
    <n v="1474.2409499999999"/>
    <n v="669.75"/>
  </r>
  <r>
    <n v="1021"/>
    <s v="Amber Bowman"/>
    <x v="5"/>
    <x v="12"/>
    <x v="3"/>
    <n v="2765.26"/>
    <n v="0.51"/>
    <x v="19"/>
    <x v="15"/>
    <x v="3"/>
    <x v="1"/>
    <n v="4064.9322000000002"/>
    <n v="-705.72"/>
  </r>
  <r>
    <n v="1031"/>
    <s v="Lauren Jensen"/>
    <x v="5"/>
    <x v="12"/>
    <x v="3"/>
    <n v="1872.05"/>
    <n v="0.15"/>
    <x v="20"/>
    <x v="8"/>
    <x v="5"/>
    <x v="0"/>
    <n v="4773.7275"/>
    <n v="-863.9"/>
  </r>
  <r>
    <n v="1023"/>
    <s v="David Arnold"/>
    <x v="2"/>
    <x v="13"/>
    <x v="0"/>
    <n v="2538.0450000000001"/>
    <n v="0.51"/>
    <x v="21"/>
    <x v="4"/>
    <x v="2"/>
    <x v="1"/>
    <n v="4974.5681999999997"/>
    <n v="-875.51"/>
  </r>
  <r>
    <n v="1024"/>
    <s v="Thomas Long"/>
    <x v="1"/>
    <x v="1"/>
    <x v="0"/>
    <n v="2579.8000000000002"/>
    <n v="0.51"/>
    <x v="22"/>
    <x v="16"/>
    <x v="0"/>
    <x v="1"/>
    <n v="5056.4080000000004"/>
    <n v="491.1"/>
  </r>
  <r>
    <n v="1025"/>
    <s v="Christine Reed"/>
    <x v="0"/>
    <x v="9"/>
    <x v="0"/>
    <n v="4595.08"/>
    <n v="0.51"/>
    <x v="23"/>
    <x v="17"/>
    <x v="3"/>
    <x v="1"/>
    <n v="9006.3567999999996"/>
    <n v="330.82"/>
  </r>
  <r>
    <n v="1026"/>
    <s v="Colton Baxter"/>
    <x v="3"/>
    <x v="7"/>
    <x v="3"/>
    <n v="2577.6350000000002"/>
    <n v="0.51"/>
    <x v="8"/>
    <x v="4"/>
    <x v="1"/>
    <x v="1"/>
    <n v="3789.12345"/>
    <n v="-194.77"/>
  </r>
  <r>
    <n v="1027"/>
    <s v="Rebecca Dorsey"/>
    <x v="3"/>
    <x v="3"/>
    <x v="1"/>
    <n v="2515.415"/>
    <n v="0.51"/>
    <x v="24"/>
    <x v="4"/>
    <x v="4"/>
    <x v="1"/>
    <n v="1232.5533499999999"/>
    <n v="1085.3599999999999"/>
  </r>
  <r>
    <n v="1028"/>
    <s v="Felicia Orozco"/>
    <x v="4"/>
    <x v="14"/>
    <x v="0"/>
    <n v="2765.79"/>
    <n v="0.51"/>
    <x v="25"/>
    <x v="4"/>
    <x v="4"/>
    <x v="1"/>
    <n v="5420.9484000000002"/>
    <n v="2060.0300000000002"/>
  </r>
  <r>
    <n v="1029"/>
    <s v="Terry Anderson"/>
    <x v="4"/>
    <x v="14"/>
    <x v="0"/>
    <n v="2765.79"/>
    <n v="0.51"/>
    <x v="25"/>
    <x v="4"/>
    <x v="2"/>
    <x v="1"/>
    <n v="5420.9484000000002"/>
    <n v="1737.92"/>
  </r>
  <r>
    <n v="1030"/>
    <s v="Brandi Jones"/>
    <x v="5"/>
    <x v="11"/>
    <x v="3"/>
    <n v="1069.77"/>
    <n v="0.51"/>
    <x v="26"/>
    <x v="18"/>
    <x v="4"/>
    <x v="0"/>
    <n v="1572.5618999999999"/>
    <n v="1155.3800000000001"/>
  </r>
  <r>
    <n v="1031"/>
    <s v="William Williams"/>
    <x v="5"/>
    <x v="12"/>
    <x v="0"/>
    <n v="2765.26"/>
    <n v="0.51"/>
    <x v="27"/>
    <x v="19"/>
    <x v="3"/>
    <x v="1"/>
    <n v="5419.9096"/>
    <n v="-960.24"/>
  </r>
  <r>
    <n v="1032"/>
    <s v="Kim Harris"/>
    <x v="0"/>
    <x v="5"/>
    <x v="3"/>
    <n v="2182.0100000000002"/>
    <n v="0.51"/>
    <x v="28"/>
    <x v="20"/>
    <x v="0"/>
    <x v="1"/>
    <n v="3207.5547000000001"/>
    <n v="1377.61"/>
  </r>
  <r>
    <n v="1033"/>
    <s v="Jonathan Neal"/>
    <x v="0"/>
    <x v="9"/>
    <x v="0"/>
    <n v="2891.64"/>
    <n v="0.51"/>
    <x v="12"/>
    <x v="21"/>
    <x v="4"/>
    <x v="1"/>
    <n v="5667.6143999999995"/>
    <n v="903.69"/>
  </r>
  <r>
    <n v="1034"/>
    <s v="Nathan Stewart"/>
    <x v="1"/>
    <x v="1"/>
    <x v="0"/>
    <n v="4449.3599999999997"/>
    <n v="0.94"/>
    <x v="29"/>
    <x v="22"/>
    <x v="0"/>
    <x v="1"/>
    <n v="1067.8464000000008"/>
    <n v="-282.68"/>
  </r>
  <r>
    <n v="1035"/>
    <s v="Joshua Thomas"/>
    <x v="1"/>
    <x v="15"/>
    <x v="3"/>
    <n v="2229.4899999999998"/>
    <n v="0.94"/>
    <x v="30"/>
    <x v="4"/>
    <x v="1"/>
    <x v="0"/>
    <n v="401.30820000000034"/>
    <n v="-199.18"/>
  </r>
  <r>
    <n v="1036"/>
    <s v="Connie Cunningham"/>
    <x v="4"/>
    <x v="16"/>
    <x v="0"/>
    <n v="2721.83"/>
    <n v="0.51"/>
    <x v="31"/>
    <x v="23"/>
    <x v="1"/>
    <x v="1"/>
    <n v="5334.7867999999999"/>
    <n v="1213.95"/>
  </r>
  <r>
    <n v="1037"/>
    <s v="Amy Martin"/>
    <x v="3"/>
    <x v="7"/>
    <x v="2"/>
    <n v="2577.6350000000002"/>
    <n v="0.51"/>
    <x v="32"/>
    <x v="4"/>
    <x v="1"/>
    <x v="1"/>
    <n v="2526.0823"/>
    <n v="907.77"/>
  </r>
  <r>
    <n v="1038"/>
    <s v="Courtney Riddle"/>
    <x v="4"/>
    <x v="4"/>
    <x v="3"/>
    <n v="1692.38"/>
    <n v="0.51"/>
    <x v="33"/>
    <x v="24"/>
    <x v="3"/>
    <x v="0"/>
    <n v="2487.7986000000001"/>
    <n v="1704.49"/>
  </r>
  <r>
    <n v="1039"/>
    <s v="Ashley Ramirez"/>
    <x v="2"/>
    <x v="17"/>
    <x v="3"/>
    <n v="1372.16"/>
    <n v="0.56000000000000005"/>
    <x v="34"/>
    <x v="25"/>
    <x v="4"/>
    <x v="0"/>
    <n v="1811.2511999999999"/>
    <n v="1626.51"/>
  </r>
  <r>
    <n v="1040"/>
    <s v="Angel Nelson"/>
    <x v="1"/>
    <x v="18"/>
    <x v="3"/>
    <n v="2537.59"/>
    <n v="0.51"/>
    <x v="35"/>
    <x v="26"/>
    <x v="1"/>
    <x v="0"/>
    <n v="3730.2573000000002"/>
    <n v="693.6"/>
  </r>
  <r>
    <n v="1041"/>
    <s v="Teresa Chavez"/>
    <x v="1"/>
    <x v="1"/>
    <x v="0"/>
    <n v="2579.8000000000002"/>
    <n v="0.51"/>
    <x v="22"/>
    <x v="27"/>
    <x v="1"/>
    <x v="0"/>
    <n v="5056.4080000000004"/>
    <n v="-983.06"/>
  </r>
  <r>
    <n v="1042"/>
    <s v="Richard Williams"/>
    <x v="5"/>
    <x v="19"/>
    <x v="0"/>
    <n v="2889.5349999999999"/>
    <n v="0.51"/>
    <x v="36"/>
    <x v="28"/>
    <x v="5"/>
    <x v="1"/>
    <n v="5663.4885999999997"/>
    <n v="283.39"/>
  </r>
  <r>
    <n v="1043"/>
    <s v="Deborah Walker"/>
    <x v="4"/>
    <x v="16"/>
    <x v="0"/>
    <n v="4575.93"/>
    <n v="0.56000000000000005"/>
    <x v="37"/>
    <x v="29"/>
    <x v="1"/>
    <x v="1"/>
    <n v="8053.6367999999993"/>
    <n v="442.14"/>
  </r>
  <r>
    <n v="1044"/>
    <s v="Elizabeth Williams"/>
    <x v="4"/>
    <x v="14"/>
    <x v="0"/>
    <n v="2765.79"/>
    <n v="0.51"/>
    <x v="25"/>
    <x v="30"/>
    <x v="3"/>
    <x v="1"/>
    <n v="5420.9484000000002"/>
    <n v="-80.23"/>
  </r>
  <r>
    <n v="1045"/>
    <s v="Connie Mills"/>
    <x v="3"/>
    <x v="7"/>
    <x v="3"/>
    <n v="3477.16"/>
    <n v="0.51"/>
    <x v="38"/>
    <x v="31"/>
    <x v="4"/>
    <x v="1"/>
    <n v="5111.4251999999997"/>
    <n v="1323.75"/>
  </r>
  <r>
    <n v="1046"/>
    <s v="Charlotte Cook"/>
    <x v="0"/>
    <x v="0"/>
    <x v="0"/>
    <n v="2441.92"/>
    <n v="0.92"/>
    <x v="39"/>
    <x v="4"/>
    <x v="0"/>
    <x v="1"/>
    <n v="781.41439999999966"/>
    <n v="195.35359999999991"/>
  </r>
  <r>
    <n v="1047"/>
    <s v="Matthew Thompson"/>
    <x v="0"/>
    <x v="9"/>
    <x v="3"/>
    <n v="2891.64"/>
    <n v="0.51"/>
    <x v="40"/>
    <x v="32"/>
    <x v="4"/>
    <x v="0"/>
    <n v="4250.7107999999998"/>
    <n v="-395.76"/>
  </r>
  <r>
    <n v="1048"/>
    <s v="James Hughes"/>
    <x v="0"/>
    <x v="9"/>
    <x v="4"/>
    <n v="2891.64"/>
    <n v="0.41"/>
    <x v="41"/>
    <x v="33"/>
    <x v="0"/>
    <x v="1"/>
    <n v="8530.3379999999997"/>
    <n v="2409.2600000000002"/>
  </r>
  <r>
    <n v="1049"/>
    <s v="Kimberly Anderson"/>
    <x v="4"/>
    <x v="16"/>
    <x v="0"/>
    <n v="2599.75"/>
    <n v="0.51"/>
    <x v="42"/>
    <x v="4"/>
    <x v="2"/>
    <x v="0"/>
    <n v="5095.51"/>
    <n v="19.87"/>
  </r>
  <r>
    <n v="1050"/>
    <s v="Matthew Schmidt"/>
    <x v="0"/>
    <x v="0"/>
    <x v="0"/>
    <n v="1083.1600000000001"/>
    <n v="0.51"/>
    <x v="43"/>
    <x v="34"/>
    <x v="5"/>
    <x v="0"/>
    <n v="2122.9936000000002"/>
    <n v="530.74840000000006"/>
  </r>
  <r>
    <n v="1051"/>
    <s v="Eric Wilson"/>
    <x v="0"/>
    <x v="5"/>
    <x v="3"/>
    <n v="3008.6549999999997"/>
    <n v="0.56999999999999995"/>
    <x v="44"/>
    <x v="35"/>
    <x v="0"/>
    <x v="0"/>
    <n v="3881.1649500000003"/>
    <n v="2857.9"/>
  </r>
  <r>
    <n v="1052"/>
    <s v="Zachary Ramos"/>
    <x v="0"/>
    <x v="20"/>
    <x v="4"/>
    <n v="3252.49"/>
    <n v="0.56000000000000005"/>
    <x v="45"/>
    <x v="36"/>
    <x v="3"/>
    <x v="1"/>
    <n v="7155.4779999999982"/>
    <n v="-11.15"/>
  </r>
  <r>
    <n v="1053"/>
    <s v="Debra Pollard"/>
    <x v="5"/>
    <x v="11"/>
    <x v="3"/>
    <n v="714.23"/>
    <n v="0.51"/>
    <x v="46"/>
    <x v="37"/>
    <x v="0"/>
    <x v="1"/>
    <n v="1049.9181000000001"/>
    <n v="262.47952500000002"/>
  </r>
  <r>
    <n v="1054"/>
    <s v="Angela Martinez"/>
    <x v="4"/>
    <x v="14"/>
    <x v="0"/>
    <n v="2765.79"/>
    <n v="0.51"/>
    <x v="25"/>
    <x v="38"/>
    <x v="5"/>
    <x v="1"/>
    <n v="5420.9484000000002"/>
    <n v="1002.96"/>
  </r>
  <r>
    <n v="1055"/>
    <s v="Brett Burch"/>
    <x v="0"/>
    <x v="5"/>
    <x v="3"/>
    <n v="3008.6549999999997"/>
    <n v="0.51"/>
    <x v="44"/>
    <x v="39"/>
    <x v="5"/>
    <x v="1"/>
    <n v="4422.7228500000001"/>
    <n v="1374.9"/>
  </r>
  <r>
    <n v="1056"/>
    <s v="Jennifer English"/>
    <x v="3"/>
    <x v="7"/>
    <x v="5"/>
    <n v="2577.6350000000002"/>
    <n v="0.51"/>
    <x v="47"/>
    <x v="40"/>
    <x v="2"/>
    <x v="0"/>
    <n v="7578.2469000000001"/>
    <n v="-343.36"/>
  </r>
  <r>
    <n v="1057"/>
    <s v="Penny Campbell"/>
    <x v="1"/>
    <x v="1"/>
    <x v="0"/>
    <n v="2579.8000000000002"/>
    <n v="0.04"/>
    <x v="22"/>
    <x v="41"/>
    <x v="5"/>
    <x v="1"/>
    <n v="9906.4320000000007"/>
    <n v="1725.76"/>
  </r>
  <r>
    <n v="1058"/>
    <s v="Karen Garcia"/>
    <x v="4"/>
    <x v="8"/>
    <x v="3"/>
    <n v="3982.53"/>
    <n v="0.51"/>
    <x v="48"/>
    <x v="42"/>
    <x v="5"/>
    <x v="0"/>
    <n v="5854.3190999999997"/>
    <n v="1912.49"/>
  </r>
  <r>
    <n v="1059"/>
    <s v="John Ramos"/>
    <x v="0"/>
    <x v="5"/>
    <x v="3"/>
    <n v="2927.57"/>
    <n v="0.19"/>
    <x v="49"/>
    <x v="4"/>
    <x v="0"/>
    <x v="1"/>
    <n v="7113.995100000001"/>
    <n v="2218.42"/>
  </r>
  <r>
    <n v="1060"/>
    <s v="Dylan Roberson"/>
    <x v="0"/>
    <x v="20"/>
    <x v="4"/>
    <n v="2813.51"/>
    <n v="0.51"/>
    <x v="50"/>
    <x v="43"/>
    <x v="5"/>
    <x v="1"/>
    <n v="6893.0995000000003"/>
    <n v="94.96"/>
  </r>
  <r>
    <n v="1061"/>
    <s v="Kelsey Reyes"/>
    <x v="3"/>
    <x v="3"/>
    <x v="3"/>
    <n v="2291.15"/>
    <n v="0.33"/>
    <x v="51"/>
    <x v="44"/>
    <x v="2"/>
    <x v="1"/>
    <n v="4605.2115000000003"/>
    <n v="2536.3000000000002"/>
  </r>
  <r>
    <n v="1062"/>
    <s v="Larry Gibson"/>
    <x v="0"/>
    <x v="20"/>
    <x v="4"/>
    <n v="2750.33"/>
    <n v="0.51"/>
    <x v="52"/>
    <x v="4"/>
    <x v="5"/>
    <x v="0"/>
    <n v="6738.3085000000001"/>
    <n v="328.72"/>
  </r>
  <r>
    <n v="1063"/>
    <s v="Kristin Ho"/>
    <x v="4"/>
    <x v="16"/>
    <x v="1"/>
    <n v="2599.75"/>
    <n v="0.51"/>
    <x v="53"/>
    <x v="45"/>
    <x v="3"/>
    <x v="0"/>
    <n v="1273.8775000000001"/>
    <n v="318.46937500000001"/>
  </r>
  <r>
    <n v="1064"/>
    <s v="Jessica Johnston"/>
    <x v="1"/>
    <x v="18"/>
    <x v="3"/>
    <n v="2537.59"/>
    <n v="0.51"/>
    <x v="35"/>
    <x v="4"/>
    <x v="3"/>
    <x v="1"/>
    <n v="3730.2573000000002"/>
    <n v="-901.74"/>
  </r>
  <r>
    <n v="1065"/>
    <s v="Amanda Parker"/>
    <x v="0"/>
    <x v="5"/>
    <x v="4"/>
    <n v="3008.6549999999997"/>
    <n v="0.51"/>
    <x v="54"/>
    <x v="46"/>
    <x v="3"/>
    <x v="1"/>
    <n v="7371.204749999999"/>
    <n v="2316.9699999999998"/>
  </r>
  <r>
    <n v="1066"/>
    <s v="Joshua Figueroa"/>
    <x v="2"/>
    <x v="13"/>
    <x v="0"/>
    <n v="3479.44"/>
    <n v="0.51"/>
    <x v="55"/>
    <x v="47"/>
    <x v="0"/>
    <x v="1"/>
    <n v="6819.7024000000001"/>
    <n v="-252.78"/>
  </r>
  <r>
    <n v="1067"/>
    <s v="Julie Howard"/>
    <x v="5"/>
    <x v="6"/>
    <x v="0"/>
    <n v="3945.25"/>
    <n v="0.51"/>
    <x v="56"/>
    <x v="48"/>
    <x v="3"/>
    <x v="1"/>
    <n v="7732.69"/>
    <n v="305.55"/>
  </r>
  <r>
    <n v="1068"/>
    <s v="Brandon Lin"/>
    <x v="5"/>
    <x v="12"/>
    <x v="0"/>
    <n v="2765.26"/>
    <n v="0.51"/>
    <x v="27"/>
    <x v="4"/>
    <x v="1"/>
    <x v="0"/>
    <n v="5419.9096"/>
    <n v="1719.9"/>
  </r>
  <r>
    <n v="1069"/>
    <s v="Anna Allen"/>
    <x v="3"/>
    <x v="21"/>
    <x v="2"/>
    <n v="2102.02"/>
    <n v="0.51"/>
    <x v="57"/>
    <x v="49"/>
    <x v="0"/>
    <x v="1"/>
    <n v="2059.9796000000001"/>
    <n v="-992.61"/>
  </r>
  <r>
    <n v="1070"/>
    <s v="Kimberly Ho"/>
    <x v="1"/>
    <x v="22"/>
    <x v="4"/>
    <n v="2752.99"/>
    <n v="0.51"/>
    <x v="58"/>
    <x v="50"/>
    <x v="4"/>
    <x v="1"/>
    <n v="6744.825499999999"/>
    <n v="1383.48"/>
  </r>
  <r>
    <n v="1071"/>
    <s v="Nancy White"/>
    <x v="3"/>
    <x v="7"/>
    <x v="3"/>
    <n v="1000.76"/>
    <n v="0.51"/>
    <x v="59"/>
    <x v="4"/>
    <x v="0"/>
    <x v="1"/>
    <n v="1471.1171999999999"/>
    <n v="367.77929999999998"/>
  </r>
  <r>
    <n v="1072"/>
    <s v="Eric Salazar"/>
    <x v="5"/>
    <x v="11"/>
    <x v="3"/>
    <n v="2731.6350000000002"/>
    <n v="0.51"/>
    <x v="60"/>
    <x v="4"/>
    <x v="3"/>
    <x v="0"/>
    <n v="4015.5034500000002"/>
    <n v="2878.09"/>
  </r>
  <r>
    <n v="1073"/>
    <s v="Michael Williamson"/>
    <x v="0"/>
    <x v="9"/>
    <x v="0"/>
    <n v="2891.64"/>
    <n v="0.18"/>
    <x v="12"/>
    <x v="4"/>
    <x v="5"/>
    <x v="1"/>
    <n v="9484.5792000000001"/>
    <n v="368.69"/>
  </r>
  <r>
    <n v="1074"/>
    <s v="Lynn Morales"/>
    <x v="5"/>
    <x v="6"/>
    <x v="0"/>
    <n v="2975.64"/>
    <n v="0.51"/>
    <x v="61"/>
    <x v="20"/>
    <x v="4"/>
    <x v="1"/>
    <n v="5832.2543999999998"/>
    <n v="192.91"/>
  </r>
  <r>
    <n v="1075"/>
    <s v="Jennifer Horn"/>
    <x v="4"/>
    <x v="4"/>
    <x v="0"/>
    <n v="795.85"/>
    <n v="0.51"/>
    <x v="62"/>
    <x v="4"/>
    <x v="5"/>
    <x v="1"/>
    <n v="1559.866"/>
    <n v="389.9665"/>
  </r>
  <r>
    <n v="1076"/>
    <s v="Lori Preston"/>
    <x v="4"/>
    <x v="8"/>
    <x v="2"/>
    <n v="3027.66"/>
    <n v="0.51"/>
    <x v="63"/>
    <x v="51"/>
    <x v="3"/>
    <x v="1"/>
    <n v="2967.1068"/>
    <n v="1408.61"/>
  </r>
  <r>
    <n v="1077"/>
    <s v="Gabriel Parrish"/>
    <x v="4"/>
    <x v="8"/>
    <x v="2"/>
    <n v="3027.66"/>
    <n v="0.51"/>
    <x v="63"/>
    <x v="52"/>
    <x v="4"/>
    <x v="1"/>
    <n v="2967.1068"/>
    <n v="902.52"/>
  </r>
  <r>
    <n v="1078"/>
    <s v="Debbie Raymond"/>
    <x v="1"/>
    <x v="22"/>
    <x v="6"/>
    <n v="4059.56"/>
    <n v="0.51"/>
    <x v="64"/>
    <x v="53"/>
    <x v="5"/>
    <x v="0"/>
    <n v="6962.1453999999994"/>
    <n v="-819.94"/>
  </r>
  <r>
    <n v="1079"/>
    <s v="Cheryl Clark"/>
    <x v="4"/>
    <x v="14"/>
    <x v="0"/>
    <n v="2765.79"/>
    <n v="0.51"/>
    <x v="25"/>
    <x v="4"/>
    <x v="4"/>
    <x v="1"/>
    <n v="5420.9484000000002"/>
    <n v="-22.55"/>
  </r>
  <r>
    <n v="1080"/>
    <s v="Laura Thompson"/>
    <x v="4"/>
    <x v="4"/>
    <x v="0"/>
    <n v="3872.22"/>
    <n v="0.51"/>
    <x v="65"/>
    <x v="4"/>
    <x v="2"/>
    <x v="0"/>
    <n v="7589.5511999999999"/>
    <n v="-302.97000000000003"/>
  </r>
  <r>
    <n v="1081"/>
    <s v="Mary Lin"/>
    <x v="0"/>
    <x v="5"/>
    <x v="5"/>
    <n v="4798.0600000000004"/>
    <n v="0.81"/>
    <x v="66"/>
    <x v="4"/>
    <x v="4"/>
    <x v="1"/>
    <n v="5469.7883999999985"/>
    <n v="-361.78"/>
  </r>
  <r>
    <n v="1082"/>
    <s v="Nicholas White"/>
    <x v="5"/>
    <x v="19"/>
    <x v="0"/>
    <n v="2889.5349999999999"/>
    <n v="0.51"/>
    <x v="36"/>
    <x v="4"/>
    <x v="3"/>
    <x v="1"/>
    <n v="5663.4885999999997"/>
    <n v="712.91"/>
  </r>
  <r>
    <n v="1083"/>
    <s v="Timothy Farmer"/>
    <x v="1"/>
    <x v="15"/>
    <x v="1"/>
    <n v="2229.4899999999998"/>
    <n v="0.51"/>
    <x v="67"/>
    <x v="4"/>
    <x v="5"/>
    <x v="1"/>
    <n v="1092.4500999999998"/>
    <n v="-612.62"/>
  </r>
  <r>
    <n v="1084"/>
    <s v="Kevin Martinez"/>
    <x v="2"/>
    <x v="2"/>
    <x v="0"/>
    <n v="2933.45"/>
    <n v="0.53"/>
    <x v="13"/>
    <x v="54"/>
    <x v="5"/>
    <x v="1"/>
    <n v="5514.8859999999995"/>
    <n v="2458.0700000000002"/>
  </r>
  <r>
    <n v="1085"/>
    <s v="James Martinez"/>
    <x v="2"/>
    <x v="13"/>
    <x v="0"/>
    <n v="2538.0450000000001"/>
    <n v="0.02"/>
    <x v="21"/>
    <x v="55"/>
    <x v="5"/>
    <x v="1"/>
    <n v="9949.1363999999994"/>
    <n v="264.73"/>
  </r>
  <r>
    <n v="1086"/>
    <s v="Douglas Nelson"/>
    <x v="3"/>
    <x v="7"/>
    <x v="3"/>
    <n v="948.33"/>
    <n v="0.46"/>
    <x v="68"/>
    <x v="56"/>
    <x v="3"/>
    <x v="0"/>
    <n v="1536.2946000000002"/>
    <n v="-865.22"/>
  </r>
  <r>
    <n v="1087"/>
    <s v="Thomas Ramirez"/>
    <x v="0"/>
    <x v="20"/>
    <x v="4"/>
    <n v="1976.75"/>
    <n v="0.81"/>
    <x v="69"/>
    <x v="34"/>
    <x v="2"/>
    <x v="0"/>
    <n v="1877.9124999999995"/>
    <n v="469.47812499999986"/>
  </r>
  <r>
    <n v="1088"/>
    <s v="David Faulkner"/>
    <x v="3"/>
    <x v="23"/>
    <x v="6"/>
    <n v="3891.14"/>
    <n v="0.51"/>
    <x v="70"/>
    <x v="57"/>
    <x v="5"/>
    <x v="0"/>
    <n v="6673.3050999999996"/>
    <n v="1374.27"/>
  </r>
  <r>
    <n v="1089"/>
    <s v="Dennis Ross"/>
    <x v="2"/>
    <x v="13"/>
    <x v="0"/>
    <n v="1412.17"/>
    <n v="0.88"/>
    <x v="71"/>
    <x v="58"/>
    <x v="2"/>
    <x v="1"/>
    <n v="677.84159999999997"/>
    <n v="-355.26"/>
  </r>
  <r>
    <n v="1090"/>
    <s v="Heather Arnold"/>
    <x v="2"/>
    <x v="13"/>
    <x v="4"/>
    <n v="2477.8200000000002"/>
    <n v="0.51"/>
    <x v="72"/>
    <x v="59"/>
    <x v="1"/>
    <x v="0"/>
    <n v="6070.6589999999997"/>
    <n v="-888.86"/>
  </r>
  <r>
    <n v="1091"/>
    <s v="David Bridges"/>
    <x v="3"/>
    <x v="3"/>
    <x v="1"/>
    <n v="2515.415"/>
    <n v="0.51"/>
    <x v="24"/>
    <x v="60"/>
    <x v="0"/>
    <x v="1"/>
    <n v="1232.5533499999999"/>
    <n v="156.43"/>
  </r>
  <r>
    <n v="1092"/>
    <s v="Jennifer Keller"/>
    <x v="5"/>
    <x v="19"/>
    <x v="0"/>
    <n v="2889.5349999999999"/>
    <n v="0.51"/>
    <x v="36"/>
    <x v="4"/>
    <x v="5"/>
    <x v="1"/>
    <n v="5663.4885999999997"/>
    <n v="1122.6600000000001"/>
  </r>
  <r>
    <n v="1093"/>
    <s v="Amanda Myers"/>
    <x v="5"/>
    <x v="19"/>
    <x v="0"/>
    <n v="2889.5349999999999"/>
    <n v="0.51"/>
    <x v="36"/>
    <x v="61"/>
    <x v="3"/>
    <x v="1"/>
    <n v="5663.4885999999997"/>
    <n v="2966.76"/>
  </r>
  <r>
    <n v="1094"/>
    <s v="Betty Middleton"/>
    <x v="1"/>
    <x v="18"/>
    <x v="3"/>
    <n v="4741.41"/>
    <n v="0.51"/>
    <x v="73"/>
    <x v="4"/>
    <x v="2"/>
    <x v="0"/>
    <n v="6969.8726999999999"/>
    <n v="1901.7"/>
  </r>
  <r>
    <n v="1035"/>
    <s v="Laura Porter"/>
    <x v="3"/>
    <x v="3"/>
    <x v="3"/>
    <n v="2515.415"/>
    <n v="0.51"/>
    <x v="11"/>
    <x v="62"/>
    <x v="2"/>
    <x v="0"/>
    <n v="3697.66005"/>
    <n v="1539.59"/>
  </r>
  <r>
    <n v="1033"/>
    <s v="Carla Phillips"/>
    <x v="3"/>
    <x v="3"/>
    <x v="3"/>
    <n v="421.92"/>
    <n v="0.51"/>
    <x v="74"/>
    <x v="4"/>
    <x v="4"/>
    <x v="1"/>
    <n v="620.22239999999999"/>
    <n v="155.0556"/>
  </r>
  <r>
    <n v="1097"/>
    <s v="Amber Smith"/>
    <x v="3"/>
    <x v="7"/>
    <x v="3"/>
    <n v="2577.6350000000002"/>
    <n v="0.51"/>
    <x v="8"/>
    <x v="63"/>
    <x v="2"/>
    <x v="1"/>
    <n v="3789.12345"/>
    <n v="1141.1500000000001"/>
  </r>
  <r>
    <n v="1098"/>
    <s v="Diana Jones"/>
    <x v="3"/>
    <x v="23"/>
    <x v="6"/>
    <n v="4752.04"/>
    <n v="0.51"/>
    <x v="75"/>
    <x v="64"/>
    <x v="1"/>
    <x v="0"/>
    <n v="8149.7485999999999"/>
    <n v="129.37"/>
  </r>
  <r>
    <n v="1099"/>
    <s v="Valerie Walker"/>
    <x v="2"/>
    <x v="2"/>
    <x v="0"/>
    <n v="2933.45"/>
    <n v="0.51"/>
    <x v="13"/>
    <x v="65"/>
    <x v="5"/>
    <x v="1"/>
    <n v="5749.5619999999999"/>
    <n v="300.02"/>
  </r>
  <r>
    <n v="1100"/>
    <s v="Daniel Brown"/>
    <x v="2"/>
    <x v="17"/>
    <x v="2"/>
    <n v="2011.73"/>
    <n v="0.51"/>
    <x v="76"/>
    <x v="66"/>
    <x v="4"/>
    <x v="0"/>
    <n v="1971.4954"/>
    <n v="492.87385"/>
  </r>
  <r>
    <n v="1101"/>
    <s v="Stephen Smith"/>
    <x v="0"/>
    <x v="5"/>
    <x v="3"/>
    <n v="3008.6549999999997"/>
    <n v="0.22"/>
    <x v="44"/>
    <x v="67"/>
    <x v="5"/>
    <x v="0"/>
    <n v="7040.2527"/>
    <n v="2962.73"/>
  </r>
  <r>
    <n v="1102"/>
    <s v="Kimberly Walter"/>
    <x v="0"/>
    <x v="5"/>
    <x v="4"/>
    <n v="3008.6549999999997"/>
    <n v="0.51"/>
    <x v="54"/>
    <x v="68"/>
    <x v="4"/>
    <x v="1"/>
    <n v="7371.204749999999"/>
    <n v="2776.7"/>
  </r>
  <r>
    <n v="1103"/>
    <s v="Brandon Webb"/>
    <x v="5"/>
    <x v="19"/>
    <x v="4"/>
    <n v="1521.46"/>
    <n v="0.51"/>
    <x v="77"/>
    <x v="69"/>
    <x v="3"/>
    <x v="1"/>
    <n v="3727.5770000000002"/>
    <n v="1713.47"/>
  </r>
  <r>
    <n v="1104"/>
    <s v="Andrew Moreno"/>
    <x v="5"/>
    <x v="11"/>
    <x v="3"/>
    <n v="2752.71"/>
    <n v="0.51"/>
    <x v="78"/>
    <x v="70"/>
    <x v="1"/>
    <x v="1"/>
    <n v="4046.4837000000002"/>
    <n v="1660.01"/>
  </r>
  <r>
    <n v="1105"/>
    <s v="Willie Smith"/>
    <x v="5"/>
    <x v="11"/>
    <x v="3"/>
    <n v="2731.6350000000002"/>
    <n v="0.51"/>
    <x v="60"/>
    <x v="4"/>
    <x v="1"/>
    <x v="1"/>
    <n v="4015.5034500000002"/>
    <n v="616.04"/>
  </r>
  <r>
    <n v="1106"/>
    <s v="Evelyn Allison"/>
    <x v="0"/>
    <x v="5"/>
    <x v="3"/>
    <n v="3008.6549999999997"/>
    <n v="0.51"/>
    <x v="44"/>
    <x v="71"/>
    <x v="5"/>
    <x v="0"/>
    <n v="4422.7228500000001"/>
    <n v="53.28"/>
  </r>
  <r>
    <n v="1107"/>
    <s v="Elizabeth Hood"/>
    <x v="0"/>
    <x v="9"/>
    <x v="0"/>
    <n v="4948"/>
    <n v="0.51"/>
    <x v="79"/>
    <x v="4"/>
    <x v="0"/>
    <x v="0"/>
    <n v="9698.08"/>
    <n v="1064.8599999999999"/>
  </r>
  <r>
    <n v="1036"/>
    <s v="Nathaniel Thomas"/>
    <x v="0"/>
    <x v="9"/>
    <x v="1"/>
    <n v="4601.4399999999996"/>
    <n v="0.51"/>
    <x v="80"/>
    <x v="72"/>
    <x v="2"/>
    <x v="0"/>
    <n v="2254.7055999999998"/>
    <n v="2145.66"/>
  </r>
  <r>
    <n v="1109"/>
    <s v="Nicole Evans"/>
    <x v="0"/>
    <x v="20"/>
    <x v="4"/>
    <n v="2750.33"/>
    <n v="0.51"/>
    <x v="52"/>
    <x v="73"/>
    <x v="4"/>
    <x v="0"/>
    <n v="6738.3085000000001"/>
    <n v="2133.58"/>
  </r>
  <r>
    <n v="1110"/>
    <s v="Michael Velasquez"/>
    <x v="0"/>
    <x v="0"/>
    <x v="0"/>
    <n v="2366.6149999999998"/>
    <n v="0.51"/>
    <x v="81"/>
    <x v="74"/>
    <x v="2"/>
    <x v="0"/>
    <n v="4638.5653999999995"/>
    <n v="2155.6799999999998"/>
  </r>
  <r>
    <n v="1111"/>
    <s v="Tammy Gonzales"/>
    <x v="4"/>
    <x v="14"/>
    <x v="0"/>
    <n v="2765.79"/>
    <n v="0.51"/>
    <x v="25"/>
    <x v="4"/>
    <x v="1"/>
    <x v="0"/>
    <n v="5420.9484000000002"/>
    <n v="748.93"/>
  </r>
  <r>
    <n v="1112"/>
    <s v="Sherry Shepard"/>
    <x v="5"/>
    <x v="6"/>
    <x v="0"/>
    <n v="1027.56"/>
    <n v="0.51"/>
    <x v="82"/>
    <x v="4"/>
    <x v="2"/>
    <x v="1"/>
    <n v="2014.0175999999999"/>
    <n v="1160.17"/>
  </r>
  <r>
    <n v="1113"/>
    <s v="Derek Edwards"/>
    <x v="1"/>
    <x v="1"/>
    <x v="0"/>
    <n v="3864.5"/>
    <n v="0.51"/>
    <x v="83"/>
    <x v="4"/>
    <x v="1"/>
    <x v="0"/>
    <n v="7574.42"/>
    <n v="-763.23"/>
  </r>
  <r>
    <n v="1114"/>
    <s v="Robert Williams"/>
    <x v="5"/>
    <x v="19"/>
    <x v="5"/>
    <n v="568.61"/>
    <n v="0.2"/>
    <x v="84"/>
    <x v="75"/>
    <x v="0"/>
    <x v="0"/>
    <n v="2729.328"/>
    <n v="-689.16"/>
  </r>
  <r>
    <n v="1115"/>
    <s v="Carolyn Nelson"/>
    <x v="3"/>
    <x v="3"/>
    <x v="3"/>
    <n v="2515.415"/>
    <n v="0.51"/>
    <x v="11"/>
    <x v="3"/>
    <x v="1"/>
    <x v="1"/>
    <n v="3697.66005"/>
    <n v="-624.26"/>
  </r>
  <r>
    <n v="1116"/>
    <s v="Olivia Jones"/>
    <x v="1"/>
    <x v="15"/>
    <x v="1"/>
    <n v="2229.4899999999998"/>
    <n v="0.51"/>
    <x v="67"/>
    <x v="76"/>
    <x v="0"/>
    <x v="0"/>
    <n v="1092.4500999999998"/>
    <n v="273.11252499999995"/>
  </r>
  <r>
    <n v="1117"/>
    <s v="Molly Johnson"/>
    <x v="1"/>
    <x v="1"/>
    <x v="0"/>
    <n v="3567.55"/>
    <n v="0.51"/>
    <x v="85"/>
    <x v="4"/>
    <x v="3"/>
    <x v="1"/>
    <n v="6992.3980000000001"/>
    <n v="-455.6"/>
  </r>
  <r>
    <n v="1118"/>
    <s v="Jose Jackson"/>
    <x v="3"/>
    <x v="3"/>
    <x v="3"/>
    <n v="2515.415"/>
    <n v="0.51"/>
    <x v="11"/>
    <x v="77"/>
    <x v="3"/>
    <x v="0"/>
    <n v="3697.66005"/>
    <n v="1039.53"/>
  </r>
  <r>
    <n v="1119"/>
    <s v="Elizabeth Vega"/>
    <x v="0"/>
    <x v="20"/>
    <x v="4"/>
    <n v="2750.33"/>
    <n v="0.51"/>
    <x v="52"/>
    <x v="78"/>
    <x v="2"/>
    <x v="0"/>
    <n v="6738.3085000000001"/>
    <n v="142.69"/>
  </r>
  <r>
    <n v="1120"/>
    <s v="Angelica Gonzalez"/>
    <x v="1"/>
    <x v="1"/>
    <x v="0"/>
    <n v="4709"/>
    <n v="0.51"/>
    <x v="86"/>
    <x v="79"/>
    <x v="1"/>
    <x v="1"/>
    <n v="9229.64"/>
    <n v="828.98"/>
  </r>
  <r>
    <n v="1121"/>
    <s v="Henry Parker"/>
    <x v="2"/>
    <x v="17"/>
    <x v="3"/>
    <n v="4109.6000000000004"/>
    <n v="0.42"/>
    <x v="87"/>
    <x v="4"/>
    <x v="5"/>
    <x v="0"/>
    <n v="7150.7040000000015"/>
    <n v="1422.36"/>
  </r>
  <r>
    <n v="1122"/>
    <s v="Jennifer Lee"/>
    <x v="1"/>
    <x v="15"/>
    <x v="3"/>
    <n v="4745.03"/>
    <n v="0.4"/>
    <x v="88"/>
    <x v="4"/>
    <x v="2"/>
    <x v="0"/>
    <n v="8541.0540000000001"/>
    <n v="2658.02"/>
  </r>
  <r>
    <n v="1123"/>
    <s v="Michael Clarke"/>
    <x v="3"/>
    <x v="23"/>
    <x v="4"/>
    <n v="3978.76"/>
    <n v="0.51"/>
    <x v="89"/>
    <x v="80"/>
    <x v="1"/>
    <x v="1"/>
    <n v="9747.9620000000014"/>
    <n v="1494.78"/>
  </r>
  <r>
    <n v="1002"/>
    <s v="Jessica Gibson"/>
    <x v="1"/>
    <x v="1"/>
    <x v="1"/>
    <n v="2579.8000000000002"/>
    <n v="0.51"/>
    <x v="90"/>
    <x v="81"/>
    <x v="1"/>
    <x v="1"/>
    <n v="1264.1020000000001"/>
    <n v="316.02550000000002"/>
  </r>
  <r>
    <n v="1125"/>
    <s v="Jason Turner"/>
    <x v="2"/>
    <x v="17"/>
    <x v="3"/>
    <n v="2385.5749999999998"/>
    <n v="0.51"/>
    <x v="91"/>
    <x v="4"/>
    <x v="0"/>
    <x v="1"/>
    <n v="3506.7952499999997"/>
    <n v="-754.58"/>
  </r>
  <r>
    <n v="1126"/>
    <s v="Grant Munoz"/>
    <x v="0"/>
    <x v="5"/>
    <x v="2"/>
    <n v="3008.6549999999997"/>
    <n v="0.59"/>
    <x v="92"/>
    <x v="4"/>
    <x v="5"/>
    <x v="0"/>
    <n v="2467.0971"/>
    <n v="1820.2"/>
  </r>
  <r>
    <n v="1127"/>
    <s v="Rhonda Ray"/>
    <x v="5"/>
    <x v="19"/>
    <x v="3"/>
    <n v="4843.4399999999996"/>
    <n v="7.0000000000000007E-2"/>
    <x v="93"/>
    <x v="82"/>
    <x v="1"/>
    <x v="1"/>
    <n v="13513.1976"/>
    <n v="2881.91"/>
  </r>
  <r>
    <n v="1128"/>
    <s v="Susan Anderson"/>
    <x v="4"/>
    <x v="8"/>
    <x v="3"/>
    <n v="3027.66"/>
    <n v="0.43"/>
    <x v="94"/>
    <x v="4"/>
    <x v="4"/>
    <x v="1"/>
    <n v="5177.2986000000001"/>
    <n v="-68.489999999999995"/>
  </r>
  <r>
    <n v="1129"/>
    <s v="Miranda Thomas"/>
    <x v="0"/>
    <x v="5"/>
    <x v="3"/>
    <n v="2412.36"/>
    <n v="0.23"/>
    <x v="95"/>
    <x v="83"/>
    <x v="2"/>
    <x v="0"/>
    <n v="5572.5515999999998"/>
    <n v="-668.36"/>
  </r>
  <r>
    <n v="1130"/>
    <s v="Samuel Miller"/>
    <x v="3"/>
    <x v="7"/>
    <x v="3"/>
    <n v="2577.6350000000002"/>
    <n v="0.51"/>
    <x v="8"/>
    <x v="4"/>
    <x v="0"/>
    <x v="1"/>
    <n v="3789.12345"/>
    <n v="2782.45"/>
  </r>
  <r>
    <n v="1131"/>
    <s v="Grace Chavez"/>
    <x v="4"/>
    <x v="14"/>
    <x v="4"/>
    <n v="2765.79"/>
    <n v="0.99"/>
    <x v="96"/>
    <x v="63"/>
    <x v="0"/>
    <x v="1"/>
    <n v="138.28950000000012"/>
    <n v="-941.56"/>
  </r>
  <r>
    <n v="1132"/>
    <s v="Andrew Carlson"/>
    <x v="1"/>
    <x v="15"/>
    <x v="3"/>
    <n v="2229.4899999999998"/>
    <n v="0.57999999999999996"/>
    <x v="30"/>
    <x v="4"/>
    <x v="0"/>
    <x v="1"/>
    <n v="2809.1574000000001"/>
    <n v="2043.57"/>
  </r>
  <r>
    <n v="1133"/>
    <s v="Erin Williams"/>
    <x v="5"/>
    <x v="6"/>
    <x v="0"/>
    <n v="2975.64"/>
    <n v="0.6"/>
    <x v="61"/>
    <x v="4"/>
    <x v="1"/>
    <x v="1"/>
    <n v="4761.0240000000003"/>
    <n v="806.19"/>
  </r>
  <r>
    <n v="1134"/>
    <s v="Melissa Jenkins"/>
    <x v="5"/>
    <x v="12"/>
    <x v="3"/>
    <n v="2765.26"/>
    <n v="0.51"/>
    <x v="19"/>
    <x v="78"/>
    <x v="0"/>
    <x v="0"/>
    <n v="4064.9322000000002"/>
    <n v="1101.19"/>
  </r>
  <r>
    <n v="1135"/>
    <s v="Ronald Ballard"/>
    <x v="2"/>
    <x v="10"/>
    <x v="0"/>
    <n v="1556.96"/>
    <n v="0.84"/>
    <x v="97"/>
    <x v="84"/>
    <x v="2"/>
    <x v="1"/>
    <n v="996.45440000000019"/>
    <n v="249.11360000000005"/>
  </r>
  <r>
    <n v="1136"/>
    <s v="Danielle Johnson"/>
    <x v="0"/>
    <x v="9"/>
    <x v="0"/>
    <n v="3658.42"/>
    <n v="0.47"/>
    <x v="98"/>
    <x v="85"/>
    <x v="2"/>
    <x v="1"/>
    <n v="7755.8504000000003"/>
    <n v="1897.33"/>
  </r>
  <r>
    <n v="1137"/>
    <s v="Jason Moore"/>
    <x v="2"/>
    <x v="10"/>
    <x v="0"/>
    <n v="4206.0600000000004"/>
    <n v="0.51"/>
    <x v="99"/>
    <x v="86"/>
    <x v="0"/>
    <x v="1"/>
    <n v="8243.8775999999998"/>
    <n v="1161.76"/>
  </r>
  <r>
    <n v="1138"/>
    <s v="Thomas Freeman"/>
    <x v="5"/>
    <x v="19"/>
    <x v="0"/>
    <n v="2889.5349999999999"/>
    <n v="0.26"/>
    <x v="36"/>
    <x v="4"/>
    <x v="4"/>
    <x v="0"/>
    <n v="8553.0235999999986"/>
    <n v="-658.58"/>
  </r>
  <r>
    <n v="1139"/>
    <s v="Katherine Reyes"/>
    <x v="4"/>
    <x v="16"/>
    <x v="0"/>
    <n v="2599.75"/>
    <n v="0.21"/>
    <x v="42"/>
    <x v="87"/>
    <x v="3"/>
    <x v="1"/>
    <n v="8215.2100000000009"/>
    <n v="-832.45"/>
  </r>
  <r>
    <n v="1140"/>
    <s v="Dawn Smith"/>
    <x v="3"/>
    <x v="3"/>
    <x v="0"/>
    <n v="2515.415"/>
    <n v="0.51"/>
    <x v="100"/>
    <x v="88"/>
    <x v="4"/>
    <x v="1"/>
    <n v="4930.2133999999996"/>
    <n v="-127.91"/>
  </r>
  <r>
    <n v="1141"/>
    <s v="Sarah Pacheco"/>
    <x v="4"/>
    <x v="16"/>
    <x v="0"/>
    <n v="2599.75"/>
    <n v="0.51"/>
    <x v="42"/>
    <x v="89"/>
    <x v="0"/>
    <x v="0"/>
    <n v="5095.51"/>
    <n v="429.67"/>
  </r>
  <r>
    <n v="1142"/>
    <s v="Daniel Alvarez"/>
    <x v="5"/>
    <x v="19"/>
    <x v="5"/>
    <n v="3004.58"/>
    <n v="0.51"/>
    <x v="101"/>
    <x v="65"/>
    <x v="4"/>
    <x v="0"/>
    <n v="8833.4651999999987"/>
    <n v="-509.67"/>
  </r>
  <r>
    <n v="1143"/>
    <s v="Bernard Ramirez"/>
    <x v="1"/>
    <x v="18"/>
    <x v="3"/>
    <n v="2537.59"/>
    <n v="0.51"/>
    <x v="35"/>
    <x v="79"/>
    <x v="3"/>
    <x v="1"/>
    <n v="3730.2573000000002"/>
    <n v="816.49"/>
  </r>
  <r>
    <n v="1144"/>
    <s v="Mrs. Julia Ramirez"/>
    <x v="0"/>
    <x v="0"/>
    <x v="0"/>
    <n v="2366.6149999999998"/>
    <n v="0.19"/>
    <x v="81"/>
    <x v="4"/>
    <x v="2"/>
    <x v="0"/>
    <n v="7667.8325999999997"/>
    <n v="2966.21"/>
  </r>
  <r>
    <n v="1145"/>
    <s v="Jorge Anderson"/>
    <x v="4"/>
    <x v="16"/>
    <x v="0"/>
    <n v="3607.9"/>
    <n v="0.94"/>
    <x v="102"/>
    <x v="90"/>
    <x v="4"/>
    <x v="1"/>
    <n v="865.89600000000075"/>
    <n v="-171.58"/>
  </r>
  <r>
    <n v="1146"/>
    <s v="Jacqueline Jenkins"/>
    <x v="3"/>
    <x v="3"/>
    <x v="3"/>
    <n v="2515.415"/>
    <n v="0.51"/>
    <x v="11"/>
    <x v="91"/>
    <x v="5"/>
    <x v="0"/>
    <n v="3697.66005"/>
    <n v="-431.7"/>
  </r>
  <r>
    <n v="1147"/>
    <s v="Tracy Miller"/>
    <x v="5"/>
    <x v="6"/>
    <x v="0"/>
    <n v="2875.46"/>
    <n v="0.51"/>
    <x v="103"/>
    <x v="92"/>
    <x v="0"/>
    <x v="1"/>
    <n v="5635.9016000000001"/>
    <n v="-794.99"/>
  </r>
  <r>
    <n v="1148"/>
    <s v="Travis Lopez"/>
    <x v="3"/>
    <x v="3"/>
    <x v="3"/>
    <n v="2471.48"/>
    <n v="0.51"/>
    <x v="104"/>
    <x v="93"/>
    <x v="2"/>
    <x v="0"/>
    <n v="3633.0756000000001"/>
    <n v="2247.9"/>
  </r>
  <r>
    <n v="1149"/>
    <s v="Steven Ortiz"/>
    <x v="5"/>
    <x v="19"/>
    <x v="2"/>
    <n v="2889.5349999999999"/>
    <n v="0.51"/>
    <x v="105"/>
    <x v="94"/>
    <x v="4"/>
    <x v="1"/>
    <n v="2831.7442999999998"/>
    <n v="562.69000000000005"/>
  </r>
  <r>
    <n v="1150"/>
    <s v="Brittany Robinson"/>
    <x v="3"/>
    <x v="7"/>
    <x v="3"/>
    <n v="1554.9"/>
    <n v="0.51"/>
    <x v="106"/>
    <x v="95"/>
    <x v="1"/>
    <x v="0"/>
    <n v="2285.7030000000004"/>
    <n v="457.65"/>
  </r>
  <r>
    <n v="1151"/>
    <s v="Joseph Allen"/>
    <x v="0"/>
    <x v="9"/>
    <x v="0"/>
    <n v="2266.44"/>
    <n v="0.33"/>
    <x v="107"/>
    <x v="96"/>
    <x v="5"/>
    <x v="0"/>
    <n v="6074.0591999999997"/>
    <n v="-655.45"/>
  </r>
  <r>
    <n v="1152"/>
    <s v="Matthew Deleon"/>
    <x v="2"/>
    <x v="13"/>
    <x v="1"/>
    <n v="2538.0450000000001"/>
    <n v="0.51"/>
    <x v="108"/>
    <x v="97"/>
    <x v="5"/>
    <x v="1"/>
    <n v="1243.6420499999999"/>
    <n v="454.45"/>
  </r>
  <r>
    <n v="1153"/>
    <s v="Julia Evans"/>
    <x v="3"/>
    <x v="3"/>
    <x v="1"/>
    <n v="478.59"/>
    <n v="0.51"/>
    <x v="109"/>
    <x v="98"/>
    <x v="0"/>
    <x v="1"/>
    <n v="234.50909999999999"/>
    <n v="-681.2"/>
  </r>
  <r>
    <n v="1154"/>
    <s v="Robert Parks"/>
    <x v="3"/>
    <x v="21"/>
    <x v="0"/>
    <n v="2785.79"/>
    <n v="0.51"/>
    <x v="110"/>
    <x v="99"/>
    <x v="3"/>
    <x v="0"/>
    <n v="5460.1484"/>
    <n v="52.85"/>
  </r>
  <r>
    <n v="1155"/>
    <s v="Sean Small"/>
    <x v="2"/>
    <x v="13"/>
    <x v="0"/>
    <n v="2538.0450000000001"/>
    <n v="0.64"/>
    <x v="21"/>
    <x v="100"/>
    <x v="2"/>
    <x v="1"/>
    <n v="3654.7847999999999"/>
    <n v="2493.12"/>
  </r>
  <r>
    <n v="1156"/>
    <s v="Jacob Moore"/>
    <x v="5"/>
    <x v="12"/>
    <x v="3"/>
    <n v="2765.26"/>
    <n v="0.93"/>
    <x v="19"/>
    <x v="4"/>
    <x v="0"/>
    <x v="1"/>
    <n v="580.70459999999969"/>
    <n v="145.17614999999992"/>
  </r>
  <r>
    <n v="1157"/>
    <s v="Dean Allen"/>
    <x v="0"/>
    <x v="20"/>
    <x v="5"/>
    <n v="645.03"/>
    <n v="0.51"/>
    <x v="111"/>
    <x v="101"/>
    <x v="1"/>
    <x v="0"/>
    <n v="1896.3881999999999"/>
    <n v="474.09704999999997"/>
  </r>
  <r>
    <n v="1158"/>
    <s v="Vicki Jackson"/>
    <x v="5"/>
    <x v="12"/>
    <x v="3"/>
    <n v="4516.08"/>
    <n v="0.51"/>
    <x v="112"/>
    <x v="102"/>
    <x v="0"/>
    <x v="1"/>
    <n v="6638.6376"/>
    <n v="2164.9499999999998"/>
  </r>
  <r>
    <n v="1159"/>
    <s v="Robert Knox"/>
    <x v="2"/>
    <x v="10"/>
    <x v="0"/>
    <n v="3335.18"/>
    <n v="0.09"/>
    <x v="113"/>
    <x v="4"/>
    <x v="1"/>
    <x v="0"/>
    <n v="12140.055200000001"/>
    <n v="235.11"/>
  </r>
  <r>
    <n v="1160"/>
    <s v="Ruben Oconnell"/>
    <x v="5"/>
    <x v="6"/>
    <x v="0"/>
    <n v="2975.64"/>
    <n v="0.77"/>
    <x v="61"/>
    <x v="103"/>
    <x v="4"/>
    <x v="1"/>
    <n v="2737.5887999999995"/>
    <n v="-711.19"/>
  </r>
  <r>
    <n v="1161"/>
    <s v="Laura Gallegos"/>
    <x v="4"/>
    <x v="14"/>
    <x v="0"/>
    <n v="1801.91"/>
    <n v="0.51"/>
    <x v="114"/>
    <x v="104"/>
    <x v="2"/>
    <x v="1"/>
    <n v="3531.7436000000002"/>
    <n v="502.86"/>
  </r>
  <r>
    <n v="1162"/>
    <s v="Christopher Harvey"/>
    <x v="2"/>
    <x v="17"/>
    <x v="0"/>
    <n v="2385.5749999999998"/>
    <n v="0.14000000000000001"/>
    <x v="115"/>
    <x v="105"/>
    <x v="2"/>
    <x v="0"/>
    <n v="8206.3779999999988"/>
    <n v="2566.0500000000002"/>
  </r>
  <r>
    <n v="1163"/>
    <s v="Scott Hampton"/>
    <x v="3"/>
    <x v="7"/>
    <x v="3"/>
    <n v="1033.58"/>
    <n v="0.68"/>
    <x v="116"/>
    <x v="106"/>
    <x v="3"/>
    <x v="0"/>
    <n v="992.23679999999979"/>
    <n v="-441.46"/>
  </r>
  <r>
    <n v="1164"/>
    <s v="Steven Ingram"/>
    <x v="3"/>
    <x v="7"/>
    <x v="4"/>
    <n v="2577.6350000000002"/>
    <n v="0.51"/>
    <x v="117"/>
    <x v="4"/>
    <x v="4"/>
    <x v="1"/>
    <n v="6315.2057500000001"/>
    <n v="598.79"/>
  </r>
  <r>
    <n v="1165"/>
    <s v="Joshua Jones"/>
    <x v="4"/>
    <x v="14"/>
    <x v="2"/>
    <n v="2765.79"/>
    <n v="0.08"/>
    <x v="118"/>
    <x v="107"/>
    <x v="3"/>
    <x v="1"/>
    <n v="5089.0536000000002"/>
    <n v="-102.32"/>
  </r>
  <r>
    <n v="1166"/>
    <s v="Jennifer Johnson"/>
    <x v="1"/>
    <x v="15"/>
    <x v="3"/>
    <n v="2229.4899999999998"/>
    <n v="0.91"/>
    <x v="30"/>
    <x v="108"/>
    <x v="1"/>
    <x v="1"/>
    <n v="601.96229999999969"/>
    <n v="285.44"/>
  </r>
  <r>
    <n v="1167"/>
    <s v="Robert Evans"/>
    <x v="4"/>
    <x v="8"/>
    <x v="3"/>
    <n v="4595.8999999999996"/>
    <n v="0.09"/>
    <x v="119"/>
    <x v="78"/>
    <x v="3"/>
    <x v="1"/>
    <n v="12546.806999999999"/>
    <n v="-653.79999999999995"/>
  </r>
  <r>
    <n v="1168"/>
    <s v="Eugene Olson Jr."/>
    <x v="3"/>
    <x v="7"/>
    <x v="3"/>
    <n v="3655.71"/>
    <n v="0.48"/>
    <x v="120"/>
    <x v="21"/>
    <x v="4"/>
    <x v="1"/>
    <n v="5702.9076000000005"/>
    <n v="2024.15"/>
  </r>
  <r>
    <n v="1169"/>
    <s v="Kristine Sexton"/>
    <x v="4"/>
    <x v="14"/>
    <x v="0"/>
    <n v="2948.26"/>
    <n v="0.9"/>
    <x v="121"/>
    <x v="4"/>
    <x v="5"/>
    <x v="1"/>
    <n v="1179.3039999999999"/>
    <n v="294.82599999999996"/>
  </r>
  <r>
    <n v="1170"/>
    <s v="Marc Hull"/>
    <x v="0"/>
    <x v="9"/>
    <x v="0"/>
    <n v="2891.64"/>
    <n v="0.76"/>
    <x v="12"/>
    <x v="4"/>
    <x v="0"/>
    <x v="0"/>
    <n v="2775.9743999999996"/>
    <n v="-528.70000000000005"/>
  </r>
  <r>
    <n v="1171"/>
    <s v="Richard Johnson"/>
    <x v="0"/>
    <x v="9"/>
    <x v="1"/>
    <n v="2891.64"/>
    <n v="0.51"/>
    <x v="122"/>
    <x v="109"/>
    <x v="5"/>
    <x v="1"/>
    <n v="1416.9035999999999"/>
    <n v="354.22589999999997"/>
  </r>
  <r>
    <n v="1172"/>
    <s v="Diane Davis"/>
    <x v="1"/>
    <x v="1"/>
    <x v="0"/>
    <n v="2719.32"/>
    <n v="0.51"/>
    <x v="123"/>
    <x v="73"/>
    <x v="4"/>
    <x v="0"/>
    <n v="5329.8672000000006"/>
    <n v="655.1"/>
  </r>
  <r>
    <n v="1173"/>
    <s v="Shaun Bush"/>
    <x v="0"/>
    <x v="5"/>
    <x v="3"/>
    <n v="4063.39"/>
    <n v="0.51"/>
    <x v="124"/>
    <x v="4"/>
    <x v="3"/>
    <x v="1"/>
    <n v="5973.1832999999997"/>
    <n v="2034.39"/>
  </r>
  <r>
    <n v="1174"/>
    <s v="Tiffany Flores"/>
    <x v="1"/>
    <x v="22"/>
    <x v="5"/>
    <n v="4984.6499999999996"/>
    <n v="0.42"/>
    <x v="125"/>
    <x v="41"/>
    <x v="3"/>
    <x v="1"/>
    <n v="17346.582000000002"/>
    <n v="2931.32"/>
  </r>
  <r>
    <n v="1175"/>
    <s v="Ashley Brown"/>
    <x v="5"/>
    <x v="6"/>
    <x v="3"/>
    <n v="2975.64"/>
    <n v="0.51"/>
    <x v="126"/>
    <x v="110"/>
    <x v="1"/>
    <x v="0"/>
    <n v="4374.1908000000003"/>
    <n v="728.61"/>
  </r>
  <r>
    <n v="1176"/>
    <s v="Bailey Williamson"/>
    <x v="0"/>
    <x v="5"/>
    <x v="5"/>
    <n v="3008.6549999999997"/>
    <n v="0.87"/>
    <x v="127"/>
    <x v="4"/>
    <x v="2"/>
    <x v="1"/>
    <n v="2346.7509"/>
    <n v="-879.15"/>
  </r>
  <r>
    <n v="1177"/>
    <s v="Elizabeth Torres"/>
    <x v="0"/>
    <x v="9"/>
    <x v="0"/>
    <n v="2426.13"/>
    <n v="0.51"/>
    <x v="128"/>
    <x v="111"/>
    <x v="1"/>
    <x v="0"/>
    <n v="4755.2147999999997"/>
    <n v="353.91"/>
  </r>
  <r>
    <n v="1178"/>
    <s v="Joshua Anderson"/>
    <x v="4"/>
    <x v="4"/>
    <x v="0"/>
    <n v="1204.5899999999999"/>
    <n v="0.51"/>
    <x v="129"/>
    <x v="4"/>
    <x v="4"/>
    <x v="1"/>
    <n v="2360.9964"/>
    <n v="2161.64"/>
  </r>
  <r>
    <n v="1179"/>
    <s v="Kevin Allen"/>
    <x v="1"/>
    <x v="15"/>
    <x v="3"/>
    <n v="2229.4899999999998"/>
    <n v="0.51"/>
    <x v="30"/>
    <x v="112"/>
    <x v="2"/>
    <x v="0"/>
    <n v="3277.3502999999996"/>
    <n v="510.53"/>
  </r>
  <r>
    <n v="1180"/>
    <s v="Michelle Moore"/>
    <x v="5"/>
    <x v="19"/>
    <x v="5"/>
    <n v="2495.96"/>
    <n v="0.51"/>
    <x v="130"/>
    <x v="4"/>
    <x v="4"/>
    <x v="0"/>
    <n v="7338.1224000000002"/>
    <n v="835.4"/>
  </r>
  <r>
    <n v="1181"/>
    <s v="John Barber"/>
    <x v="1"/>
    <x v="15"/>
    <x v="3"/>
    <n v="2229.4899999999998"/>
    <n v="0.51"/>
    <x v="30"/>
    <x v="56"/>
    <x v="2"/>
    <x v="1"/>
    <n v="3277.3502999999996"/>
    <n v="2564.06"/>
  </r>
  <r>
    <n v="1182"/>
    <s v="Andrew Mclaughlin"/>
    <x v="0"/>
    <x v="0"/>
    <x v="0"/>
    <n v="2366.6149999999998"/>
    <n v="0.51"/>
    <x v="81"/>
    <x v="113"/>
    <x v="5"/>
    <x v="1"/>
    <n v="4638.5653999999995"/>
    <n v="-747.25"/>
  </r>
  <r>
    <n v="1183"/>
    <s v="Sherry Ward"/>
    <x v="3"/>
    <x v="21"/>
    <x v="5"/>
    <n v="2372.3000000000002"/>
    <n v="0.51"/>
    <x v="131"/>
    <x v="114"/>
    <x v="0"/>
    <x v="1"/>
    <n v="6974.5620000000008"/>
    <n v="1888.87"/>
  </r>
  <r>
    <n v="1184"/>
    <s v="Craig Farrell"/>
    <x v="0"/>
    <x v="20"/>
    <x v="4"/>
    <n v="2697.1"/>
    <n v="0.51"/>
    <x v="132"/>
    <x v="115"/>
    <x v="0"/>
    <x v="1"/>
    <n v="6607.8949999999995"/>
    <n v="1518.99"/>
  </r>
  <r>
    <n v="1185"/>
    <s v="Stacy Brady"/>
    <x v="3"/>
    <x v="3"/>
    <x v="3"/>
    <n v="2515.415"/>
    <n v="0.51"/>
    <x v="11"/>
    <x v="78"/>
    <x v="0"/>
    <x v="0"/>
    <n v="3697.66005"/>
    <n v="-445.19"/>
  </r>
  <r>
    <n v="1186"/>
    <s v="Daniel Patton"/>
    <x v="0"/>
    <x v="5"/>
    <x v="5"/>
    <n v="3008.6549999999997"/>
    <n v="0.71"/>
    <x v="127"/>
    <x v="32"/>
    <x v="3"/>
    <x v="1"/>
    <n v="5235.0597000000007"/>
    <n v="-40.479999999999997"/>
  </r>
  <r>
    <n v="1187"/>
    <s v="Karen Smith"/>
    <x v="3"/>
    <x v="3"/>
    <x v="3"/>
    <n v="3810.89"/>
    <n v="0.51"/>
    <x v="133"/>
    <x v="4"/>
    <x v="2"/>
    <x v="0"/>
    <n v="5602.0082999999995"/>
    <n v="1153.72"/>
  </r>
  <r>
    <n v="1188"/>
    <s v="Maria Morrow"/>
    <x v="3"/>
    <x v="3"/>
    <x v="5"/>
    <n v="4910.28"/>
    <n v="0.12"/>
    <x v="134"/>
    <x v="116"/>
    <x v="3"/>
    <x v="1"/>
    <n v="25926.278399999999"/>
    <n v="2089.25"/>
  </r>
  <r>
    <n v="1189"/>
    <s v="Elizabeth Johnson"/>
    <x v="4"/>
    <x v="8"/>
    <x v="3"/>
    <n v="4808.1000000000004"/>
    <n v="0.51"/>
    <x v="135"/>
    <x v="117"/>
    <x v="1"/>
    <x v="1"/>
    <n v="7067.9070000000002"/>
    <n v="392.87"/>
  </r>
  <r>
    <n v="1190"/>
    <s v="Antonio Boyd PhD"/>
    <x v="1"/>
    <x v="1"/>
    <x v="0"/>
    <n v="2579.8000000000002"/>
    <n v="0.63"/>
    <x v="22"/>
    <x v="8"/>
    <x v="5"/>
    <x v="1"/>
    <n v="3818.1040000000003"/>
    <n v="75.040000000000006"/>
  </r>
  <r>
    <n v="1191"/>
    <s v="John Tucker"/>
    <x v="3"/>
    <x v="3"/>
    <x v="3"/>
    <n v="2469.87"/>
    <n v="0.56000000000000005"/>
    <x v="136"/>
    <x v="4"/>
    <x v="2"/>
    <x v="0"/>
    <n v="3260.2283999999995"/>
    <n v="2860.2"/>
  </r>
  <r>
    <n v="1010"/>
    <s v="Steve Mann"/>
    <x v="4"/>
    <x v="4"/>
    <x v="0"/>
    <n v="2001.5500000000002"/>
    <n v="0.51"/>
    <x v="5"/>
    <x v="4"/>
    <x v="4"/>
    <x v="0"/>
    <n v="3923.0380000000005"/>
    <n v="2709.47"/>
  </r>
  <r>
    <n v="1193"/>
    <s v="Christine Lopez"/>
    <x v="5"/>
    <x v="6"/>
    <x v="0"/>
    <n v="3031.06"/>
    <n v="0.51"/>
    <x v="137"/>
    <x v="118"/>
    <x v="5"/>
    <x v="1"/>
    <n v="5940.8775999999998"/>
    <n v="-682.74"/>
  </r>
  <r>
    <n v="1032"/>
    <s v="Stephanie Booth"/>
    <x v="3"/>
    <x v="7"/>
    <x v="3"/>
    <n v="2577.6350000000002"/>
    <n v="0.51"/>
    <x v="8"/>
    <x v="119"/>
    <x v="1"/>
    <x v="0"/>
    <n v="3789.12345"/>
    <n v="1941.65"/>
  </r>
  <r>
    <n v="1195"/>
    <s v="Christine Rodgers"/>
    <x v="5"/>
    <x v="12"/>
    <x v="3"/>
    <n v="2765.26"/>
    <n v="0.51"/>
    <x v="19"/>
    <x v="4"/>
    <x v="2"/>
    <x v="0"/>
    <n v="4064.9322000000002"/>
    <n v="1059.17"/>
  </r>
  <r>
    <n v="1196"/>
    <s v="Michael Hawkins"/>
    <x v="0"/>
    <x v="0"/>
    <x v="0"/>
    <n v="3959.06"/>
    <n v="0.37"/>
    <x v="138"/>
    <x v="78"/>
    <x v="4"/>
    <x v="1"/>
    <n v="9976.8312000000005"/>
    <n v="1539.5"/>
  </r>
  <r>
    <n v="1197"/>
    <s v="Dean Jimenez"/>
    <x v="1"/>
    <x v="18"/>
    <x v="1"/>
    <n v="2537.59"/>
    <n v="0.51"/>
    <x v="139"/>
    <x v="4"/>
    <x v="4"/>
    <x v="1"/>
    <n v="1243.4191000000001"/>
    <n v="650.97"/>
  </r>
  <r>
    <n v="1198"/>
    <s v="Jacqueline Erickson"/>
    <x v="3"/>
    <x v="7"/>
    <x v="3"/>
    <n v="3594.97"/>
    <n v="0.51"/>
    <x v="140"/>
    <x v="120"/>
    <x v="0"/>
    <x v="0"/>
    <n v="5284.6058999999996"/>
    <n v="2422.27"/>
  </r>
  <r>
    <n v="1199"/>
    <s v="Jade Chavez"/>
    <x v="2"/>
    <x v="17"/>
    <x v="3"/>
    <n v="2317.1"/>
    <n v="0.51"/>
    <x v="141"/>
    <x v="121"/>
    <x v="3"/>
    <x v="1"/>
    <n v="3406.1369999999997"/>
    <n v="2637.77"/>
  </r>
  <r>
    <n v="1200"/>
    <s v="Laura Green"/>
    <x v="2"/>
    <x v="10"/>
    <x v="0"/>
    <n v="2666.2200000000003"/>
    <n v="0.51"/>
    <x v="142"/>
    <x v="4"/>
    <x v="4"/>
    <x v="0"/>
    <n v="5225.7912000000006"/>
    <n v="2782.21"/>
  </r>
  <r>
    <n v="1201"/>
    <s v="Crystal Hayes MD"/>
    <x v="1"/>
    <x v="15"/>
    <x v="2"/>
    <n v="3507.85"/>
    <n v="0.51"/>
    <x v="143"/>
    <x v="122"/>
    <x v="5"/>
    <x v="1"/>
    <n v="3437.6929999999998"/>
    <n v="1023.04"/>
  </r>
  <r>
    <n v="1202"/>
    <s v="Amy Walker"/>
    <x v="3"/>
    <x v="7"/>
    <x v="3"/>
    <n v="2577.6350000000002"/>
    <n v="0.51"/>
    <x v="8"/>
    <x v="123"/>
    <x v="3"/>
    <x v="0"/>
    <n v="3789.12345"/>
    <n v="-207.53"/>
  </r>
  <r>
    <n v="1203"/>
    <s v="Amy Gonzales"/>
    <x v="4"/>
    <x v="4"/>
    <x v="4"/>
    <n v="2001.5500000000002"/>
    <n v="0.51"/>
    <x v="144"/>
    <x v="124"/>
    <x v="4"/>
    <x v="0"/>
    <n v="4903.7974999999997"/>
    <n v="657.59"/>
  </r>
  <r>
    <n v="1204"/>
    <s v="David Parker"/>
    <x v="2"/>
    <x v="13"/>
    <x v="0"/>
    <n v="4213.3999999999996"/>
    <n v="0.51"/>
    <x v="145"/>
    <x v="125"/>
    <x v="5"/>
    <x v="1"/>
    <n v="8258.2639999999992"/>
    <n v="1867.53"/>
  </r>
  <r>
    <n v="1205"/>
    <s v="Jennifer Williams"/>
    <x v="0"/>
    <x v="0"/>
    <x v="0"/>
    <n v="696.49"/>
    <n v="0.51"/>
    <x v="146"/>
    <x v="69"/>
    <x v="0"/>
    <x v="0"/>
    <n v="1365.1204"/>
    <n v="-24.51"/>
  </r>
  <r>
    <n v="1206"/>
    <s v="Charles White"/>
    <x v="4"/>
    <x v="14"/>
    <x v="0"/>
    <n v="2765.79"/>
    <n v="0.51"/>
    <x v="25"/>
    <x v="126"/>
    <x v="4"/>
    <x v="1"/>
    <n v="5420.9484000000002"/>
    <n v="2472.2399999999998"/>
  </r>
  <r>
    <n v="1207"/>
    <s v="Jerome Richardson"/>
    <x v="0"/>
    <x v="9"/>
    <x v="0"/>
    <n v="563.14"/>
    <n v="0.33"/>
    <x v="147"/>
    <x v="127"/>
    <x v="1"/>
    <x v="1"/>
    <n v="1509.2151999999999"/>
    <n v="945.7"/>
  </r>
  <r>
    <n v="1208"/>
    <s v="Jean Yoder"/>
    <x v="1"/>
    <x v="18"/>
    <x v="1"/>
    <n v="2537.59"/>
    <n v="0.51"/>
    <x v="139"/>
    <x v="122"/>
    <x v="2"/>
    <x v="1"/>
    <n v="1243.4191000000001"/>
    <n v="648.73"/>
  </r>
  <r>
    <n v="1209"/>
    <s v="Theodore Yang"/>
    <x v="3"/>
    <x v="21"/>
    <x v="0"/>
    <n v="4029.87"/>
    <n v="0.51"/>
    <x v="148"/>
    <x v="106"/>
    <x v="1"/>
    <x v="1"/>
    <n v="7898.5451999999996"/>
    <n v="1447.79"/>
  </r>
  <r>
    <n v="1210"/>
    <s v="Rebecca Grant"/>
    <x v="3"/>
    <x v="21"/>
    <x v="0"/>
    <n v="2785.79"/>
    <n v="0.51"/>
    <x v="110"/>
    <x v="128"/>
    <x v="0"/>
    <x v="1"/>
    <n v="5460.1484"/>
    <n v="2179.54"/>
  </r>
  <r>
    <n v="1211"/>
    <s v="Kelli Young"/>
    <x v="0"/>
    <x v="20"/>
    <x v="4"/>
    <n v="1560.37"/>
    <n v="0.51"/>
    <x v="149"/>
    <x v="129"/>
    <x v="1"/>
    <x v="0"/>
    <n v="3822.9064999999996"/>
    <n v="2783.91"/>
  </r>
  <r>
    <n v="1212"/>
    <s v="Bradley Quinn"/>
    <x v="2"/>
    <x v="13"/>
    <x v="0"/>
    <n v="4098.12"/>
    <n v="0.51"/>
    <x v="150"/>
    <x v="95"/>
    <x v="4"/>
    <x v="1"/>
    <n v="8032.3152"/>
    <n v="-656.35"/>
  </r>
  <r>
    <n v="1213"/>
    <s v="Darrell Reynolds"/>
    <x v="4"/>
    <x v="14"/>
    <x v="0"/>
    <n v="2765.79"/>
    <n v="0.51"/>
    <x v="25"/>
    <x v="130"/>
    <x v="1"/>
    <x v="1"/>
    <n v="5420.9484000000002"/>
    <n v="1093.98"/>
  </r>
  <r>
    <n v="1214"/>
    <s v="Alicia Hernandez"/>
    <x v="1"/>
    <x v="22"/>
    <x v="0"/>
    <n v="1273.5999999999999"/>
    <n v="0.51"/>
    <x v="151"/>
    <x v="3"/>
    <x v="4"/>
    <x v="0"/>
    <n v="2496.2559999999999"/>
    <n v="1851.89"/>
  </r>
  <r>
    <n v="1215"/>
    <s v="Melanie Hoffman"/>
    <x v="4"/>
    <x v="14"/>
    <x v="5"/>
    <n v="3802.27"/>
    <n v="0.51"/>
    <x v="152"/>
    <x v="4"/>
    <x v="1"/>
    <x v="0"/>
    <n v="11178.673799999999"/>
    <n v="-266.99"/>
  </r>
  <r>
    <n v="1216"/>
    <s v="Benjamin Dunlap"/>
    <x v="4"/>
    <x v="14"/>
    <x v="5"/>
    <n v="2765.79"/>
    <n v="0.51"/>
    <x v="153"/>
    <x v="131"/>
    <x v="0"/>
    <x v="1"/>
    <n v="8131.422599999999"/>
    <n v="2986.8"/>
  </r>
  <r>
    <n v="1217"/>
    <s v="Cheryl King"/>
    <x v="1"/>
    <x v="18"/>
    <x v="3"/>
    <n v="2850.38"/>
    <n v="0.51"/>
    <x v="154"/>
    <x v="4"/>
    <x v="0"/>
    <x v="0"/>
    <n v="4190.0585999999994"/>
    <n v="17.309999999999999"/>
  </r>
  <r>
    <n v="1218"/>
    <s v="Jamie Alexander"/>
    <x v="5"/>
    <x v="12"/>
    <x v="3"/>
    <n v="1544.45"/>
    <n v="0.33"/>
    <x v="155"/>
    <x v="126"/>
    <x v="4"/>
    <x v="1"/>
    <n v="3104.3444999999997"/>
    <n v="707.56"/>
  </r>
  <r>
    <n v="1219"/>
    <s v="Kayla Crawford"/>
    <x v="0"/>
    <x v="9"/>
    <x v="0"/>
    <n v="2891.64"/>
    <n v="0.51"/>
    <x v="12"/>
    <x v="132"/>
    <x v="3"/>
    <x v="1"/>
    <n v="5667.6143999999995"/>
    <n v="2206"/>
  </r>
  <r>
    <n v="1220"/>
    <s v="Amber Rivera"/>
    <x v="4"/>
    <x v="8"/>
    <x v="3"/>
    <n v="3027.66"/>
    <n v="0.51"/>
    <x v="94"/>
    <x v="131"/>
    <x v="3"/>
    <x v="1"/>
    <n v="4450.6601999999993"/>
    <n v="1598.22"/>
  </r>
  <r>
    <n v="1221"/>
    <s v="Cody Mitchell"/>
    <x v="3"/>
    <x v="3"/>
    <x v="3"/>
    <n v="2515.415"/>
    <n v="0.51"/>
    <x v="11"/>
    <x v="133"/>
    <x v="2"/>
    <x v="1"/>
    <n v="3697.66005"/>
    <n v="898.67"/>
  </r>
  <r>
    <n v="1222"/>
    <s v="Karen Pennington"/>
    <x v="4"/>
    <x v="14"/>
    <x v="0"/>
    <n v="683.85"/>
    <n v="0.51"/>
    <x v="156"/>
    <x v="134"/>
    <x v="5"/>
    <x v="0"/>
    <n v="1340.346"/>
    <n v="335.0865"/>
  </r>
  <r>
    <n v="1223"/>
    <s v="Nicholas Thompson"/>
    <x v="4"/>
    <x v="4"/>
    <x v="0"/>
    <n v="2001.5500000000002"/>
    <n v="0.51"/>
    <x v="5"/>
    <x v="4"/>
    <x v="4"/>
    <x v="1"/>
    <n v="3923.0380000000005"/>
    <n v="-531.04999999999995"/>
  </r>
  <r>
    <n v="1224"/>
    <s v="Shelby Lewis"/>
    <x v="5"/>
    <x v="12"/>
    <x v="3"/>
    <n v="2765.26"/>
    <n v="0.51"/>
    <x v="19"/>
    <x v="135"/>
    <x v="1"/>
    <x v="0"/>
    <n v="4064.9322000000002"/>
    <n v="2219.56"/>
  </r>
  <r>
    <n v="1225"/>
    <s v="Gregory Flores"/>
    <x v="2"/>
    <x v="2"/>
    <x v="0"/>
    <n v="1406.32"/>
    <n v="0.51"/>
    <x v="157"/>
    <x v="22"/>
    <x v="3"/>
    <x v="1"/>
    <n v="2756.3871999999997"/>
    <n v="1937.71"/>
  </r>
  <r>
    <n v="1226"/>
    <s v="Jeffrey Haynes"/>
    <x v="5"/>
    <x v="19"/>
    <x v="1"/>
    <n v="2889.5349999999999"/>
    <n v="0.51"/>
    <x v="158"/>
    <x v="11"/>
    <x v="1"/>
    <x v="1"/>
    <n v="1415.8721499999999"/>
    <n v="353.96803749999998"/>
  </r>
  <r>
    <n v="1227"/>
    <s v="Antonio Moses"/>
    <x v="3"/>
    <x v="7"/>
    <x v="2"/>
    <n v="2577.6350000000002"/>
    <n v="0.25"/>
    <x v="32"/>
    <x v="136"/>
    <x v="4"/>
    <x v="0"/>
    <n v="3866.4525000000003"/>
    <n v="2096.6799999999998"/>
  </r>
  <r>
    <n v="1048"/>
    <s v="Dr. Adam Schultz"/>
    <x v="3"/>
    <x v="23"/>
    <x v="6"/>
    <n v="2298.27"/>
    <n v="0.59"/>
    <x v="159"/>
    <x v="137"/>
    <x v="5"/>
    <x v="1"/>
    <n v="3298.0174500000003"/>
    <n v="2994.93"/>
  </r>
  <r>
    <n v="1229"/>
    <s v="Allen Burton"/>
    <x v="5"/>
    <x v="19"/>
    <x v="0"/>
    <n v="2889.5349999999999"/>
    <n v="0.51"/>
    <x v="36"/>
    <x v="4"/>
    <x v="0"/>
    <x v="1"/>
    <n v="5663.4885999999997"/>
    <n v="925.22"/>
  </r>
  <r>
    <n v="1230"/>
    <s v="Adam Bennett"/>
    <x v="3"/>
    <x v="21"/>
    <x v="3"/>
    <n v="2785.79"/>
    <n v="0.51"/>
    <x v="160"/>
    <x v="4"/>
    <x v="4"/>
    <x v="1"/>
    <n v="4095.1112999999996"/>
    <n v="2725.11"/>
  </r>
  <r>
    <n v="1231"/>
    <s v="Ashley Stevens"/>
    <x v="2"/>
    <x v="13"/>
    <x v="1"/>
    <n v="1744.73"/>
    <n v="0.51"/>
    <x v="161"/>
    <x v="4"/>
    <x v="5"/>
    <x v="1"/>
    <n v="854.91769999999997"/>
    <n v="213.72942499999999"/>
  </r>
  <r>
    <n v="1232"/>
    <s v="Sierra Miller"/>
    <x v="2"/>
    <x v="10"/>
    <x v="2"/>
    <n v="2526.77"/>
    <n v="0.51"/>
    <x v="162"/>
    <x v="138"/>
    <x v="2"/>
    <x v="0"/>
    <n v="2476.2345999999998"/>
    <n v="1494.67"/>
  </r>
  <r>
    <n v="1233"/>
    <s v="Katie Garcia"/>
    <x v="1"/>
    <x v="1"/>
    <x v="0"/>
    <n v="2579.8000000000002"/>
    <n v="7.0000000000000007E-2"/>
    <x v="22"/>
    <x v="139"/>
    <x v="3"/>
    <x v="1"/>
    <n v="9596.8559999999998"/>
    <n v="2237.2399999999998"/>
  </r>
  <r>
    <n v="1234"/>
    <s v="Timothy Goodman"/>
    <x v="0"/>
    <x v="9"/>
    <x v="0"/>
    <n v="1069.8800000000001"/>
    <n v="0.05"/>
    <x v="163"/>
    <x v="140"/>
    <x v="5"/>
    <x v="1"/>
    <n v="4065.5440000000003"/>
    <n v="110.58"/>
  </r>
  <r>
    <n v="1235"/>
    <s v="Rebecca Drake"/>
    <x v="1"/>
    <x v="15"/>
    <x v="3"/>
    <n v="2229.4899999999998"/>
    <n v="0.51"/>
    <x v="30"/>
    <x v="4"/>
    <x v="4"/>
    <x v="1"/>
    <n v="3277.3502999999996"/>
    <n v="-403.94"/>
  </r>
  <r>
    <n v="1036"/>
    <s v="Juan White"/>
    <x v="4"/>
    <x v="8"/>
    <x v="2"/>
    <n v="4802.42"/>
    <n v="0.51"/>
    <x v="164"/>
    <x v="141"/>
    <x v="4"/>
    <x v="1"/>
    <n v="4706.3716000000004"/>
    <n v="605.03"/>
  </r>
  <r>
    <n v="1237"/>
    <s v="Matthew Holloway"/>
    <x v="4"/>
    <x v="14"/>
    <x v="0"/>
    <n v="2765.79"/>
    <n v="0.28999999999999998"/>
    <x v="25"/>
    <x v="142"/>
    <x v="5"/>
    <x v="0"/>
    <n v="7854.8435999999992"/>
    <n v="-465.98"/>
  </r>
  <r>
    <n v="1238"/>
    <s v="Scott Weeks"/>
    <x v="2"/>
    <x v="13"/>
    <x v="0"/>
    <n v="2538.0450000000001"/>
    <n v="0.51"/>
    <x v="21"/>
    <x v="4"/>
    <x v="5"/>
    <x v="1"/>
    <n v="4974.5681999999997"/>
    <n v="2742.61"/>
  </r>
  <r>
    <n v="1239"/>
    <s v="Karina Davis"/>
    <x v="4"/>
    <x v="16"/>
    <x v="0"/>
    <n v="644.58000000000004"/>
    <n v="0.51"/>
    <x v="165"/>
    <x v="143"/>
    <x v="0"/>
    <x v="1"/>
    <n v="1263.3768"/>
    <n v="1097.8800000000001"/>
  </r>
  <r>
    <n v="1240"/>
    <s v="Melanie Ramirez"/>
    <x v="5"/>
    <x v="6"/>
    <x v="0"/>
    <n v="4634.13"/>
    <n v="0.51"/>
    <x v="166"/>
    <x v="144"/>
    <x v="3"/>
    <x v="1"/>
    <n v="9082.8948"/>
    <n v="2625.44"/>
  </r>
  <r>
    <n v="1241"/>
    <s v="Caroline Thomas"/>
    <x v="0"/>
    <x v="0"/>
    <x v="5"/>
    <n v="3111.95"/>
    <n v="0.51"/>
    <x v="167"/>
    <x v="145"/>
    <x v="3"/>
    <x v="1"/>
    <n v="9149.132999999998"/>
    <n v="2814.82"/>
  </r>
  <r>
    <n v="1242"/>
    <s v="Pamela Navarro"/>
    <x v="0"/>
    <x v="20"/>
    <x v="4"/>
    <n v="2750.33"/>
    <n v="0.51"/>
    <x v="52"/>
    <x v="75"/>
    <x v="5"/>
    <x v="1"/>
    <n v="6738.3085000000001"/>
    <n v="1576.74"/>
  </r>
  <r>
    <n v="1243"/>
    <s v="Jack Mccoy"/>
    <x v="3"/>
    <x v="23"/>
    <x v="3"/>
    <n v="2338.04"/>
    <n v="0.69"/>
    <x v="168"/>
    <x v="146"/>
    <x v="1"/>
    <x v="1"/>
    <n v="2174.3772000000004"/>
    <n v="779.51"/>
  </r>
  <r>
    <n v="1244"/>
    <s v="Ashley Walker"/>
    <x v="5"/>
    <x v="11"/>
    <x v="5"/>
    <n v="2731.6350000000002"/>
    <n v="0.51"/>
    <x v="169"/>
    <x v="147"/>
    <x v="1"/>
    <x v="0"/>
    <n v="8031.0069000000003"/>
    <n v="2574.7600000000002"/>
  </r>
  <r>
    <n v="1245"/>
    <s v="Christopher Mcknight"/>
    <x v="4"/>
    <x v="14"/>
    <x v="0"/>
    <n v="1822.9"/>
    <n v="0.51"/>
    <x v="170"/>
    <x v="148"/>
    <x v="0"/>
    <x v="1"/>
    <n v="3572.884"/>
    <n v="1076.3399999999999"/>
  </r>
  <r>
    <n v="1246"/>
    <s v="Dr. Derrick Scott"/>
    <x v="5"/>
    <x v="11"/>
    <x v="3"/>
    <n v="2731.6350000000002"/>
    <n v="0.03"/>
    <x v="60"/>
    <x v="4"/>
    <x v="4"/>
    <x v="1"/>
    <n v="7949.0578500000001"/>
    <n v="733.8"/>
  </r>
  <r>
    <n v="1247"/>
    <s v="Jared Tate"/>
    <x v="4"/>
    <x v="4"/>
    <x v="0"/>
    <n v="2001.5500000000002"/>
    <n v="0.51"/>
    <x v="5"/>
    <x v="4"/>
    <x v="4"/>
    <x v="1"/>
    <n v="3923.0380000000005"/>
    <n v="1605.97"/>
  </r>
  <r>
    <n v="1248"/>
    <s v="Edward Morgan"/>
    <x v="3"/>
    <x v="21"/>
    <x v="0"/>
    <n v="2785.79"/>
    <n v="0.51"/>
    <x v="110"/>
    <x v="149"/>
    <x v="2"/>
    <x v="1"/>
    <n v="5460.1484"/>
    <n v="397.41"/>
  </r>
  <r>
    <n v="1249"/>
    <s v="Tim Bauer"/>
    <x v="3"/>
    <x v="23"/>
    <x v="6"/>
    <n v="2338.04"/>
    <n v="0.23"/>
    <x v="171"/>
    <x v="150"/>
    <x v="5"/>
    <x v="1"/>
    <n v="6301.0177999999996"/>
    <n v="809.89"/>
  </r>
  <r>
    <n v="1250"/>
    <s v="Anthony Lee"/>
    <x v="2"/>
    <x v="13"/>
    <x v="0"/>
    <n v="2538.0450000000001"/>
    <n v="0.51"/>
    <x v="21"/>
    <x v="4"/>
    <x v="0"/>
    <x v="1"/>
    <n v="4974.5681999999997"/>
    <n v="1653.07"/>
  </r>
  <r>
    <n v="1251"/>
    <s v="Hailey Sullivan"/>
    <x v="5"/>
    <x v="6"/>
    <x v="2"/>
    <n v="4841.3999999999996"/>
    <n v="0.6"/>
    <x v="172"/>
    <x v="151"/>
    <x v="5"/>
    <x v="1"/>
    <n v="3873.12"/>
    <n v="578.37"/>
  </r>
  <r>
    <n v="1252"/>
    <s v="Brandy Clark"/>
    <x v="4"/>
    <x v="14"/>
    <x v="5"/>
    <n v="1638.51"/>
    <n v="0.88"/>
    <x v="173"/>
    <x v="152"/>
    <x v="2"/>
    <x v="0"/>
    <n v="1179.7271999999998"/>
    <n v="294.93179999999995"/>
  </r>
  <r>
    <n v="1253"/>
    <s v="Carlos Anderson"/>
    <x v="5"/>
    <x v="12"/>
    <x v="3"/>
    <n v="2765.26"/>
    <n v="0.51"/>
    <x v="19"/>
    <x v="151"/>
    <x v="3"/>
    <x v="1"/>
    <n v="4064.9322000000002"/>
    <n v="2512.63"/>
  </r>
  <r>
    <n v="1254"/>
    <s v="Michael Henson"/>
    <x v="2"/>
    <x v="13"/>
    <x v="5"/>
    <n v="2538.0450000000001"/>
    <n v="0.51"/>
    <x v="174"/>
    <x v="153"/>
    <x v="2"/>
    <x v="1"/>
    <n v="7461.8523000000005"/>
    <n v="2418.9899999999998"/>
  </r>
  <r>
    <n v="1255"/>
    <s v="Kim Campos"/>
    <x v="4"/>
    <x v="14"/>
    <x v="0"/>
    <n v="1849.68"/>
    <n v="0.51"/>
    <x v="175"/>
    <x v="92"/>
    <x v="4"/>
    <x v="0"/>
    <n v="3625.3728000000001"/>
    <n v="-706.09"/>
  </r>
  <r>
    <n v="1256"/>
    <s v="Janet Cooley"/>
    <x v="1"/>
    <x v="15"/>
    <x v="3"/>
    <n v="1801.38"/>
    <n v="0.51"/>
    <x v="176"/>
    <x v="154"/>
    <x v="3"/>
    <x v="0"/>
    <n v="2648.0286000000001"/>
    <n v="2071.1"/>
  </r>
  <r>
    <n v="1257"/>
    <s v="Mr. Matthew Gomez DDS"/>
    <x v="0"/>
    <x v="9"/>
    <x v="0"/>
    <n v="1228.78"/>
    <n v="0.51"/>
    <x v="177"/>
    <x v="4"/>
    <x v="1"/>
    <x v="0"/>
    <n v="2408.4087999999997"/>
    <n v="-83.19"/>
  </r>
  <r>
    <n v="1258"/>
    <s v="Shane Gomez"/>
    <x v="5"/>
    <x v="19"/>
    <x v="0"/>
    <n v="4313.38"/>
    <n v="0.51"/>
    <x v="178"/>
    <x v="155"/>
    <x v="0"/>
    <x v="0"/>
    <n v="8454.2248"/>
    <n v="2636.96"/>
  </r>
  <r>
    <n v="1259"/>
    <s v="Tyler Haney"/>
    <x v="2"/>
    <x v="17"/>
    <x v="3"/>
    <n v="3396.92"/>
    <n v="0.51"/>
    <x v="179"/>
    <x v="79"/>
    <x v="1"/>
    <x v="1"/>
    <n v="4993.4723999999997"/>
    <n v="-830.5"/>
  </r>
  <r>
    <n v="1260"/>
    <s v="Lindsay Haney"/>
    <x v="5"/>
    <x v="11"/>
    <x v="2"/>
    <n v="2731.6350000000002"/>
    <n v="0.51"/>
    <x v="180"/>
    <x v="156"/>
    <x v="0"/>
    <x v="1"/>
    <n v="2677.0023000000001"/>
    <n v="-817.8"/>
  </r>
  <r>
    <n v="1012"/>
    <s v="Manuel Prince"/>
    <x v="0"/>
    <x v="5"/>
    <x v="3"/>
    <n v="4129.37"/>
    <n v="0.51"/>
    <x v="181"/>
    <x v="7"/>
    <x v="0"/>
    <x v="1"/>
    <n v="6070.1738999999998"/>
    <n v="2328.1"/>
  </r>
  <r>
    <n v="1262"/>
    <s v="George Gray"/>
    <x v="3"/>
    <x v="21"/>
    <x v="2"/>
    <n v="2785.79"/>
    <n v="0.52"/>
    <x v="182"/>
    <x v="157"/>
    <x v="3"/>
    <x v="1"/>
    <n v="2674.3584000000001"/>
    <n v="786.25"/>
  </r>
  <r>
    <n v="1263"/>
    <s v="Ryan Graves"/>
    <x v="2"/>
    <x v="13"/>
    <x v="0"/>
    <n v="2542.7199999999998"/>
    <n v="0.51"/>
    <x v="183"/>
    <x v="4"/>
    <x v="0"/>
    <x v="1"/>
    <n v="4983.7311999999993"/>
    <n v="-136.41"/>
  </r>
  <r>
    <n v="1264"/>
    <s v="Ernest Myers"/>
    <x v="4"/>
    <x v="16"/>
    <x v="0"/>
    <n v="3382.08"/>
    <n v="0.51"/>
    <x v="184"/>
    <x v="158"/>
    <x v="0"/>
    <x v="1"/>
    <n v="6628.8768"/>
    <n v="1647.48"/>
  </r>
  <r>
    <n v="1265"/>
    <s v="Brandi Lang"/>
    <x v="4"/>
    <x v="16"/>
    <x v="0"/>
    <n v="721.41"/>
    <n v="0.51"/>
    <x v="185"/>
    <x v="159"/>
    <x v="4"/>
    <x v="0"/>
    <n v="1413.9635999999998"/>
    <n v="353.49089999999995"/>
  </r>
  <r>
    <n v="1266"/>
    <s v="Gloria Barnett"/>
    <x v="2"/>
    <x v="13"/>
    <x v="0"/>
    <n v="2538.0450000000001"/>
    <n v="0.51"/>
    <x v="21"/>
    <x v="160"/>
    <x v="0"/>
    <x v="0"/>
    <n v="4974.5681999999997"/>
    <n v="1024.8599999999999"/>
  </r>
  <r>
    <n v="1267"/>
    <s v="Sarah Andrews"/>
    <x v="1"/>
    <x v="15"/>
    <x v="3"/>
    <n v="3255.23"/>
    <n v="0.51"/>
    <x v="186"/>
    <x v="161"/>
    <x v="0"/>
    <x v="1"/>
    <n v="4785.1881000000003"/>
    <n v="650.79999999999995"/>
  </r>
  <r>
    <n v="1268"/>
    <s v="Sonya Martinez"/>
    <x v="1"/>
    <x v="18"/>
    <x v="1"/>
    <n v="2537.59"/>
    <n v="0.51"/>
    <x v="139"/>
    <x v="4"/>
    <x v="5"/>
    <x v="1"/>
    <n v="1243.4191000000001"/>
    <n v="310.85477500000002"/>
  </r>
  <r>
    <n v="1269"/>
    <s v="Brittany Harris"/>
    <x v="4"/>
    <x v="16"/>
    <x v="0"/>
    <n v="2599.75"/>
    <n v="0.51"/>
    <x v="42"/>
    <x v="4"/>
    <x v="2"/>
    <x v="1"/>
    <n v="5095.51"/>
    <n v="483.01"/>
  </r>
  <r>
    <n v="1270"/>
    <s v="Vanessa Kelley"/>
    <x v="4"/>
    <x v="16"/>
    <x v="0"/>
    <n v="4446.82"/>
    <n v="0.51"/>
    <x v="187"/>
    <x v="162"/>
    <x v="4"/>
    <x v="1"/>
    <n v="8715.7671999999984"/>
    <n v="-293.05"/>
  </r>
  <r>
    <n v="1271"/>
    <s v="Robert Gonzalez"/>
    <x v="4"/>
    <x v="8"/>
    <x v="3"/>
    <n v="3027.66"/>
    <n v="0.51"/>
    <x v="94"/>
    <x v="163"/>
    <x v="3"/>
    <x v="1"/>
    <n v="4450.6601999999993"/>
    <n v="1295.93"/>
  </r>
  <r>
    <n v="1272"/>
    <s v="Angela Taylor"/>
    <x v="3"/>
    <x v="3"/>
    <x v="3"/>
    <n v="1429.94"/>
    <n v="0.51"/>
    <x v="188"/>
    <x v="164"/>
    <x v="4"/>
    <x v="1"/>
    <n v="2102.0117999999998"/>
    <n v="484.51"/>
  </r>
  <r>
    <n v="1273"/>
    <s v="Bradley Myers"/>
    <x v="4"/>
    <x v="8"/>
    <x v="3"/>
    <n v="3027.66"/>
    <n v="0.51"/>
    <x v="94"/>
    <x v="2"/>
    <x v="4"/>
    <x v="0"/>
    <n v="4450.6601999999993"/>
    <n v="-431.92"/>
  </r>
  <r>
    <n v="1274"/>
    <s v="Russell Love"/>
    <x v="5"/>
    <x v="12"/>
    <x v="3"/>
    <n v="2765.26"/>
    <n v="0.59"/>
    <x v="19"/>
    <x v="4"/>
    <x v="1"/>
    <x v="1"/>
    <n v="3401.2698000000005"/>
    <n v="62.98"/>
  </r>
  <r>
    <n v="1275"/>
    <s v="Kelly Wong"/>
    <x v="5"/>
    <x v="6"/>
    <x v="3"/>
    <n v="4132"/>
    <n v="0.51"/>
    <x v="189"/>
    <x v="165"/>
    <x v="3"/>
    <x v="1"/>
    <n v="6074.04"/>
    <n v="2732.47"/>
  </r>
  <r>
    <n v="1276"/>
    <s v="Erin Wright"/>
    <x v="2"/>
    <x v="17"/>
    <x v="3"/>
    <n v="3243.45"/>
    <n v="0.61"/>
    <x v="190"/>
    <x v="4"/>
    <x v="2"/>
    <x v="1"/>
    <n v="3794.8364999999994"/>
    <n v="-869.12"/>
  </r>
  <r>
    <n v="1277"/>
    <s v="Michael Coleman"/>
    <x v="3"/>
    <x v="7"/>
    <x v="2"/>
    <n v="4720.5200000000004"/>
    <n v="0.56999999999999995"/>
    <x v="191"/>
    <x v="166"/>
    <x v="0"/>
    <x v="0"/>
    <n v="4059.6472000000008"/>
    <n v="1255.6600000000001"/>
  </r>
  <r>
    <n v="1278"/>
    <s v="Jessica Kirby"/>
    <x v="3"/>
    <x v="7"/>
    <x v="3"/>
    <n v="3550.91"/>
    <n v="0.51"/>
    <x v="192"/>
    <x v="167"/>
    <x v="0"/>
    <x v="0"/>
    <n v="5219.8377"/>
    <n v="466.53"/>
  </r>
  <r>
    <n v="1279"/>
    <s v="Laura Romero"/>
    <x v="2"/>
    <x v="17"/>
    <x v="3"/>
    <n v="2600.33"/>
    <n v="0.51"/>
    <x v="193"/>
    <x v="168"/>
    <x v="1"/>
    <x v="0"/>
    <n v="3822.4850999999999"/>
    <n v="1430.67"/>
  </r>
  <r>
    <n v="1280"/>
    <s v="Joseph Joseph"/>
    <x v="4"/>
    <x v="4"/>
    <x v="3"/>
    <n v="2001.5500000000002"/>
    <n v="0.51"/>
    <x v="194"/>
    <x v="169"/>
    <x v="1"/>
    <x v="1"/>
    <n v="2942.2785000000003"/>
    <n v="263.41000000000003"/>
  </r>
  <r>
    <n v="1003"/>
    <s v="Christopher Ferguson"/>
    <x v="1"/>
    <x v="1"/>
    <x v="0"/>
    <n v="548.19000000000005"/>
    <n v="0.51"/>
    <x v="195"/>
    <x v="170"/>
    <x v="2"/>
    <x v="1"/>
    <n v="1074.4524000000001"/>
    <n v="259.02999999999997"/>
  </r>
  <r>
    <n v="1282"/>
    <s v="Kevin Hunter"/>
    <x v="2"/>
    <x v="2"/>
    <x v="0"/>
    <n v="2933.45"/>
    <n v="0.14000000000000001"/>
    <x v="13"/>
    <x v="171"/>
    <x v="2"/>
    <x v="1"/>
    <n v="10091.067999999999"/>
    <n v="-909.75"/>
  </r>
  <r>
    <n v="1283"/>
    <s v="Kelly Gray"/>
    <x v="2"/>
    <x v="13"/>
    <x v="0"/>
    <n v="2538.0450000000001"/>
    <n v="0.08"/>
    <x v="21"/>
    <x v="4"/>
    <x v="4"/>
    <x v="1"/>
    <n v="9340.0056000000004"/>
    <n v="379.24"/>
  </r>
  <r>
    <n v="1284"/>
    <s v="Carlos Walsh"/>
    <x v="1"/>
    <x v="1"/>
    <x v="0"/>
    <n v="1500.19"/>
    <n v="0.51"/>
    <x v="196"/>
    <x v="172"/>
    <x v="4"/>
    <x v="1"/>
    <n v="2940.3724000000002"/>
    <n v="-348.48"/>
  </r>
  <r>
    <n v="1285"/>
    <s v="Deborah Mckee"/>
    <x v="3"/>
    <x v="3"/>
    <x v="4"/>
    <n v="2515.415"/>
    <n v="0.51"/>
    <x v="197"/>
    <x v="4"/>
    <x v="0"/>
    <x v="1"/>
    <n v="6162.7667500000007"/>
    <n v="2024.84"/>
  </r>
  <r>
    <n v="1286"/>
    <s v="Andrew Harmon"/>
    <x v="4"/>
    <x v="16"/>
    <x v="0"/>
    <n v="2972.45"/>
    <n v="0.51"/>
    <x v="198"/>
    <x v="173"/>
    <x v="2"/>
    <x v="0"/>
    <n v="5826.0019999999995"/>
    <n v="2562.54"/>
  </r>
  <r>
    <n v="1287"/>
    <s v="Todd Hall"/>
    <x v="0"/>
    <x v="0"/>
    <x v="0"/>
    <n v="2366.6149999999998"/>
    <n v="0.51"/>
    <x v="81"/>
    <x v="174"/>
    <x v="3"/>
    <x v="1"/>
    <n v="4638.5653999999995"/>
    <n v="802.66"/>
  </r>
  <r>
    <n v="1288"/>
    <s v="Danny Gilbert"/>
    <x v="2"/>
    <x v="13"/>
    <x v="0"/>
    <n v="2538.0450000000001"/>
    <n v="0.51"/>
    <x v="21"/>
    <x v="4"/>
    <x v="0"/>
    <x v="1"/>
    <n v="4974.5681999999997"/>
    <n v="-492.73"/>
  </r>
  <r>
    <n v="1289"/>
    <s v="Lauren Johnson"/>
    <x v="1"/>
    <x v="18"/>
    <x v="3"/>
    <n v="3590.85"/>
    <n v="0.51"/>
    <x v="199"/>
    <x v="4"/>
    <x v="2"/>
    <x v="0"/>
    <n v="5278.5494999999992"/>
    <n v="2052.5700000000002"/>
  </r>
  <r>
    <n v="1290"/>
    <s v="Katherine Parsons"/>
    <x v="0"/>
    <x v="0"/>
    <x v="0"/>
    <n v="1412.12"/>
    <n v="0.51"/>
    <x v="200"/>
    <x v="4"/>
    <x v="0"/>
    <x v="1"/>
    <n v="2767.7551999999996"/>
    <n v="430.92"/>
  </r>
  <r>
    <n v="1291"/>
    <s v="Jason Calhoun"/>
    <x v="1"/>
    <x v="1"/>
    <x v="0"/>
    <n v="2579.8000000000002"/>
    <n v="0.51"/>
    <x v="22"/>
    <x v="4"/>
    <x v="4"/>
    <x v="1"/>
    <n v="5056.4080000000004"/>
    <n v="1073.44"/>
  </r>
  <r>
    <n v="1292"/>
    <s v="Amy Howard"/>
    <x v="5"/>
    <x v="11"/>
    <x v="3"/>
    <n v="2731.6350000000002"/>
    <n v="0.46"/>
    <x v="60"/>
    <x v="4"/>
    <x v="2"/>
    <x v="1"/>
    <n v="4425.248700000001"/>
    <n v="1165.8599999999999"/>
  </r>
  <r>
    <n v="1293"/>
    <s v="Cindy Hall"/>
    <x v="1"/>
    <x v="18"/>
    <x v="3"/>
    <n v="2537.59"/>
    <n v="0.51"/>
    <x v="35"/>
    <x v="4"/>
    <x v="4"/>
    <x v="1"/>
    <n v="3730.2573000000002"/>
    <n v="2073.16"/>
  </r>
  <r>
    <n v="1294"/>
    <s v="Jeff Hernandez"/>
    <x v="3"/>
    <x v="21"/>
    <x v="0"/>
    <n v="2785.79"/>
    <n v="0.56000000000000005"/>
    <x v="110"/>
    <x v="4"/>
    <x v="0"/>
    <x v="1"/>
    <n v="4902.9903999999997"/>
    <n v="898.24"/>
  </r>
  <r>
    <n v="1295"/>
    <s v="Tiffany Maxwell"/>
    <x v="1"/>
    <x v="22"/>
    <x v="6"/>
    <n v="2752.99"/>
    <n v="0.51"/>
    <x v="201"/>
    <x v="175"/>
    <x v="3"/>
    <x v="0"/>
    <n v="4721.3778499999999"/>
    <n v="2967.72"/>
  </r>
  <r>
    <n v="1296"/>
    <s v="Lori Orozco"/>
    <x v="0"/>
    <x v="0"/>
    <x v="0"/>
    <n v="2795.79"/>
    <n v="0.51"/>
    <x v="202"/>
    <x v="176"/>
    <x v="3"/>
    <x v="1"/>
    <n v="5479.7483999999995"/>
    <n v="1438.47"/>
  </r>
  <r>
    <n v="1297"/>
    <s v="Sharon Combs"/>
    <x v="1"/>
    <x v="1"/>
    <x v="0"/>
    <n v="4524.2"/>
    <n v="0.51"/>
    <x v="203"/>
    <x v="177"/>
    <x v="0"/>
    <x v="0"/>
    <n v="8867.4319999999989"/>
    <n v="1637.33"/>
  </r>
  <r>
    <n v="1298"/>
    <s v="Dylan Newton"/>
    <x v="4"/>
    <x v="16"/>
    <x v="0"/>
    <n v="2599.75"/>
    <n v="0.51"/>
    <x v="42"/>
    <x v="81"/>
    <x v="1"/>
    <x v="0"/>
    <n v="5095.51"/>
    <n v="2490.23"/>
  </r>
  <r>
    <n v="1299"/>
    <s v="John Levine"/>
    <x v="1"/>
    <x v="18"/>
    <x v="1"/>
    <n v="1026.58"/>
    <n v="0.51"/>
    <x v="204"/>
    <x v="11"/>
    <x v="4"/>
    <x v="0"/>
    <n v="503.02419999999995"/>
    <n v="125.75604999999999"/>
  </r>
  <r>
    <n v="1300"/>
    <s v="Latoya Johnson"/>
    <x v="0"/>
    <x v="0"/>
    <x v="0"/>
    <n v="4611.8999999999996"/>
    <n v="0.51"/>
    <x v="205"/>
    <x v="139"/>
    <x v="0"/>
    <x v="1"/>
    <n v="9039.3239999999987"/>
    <n v="703.48"/>
  </r>
  <r>
    <n v="1047"/>
    <s v="Caroline Turner"/>
    <x v="0"/>
    <x v="9"/>
    <x v="4"/>
    <n v="2891.64"/>
    <n v="0.51"/>
    <x v="41"/>
    <x v="178"/>
    <x v="4"/>
    <x v="1"/>
    <n v="7084.5179999999991"/>
    <n v="1368.68"/>
  </r>
  <r>
    <n v="1302"/>
    <s v="Adam Bryan"/>
    <x v="0"/>
    <x v="20"/>
    <x v="4"/>
    <n v="2750.33"/>
    <n v="0.09"/>
    <x v="52"/>
    <x v="153"/>
    <x v="1"/>
    <x v="0"/>
    <n v="12514.0015"/>
    <n v="339.17"/>
  </r>
  <r>
    <n v="1303"/>
    <s v="Laura Smith"/>
    <x v="0"/>
    <x v="9"/>
    <x v="3"/>
    <n v="1192.1600000000001"/>
    <n v="0.51"/>
    <x v="206"/>
    <x v="4"/>
    <x v="5"/>
    <x v="1"/>
    <n v="1752.4752000000003"/>
    <n v="505.33"/>
  </r>
  <r>
    <n v="1047"/>
    <s v="Timothy Potter"/>
    <x v="5"/>
    <x v="11"/>
    <x v="3"/>
    <n v="3218.39"/>
    <n v="0.51"/>
    <x v="207"/>
    <x v="179"/>
    <x v="2"/>
    <x v="1"/>
    <n v="4731.0333000000001"/>
    <n v="-442.98"/>
  </r>
  <r>
    <n v="1305"/>
    <s v="Kelsey Stein"/>
    <x v="1"/>
    <x v="15"/>
    <x v="3"/>
    <n v="2229.4899999999998"/>
    <n v="0.51"/>
    <x v="30"/>
    <x v="180"/>
    <x v="0"/>
    <x v="1"/>
    <n v="3277.3502999999996"/>
    <n v="2861.3"/>
  </r>
  <r>
    <n v="1306"/>
    <s v="Aaron Johnson"/>
    <x v="3"/>
    <x v="3"/>
    <x v="0"/>
    <n v="2515.415"/>
    <n v="0.51"/>
    <x v="100"/>
    <x v="4"/>
    <x v="1"/>
    <x v="1"/>
    <n v="4930.2133999999996"/>
    <n v="99.1"/>
  </r>
  <r>
    <n v="1307"/>
    <s v="Amber Lee"/>
    <x v="5"/>
    <x v="11"/>
    <x v="2"/>
    <n v="2648.43"/>
    <n v="0.51"/>
    <x v="208"/>
    <x v="118"/>
    <x v="1"/>
    <x v="1"/>
    <n v="2595.4613999999997"/>
    <n v="642"/>
  </r>
  <r>
    <n v="1308"/>
    <s v="Michael Joseph"/>
    <x v="5"/>
    <x v="19"/>
    <x v="2"/>
    <n v="4203.62"/>
    <n v="0.51"/>
    <x v="209"/>
    <x v="181"/>
    <x v="2"/>
    <x v="1"/>
    <n v="4119.5475999999999"/>
    <n v="464.65"/>
  </r>
  <r>
    <n v="1309"/>
    <s v="Tina Brown"/>
    <x v="3"/>
    <x v="23"/>
    <x v="6"/>
    <n v="2338.04"/>
    <n v="0.51"/>
    <x v="171"/>
    <x v="91"/>
    <x v="5"/>
    <x v="1"/>
    <n v="4009.7385999999997"/>
    <n v="481.45"/>
  </r>
  <r>
    <n v="1310"/>
    <s v="Thomas Smith"/>
    <x v="5"/>
    <x v="11"/>
    <x v="3"/>
    <n v="2731.6350000000002"/>
    <n v="0.51"/>
    <x v="60"/>
    <x v="67"/>
    <x v="5"/>
    <x v="1"/>
    <n v="4015.5034500000002"/>
    <n v="1516.35"/>
  </r>
  <r>
    <n v="1311"/>
    <s v="Jennifer Watson"/>
    <x v="1"/>
    <x v="15"/>
    <x v="3"/>
    <n v="2229.4899999999998"/>
    <n v="0.13"/>
    <x v="30"/>
    <x v="164"/>
    <x v="2"/>
    <x v="1"/>
    <n v="5818.9688999999998"/>
    <n v="-109.19"/>
  </r>
  <r>
    <n v="1312"/>
    <s v="Wendy Garcia"/>
    <x v="3"/>
    <x v="7"/>
    <x v="3"/>
    <n v="2577.6350000000002"/>
    <n v="0.51"/>
    <x v="8"/>
    <x v="182"/>
    <x v="5"/>
    <x v="1"/>
    <n v="3789.12345"/>
    <n v="-646.16"/>
  </r>
  <r>
    <n v="1313"/>
    <s v="Sean Pope"/>
    <x v="3"/>
    <x v="21"/>
    <x v="0"/>
    <n v="4763.45"/>
    <n v="0.96"/>
    <x v="210"/>
    <x v="183"/>
    <x v="5"/>
    <x v="0"/>
    <n v="762.15200000000061"/>
    <n v="-581.35"/>
  </r>
  <r>
    <n v="1314"/>
    <s v="Brad Mccarty"/>
    <x v="2"/>
    <x v="13"/>
    <x v="0"/>
    <n v="2538.0450000000001"/>
    <n v="0.51"/>
    <x v="21"/>
    <x v="184"/>
    <x v="4"/>
    <x v="0"/>
    <n v="4974.5681999999997"/>
    <n v="1148.06"/>
  </r>
  <r>
    <n v="1315"/>
    <s v="Mark Gonzales"/>
    <x v="0"/>
    <x v="5"/>
    <x v="3"/>
    <n v="515.04"/>
    <n v="0.51"/>
    <x v="211"/>
    <x v="185"/>
    <x v="3"/>
    <x v="1"/>
    <n v="757.10879999999997"/>
    <n v="-279.01"/>
  </r>
  <r>
    <n v="1316"/>
    <s v="Theresa Wiggins"/>
    <x v="4"/>
    <x v="4"/>
    <x v="0"/>
    <n v="1345.98"/>
    <n v="0.51"/>
    <x v="212"/>
    <x v="186"/>
    <x v="5"/>
    <x v="1"/>
    <n v="2638.1208000000001"/>
    <n v="-177.6"/>
  </r>
  <r>
    <n v="1317"/>
    <s v="Mitchell Gomez"/>
    <x v="3"/>
    <x v="21"/>
    <x v="0"/>
    <n v="2785.79"/>
    <n v="0.51"/>
    <x v="110"/>
    <x v="187"/>
    <x v="2"/>
    <x v="1"/>
    <n v="5460.1484"/>
    <n v="-476.45"/>
  </r>
  <r>
    <n v="1318"/>
    <s v="Tony Reynolds"/>
    <x v="3"/>
    <x v="3"/>
    <x v="3"/>
    <n v="2515.415"/>
    <n v="0.51"/>
    <x v="11"/>
    <x v="4"/>
    <x v="5"/>
    <x v="0"/>
    <n v="3697.66005"/>
    <n v="1830.14"/>
  </r>
  <r>
    <n v="1319"/>
    <s v="Kristine Byrd"/>
    <x v="5"/>
    <x v="19"/>
    <x v="0"/>
    <n v="2889.5349999999999"/>
    <n v="0.51"/>
    <x v="36"/>
    <x v="188"/>
    <x v="1"/>
    <x v="1"/>
    <n v="5663.4885999999997"/>
    <n v="-66.17"/>
  </r>
  <r>
    <n v="1320"/>
    <s v="Mark Murray"/>
    <x v="3"/>
    <x v="3"/>
    <x v="0"/>
    <n v="2515.415"/>
    <n v="0.51"/>
    <x v="100"/>
    <x v="4"/>
    <x v="0"/>
    <x v="1"/>
    <n v="4930.2133999999996"/>
    <n v="2011.4"/>
  </r>
  <r>
    <n v="1321"/>
    <s v="Michael Velazquez"/>
    <x v="1"/>
    <x v="22"/>
    <x v="3"/>
    <n v="2752.99"/>
    <n v="0.51"/>
    <x v="213"/>
    <x v="189"/>
    <x v="0"/>
    <x v="1"/>
    <n v="4046.8952999999997"/>
    <n v="632.23"/>
  </r>
  <r>
    <n v="1322"/>
    <s v="Lori Benson"/>
    <x v="4"/>
    <x v="14"/>
    <x v="0"/>
    <n v="2387.61"/>
    <n v="0.51"/>
    <x v="214"/>
    <x v="146"/>
    <x v="0"/>
    <x v="0"/>
    <n v="4679.7156000000004"/>
    <n v="822.46"/>
  </r>
  <r>
    <n v="1323"/>
    <s v="Kimberly Flores"/>
    <x v="1"/>
    <x v="1"/>
    <x v="0"/>
    <n v="2579.8000000000002"/>
    <n v="0.51"/>
    <x v="22"/>
    <x v="190"/>
    <x v="5"/>
    <x v="1"/>
    <n v="5056.4080000000004"/>
    <n v="-96.6"/>
  </r>
  <r>
    <n v="1324"/>
    <s v="Mike Rhodes"/>
    <x v="1"/>
    <x v="15"/>
    <x v="3"/>
    <n v="2229.4899999999998"/>
    <n v="0.51"/>
    <x v="30"/>
    <x v="191"/>
    <x v="2"/>
    <x v="0"/>
    <n v="3277.3502999999996"/>
    <n v="-610.52"/>
  </r>
  <r>
    <n v="1325"/>
    <s v="Teresa Gilbert"/>
    <x v="0"/>
    <x v="20"/>
    <x v="4"/>
    <n v="1315.93"/>
    <n v="0.51"/>
    <x v="215"/>
    <x v="102"/>
    <x v="3"/>
    <x v="1"/>
    <n v="3224.0285000000003"/>
    <n v="1435.03"/>
  </r>
  <r>
    <n v="1326"/>
    <s v="Theodore Sanchez"/>
    <x v="5"/>
    <x v="6"/>
    <x v="0"/>
    <n v="4104.3599999999997"/>
    <n v="0.51"/>
    <x v="216"/>
    <x v="192"/>
    <x v="2"/>
    <x v="1"/>
    <n v="8044.5455999999995"/>
    <n v="1404.45"/>
  </r>
  <r>
    <n v="1327"/>
    <s v="Sarah Sosa"/>
    <x v="2"/>
    <x v="13"/>
    <x v="0"/>
    <n v="2964.44"/>
    <n v="0.51"/>
    <x v="217"/>
    <x v="193"/>
    <x v="2"/>
    <x v="1"/>
    <n v="5810.3023999999996"/>
    <n v="2021.54"/>
  </r>
  <r>
    <n v="1328"/>
    <s v="Christine Drake"/>
    <x v="2"/>
    <x v="17"/>
    <x v="0"/>
    <n v="3250.24"/>
    <n v="0.56000000000000005"/>
    <x v="218"/>
    <x v="8"/>
    <x v="5"/>
    <x v="1"/>
    <n v="5720.4223999999986"/>
    <n v="2269.54"/>
  </r>
  <r>
    <n v="1329"/>
    <s v="Eric Medina"/>
    <x v="4"/>
    <x v="16"/>
    <x v="1"/>
    <n v="2587.7800000000002"/>
    <n v="0.51"/>
    <x v="219"/>
    <x v="194"/>
    <x v="4"/>
    <x v="0"/>
    <n v="1268.0122000000001"/>
    <n v="317.00305000000003"/>
  </r>
  <r>
    <n v="1330"/>
    <s v="Joseph Sims"/>
    <x v="5"/>
    <x v="11"/>
    <x v="3"/>
    <n v="2731.6350000000002"/>
    <n v="0.51"/>
    <x v="60"/>
    <x v="66"/>
    <x v="1"/>
    <x v="0"/>
    <n v="4015.5034500000002"/>
    <n v="-587.38"/>
  </r>
  <r>
    <n v="1331"/>
    <s v="Gwendolyn Guerrero"/>
    <x v="3"/>
    <x v="3"/>
    <x v="5"/>
    <n v="2515.415"/>
    <n v="0.51"/>
    <x v="220"/>
    <x v="20"/>
    <x v="3"/>
    <x v="1"/>
    <n v="7395.3200999999999"/>
    <n v="1301.18"/>
  </r>
  <r>
    <n v="1332"/>
    <s v="Chelsea Brown"/>
    <x v="4"/>
    <x v="16"/>
    <x v="0"/>
    <n v="2599.75"/>
    <n v="0"/>
    <x v="42"/>
    <x v="195"/>
    <x v="2"/>
    <x v="0"/>
    <n v="10399"/>
    <n v="2301.09"/>
  </r>
  <r>
    <n v="1028"/>
    <s v="John Taylor"/>
    <x v="3"/>
    <x v="21"/>
    <x v="0"/>
    <n v="2785.79"/>
    <n v="0.51"/>
    <x v="110"/>
    <x v="196"/>
    <x v="1"/>
    <x v="1"/>
    <n v="5460.1484"/>
    <n v="2502.73"/>
  </r>
  <r>
    <n v="1334"/>
    <s v="Russell Douglas"/>
    <x v="5"/>
    <x v="11"/>
    <x v="5"/>
    <n v="1454.69"/>
    <n v="0.51"/>
    <x v="221"/>
    <x v="197"/>
    <x v="0"/>
    <x v="1"/>
    <n v="4276.7885999999999"/>
    <n v="652.87"/>
  </r>
  <r>
    <n v="1335"/>
    <s v="Kristen Drake"/>
    <x v="2"/>
    <x v="13"/>
    <x v="4"/>
    <n v="2538.0450000000001"/>
    <n v="0.51"/>
    <x v="222"/>
    <x v="139"/>
    <x v="4"/>
    <x v="0"/>
    <n v="6218.2102500000001"/>
    <n v="-815.88"/>
  </r>
  <r>
    <n v="1336"/>
    <s v="Katie Brown"/>
    <x v="1"/>
    <x v="18"/>
    <x v="3"/>
    <n v="2537.59"/>
    <n v="0.51"/>
    <x v="35"/>
    <x v="4"/>
    <x v="0"/>
    <x v="1"/>
    <n v="3730.2573000000002"/>
    <n v="2000.91"/>
  </r>
  <r>
    <n v="1337"/>
    <s v="Michelle Russell"/>
    <x v="1"/>
    <x v="18"/>
    <x v="5"/>
    <n v="2286.6799999999998"/>
    <n v="0.51"/>
    <x v="223"/>
    <x v="134"/>
    <x v="4"/>
    <x v="0"/>
    <n v="6722.8391999999985"/>
    <n v="716.16"/>
  </r>
  <r>
    <n v="1338"/>
    <s v="Charles Aguilar"/>
    <x v="4"/>
    <x v="16"/>
    <x v="0"/>
    <n v="2599.75"/>
    <n v="0.51"/>
    <x v="42"/>
    <x v="198"/>
    <x v="1"/>
    <x v="1"/>
    <n v="5095.51"/>
    <n v="415.06"/>
  </r>
  <r>
    <n v="1339"/>
    <s v="Emily Christensen"/>
    <x v="5"/>
    <x v="11"/>
    <x v="3"/>
    <n v="4507.5"/>
    <n v="0.51"/>
    <x v="224"/>
    <x v="199"/>
    <x v="3"/>
    <x v="1"/>
    <n v="6626.0249999999996"/>
    <n v="2552.65"/>
  </r>
  <r>
    <n v="1340"/>
    <s v="Annette Robinson"/>
    <x v="0"/>
    <x v="9"/>
    <x v="0"/>
    <n v="2891.64"/>
    <n v="0.06"/>
    <x v="12"/>
    <x v="3"/>
    <x v="2"/>
    <x v="1"/>
    <n v="10872.5664"/>
    <n v="1282.27"/>
  </r>
  <r>
    <n v="1341"/>
    <s v="William White"/>
    <x v="2"/>
    <x v="13"/>
    <x v="0"/>
    <n v="3074.06"/>
    <n v="0.51"/>
    <x v="225"/>
    <x v="200"/>
    <x v="1"/>
    <x v="1"/>
    <n v="6025.1575999999995"/>
    <n v="2634.42"/>
  </r>
  <r>
    <n v="1342"/>
    <s v="Chloe Martinez"/>
    <x v="5"/>
    <x v="12"/>
    <x v="3"/>
    <n v="4707.2"/>
    <n v="0.51"/>
    <x v="226"/>
    <x v="4"/>
    <x v="5"/>
    <x v="1"/>
    <n v="6919.5839999999989"/>
    <n v="1395.82"/>
  </r>
  <r>
    <n v="1343"/>
    <s v="Catherine Barnett"/>
    <x v="0"/>
    <x v="20"/>
    <x v="4"/>
    <n v="4012.48"/>
    <n v="0.51"/>
    <x v="227"/>
    <x v="37"/>
    <x v="2"/>
    <x v="0"/>
    <n v="9830.5760000000009"/>
    <n v="730.98"/>
  </r>
  <r>
    <n v="1344"/>
    <s v="Jason Dixon"/>
    <x v="0"/>
    <x v="9"/>
    <x v="0"/>
    <n v="3386.91"/>
    <n v="0.51"/>
    <x v="228"/>
    <x v="4"/>
    <x v="2"/>
    <x v="0"/>
    <n v="6638.3435999999992"/>
    <n v="2006.17"/>
  </r>
  <r>
    <n v="1040"/>
    <s v="Tim Jennings"/>
    <x v="4"/>
    <x v="14"/>
    <x v="2"/>
    <n v="2765.79"/>
    <n v="0.18"/>
    <x v="118"/>
    <x v="4"/>
    <x v="3"/>
    <x v="1"/>
    <n v="4535.8955999999998"/>
    <n v="2721.4"/>
  </r>
  <r>
    <n v="1346"/>
    <s v="Leah Gonzalez"/>
    <x v="2"/>
    <x v="13"/>
    <x v="0"/>
    <n v="1622.65"/>
    <n v="0.51"/>
    <x v="229"/>
    <x v="4"/>
    <x v="2"/>
    <x v="0"/>
    <n v="3180.3940000000002"/>
    <n v="-891.76"/>
  </r>
  <r>
    <n v="1005"/>
    <s v="Andrew Davis"/>
    <x v="0"/>
    <x v="9"/>
    <x v="5"/>
    <n v="2228.4499999999998"/>
    <n v="0.51"/>
    <x v="230"/>
    <x v="174"/>
    <x v="3"/>
    <x v="0"/>
    <n v="6551.6429999999991"/>
    <n v="2728.03"/>
  </r>
  <r>
    <n v="1348"/>
    <s v="Justin Bowen"/>
    <x v="4"/>
    <x v="14"/>
    <x v="2"/>
    <n v="1219.2"/>
    <n v="0.51"/>
    <x v="231"/>
    <x v="100"/>
    <x v="4"/>
    <x v="1"/>
    <n v="1194.816"/>
    <n v="298.70400000000001"/>
  </r>
  <r>
    <n v="1349"/>
    <s v="Lisa Henry"/>
    <x v="1"/>
    <x v="22"/>
    <x v="6"/>
    <n v="2752.99"/>
    <n v="0.82"/>
    <x v="201"/>
    <x v="201"/>
    <x v="5"/>
    <x v="1"/>
    <n v="1734.3837000000005"/>
    <n v="433.59592500000014"/>
  </r>
  <r>
    <n v="1008"/>
    <s v="Sarah Vance"/>
    <x v="4"/>
    <x v="14"/>
    <x v="2"/>
    <n v="2319.84"/>
    <n v="0.51"/>
    <x v="232"/>
    <x v="4"/>
    <x v="3"/>
    <x v="1"/>
    <n v="2273.4432000000002"/>
    <n v="1669.55"/>
  </r>
  <r>
    <n v="1351"/>
    <s v="Brian Edwards"/>
    <x v="2"/>
    <x v="13"/>
    <x v="0"/>
    <n v="2538.0450000000001"/>
    <n v="0.51"/>
    <x v="21"/>
    <x v="202"/>
    <x v="4"/>
    <x v="0"/>
    <n v="4974.5681999999997"/>
    <n v="2621.66"/>
  </r>
  <r>
    <n v="1034"/>
    <s v="Matthew Robbins"/>
    <x v="4"/>
    <x v="16"/>
    <x v="0"/>
    <n v="3991.4"/>
    <n v="0.51"/>
    <x v="233"/>
    <x v="203"/>
    <x v="5"/>
    <x v="1"/>
    <n v="7823.1440000000002"/>
    <n v="-555.4"/>
  </r>
  <r>
    <n v="1042"/>
    <s v="Kathleen Moore"/>
    <x v="0"/>
    <x v="9"/>
    <x v="0"/>
    <n v="2891.64"/>
    <n v="0.84"/>
    <x v="12"/>
    <x v="204"/>
    <x v="3"/>
    <x v="1"/>
    <n v="1850.6496000000002"/>
    <n v="1558.99"/>
  </r>
  <r>
    <n v="1354"/>
    <s v="Mr. George Cooper"/>
    <x v="0"/>
    <x v="9"/>
    <x v="1"/>
    <n v="2891.64"/>
    <n v="0.51"/>
    <x v="122"/>
    <x v="205"/>
    <x v="1"/>
    <x v="1"/>
    <n v="1416.9035999999999"/>
    <n v="-678.38"/>
  </r>
  <r>
    <n v="1355"/>
    <s v="Ryan James"/>
    <x v="5"/>
    <x v="19"/>
    <x v="1"/>
    <n v="1054.69"/>
    <n v="0.18"/>
    <x v="234"/>
    <x v="143"/>
    <x v="2"/>
    <x v="1"/>
    <n v="864.84580000000005"/>
    <n v="698.05"/>
  </r>
  <r>
    <n v="1356"/>
    <s v="Veronica Cordova"/>
    <x v="1"/>
    <x v="18"/>
    <x v="3"/>
    <n v="2418.5500000000002"/>
    <n v="0.88"/>
    <x v="235"/>
    <x v="206"/>
    <x v="1"/>
    <x v="0"/>
    <n v="870.678"/>
    <n v="428.96"/>
  </r>
  <r>
    <n v="1357"/>
    <s v="Jacob Brooks"/>
    <x v="1"/>
    <x v="1"/>
    <x v="0"/>
    <n v="1128.57"/>
    <n v="0.39"/>
    <x v="236"/>
    <x v="207"/>
    <x v="4"/>
    <x v="1"/>
    <n v="2753.7107999999998"/>
    <n v="684.88"/>
  </r>
  <r>
    <n v="1358"/>
    <s v="Matthew Brown"/>
    <x v="3"/>
    <x v="7"/>
    <x v="3"/>
    <n v="2577.6350000000002"/>
    <n v="0.51"/>
    <x v="8"/>
    <x v="208"/>
    <x v="3"/>
    <x v="0"/>
    <n v="3789.12345"/>
    <n v="1347.26"/>
  </r>
  <r>
    <n v="1359"/>
    <s v="Robert Harmon"/>
    <x v="4"/>
    <x v="4"/>
    <x v="0"/>
    <n v="4625.84"/>
    <n v="0.51"/>
    <x v="237"/>
    <x v="4"/>
    <x v="2"/>
    <x v="1"/>
    <n v="9066.6463999999996"/>
    <n v="1663.88"/>
  </r>
  <r>
    <n v="1360"/>
    <s v="Rebecca Gonzalez"/>
    <x v="0"/>
    <x v="5"/>
    <x v="3"/>
    <n v="3008.6549999999997"/>
    <n v="0.51"/>
    <x v="44"/>
    <x v="151"/>
    <x v="0"/>
    <x v="1"/>
    <n v="4422.7228500000001"/>
    <n v="1316.73"/>
  </r>
  <r>
    <n v="1361"/>
    <s v="Hannah Ball"/>
    <x v="4"/>
    <x v="14"/>
    <x v="0"/>
    <n v="2765.79"/>
    <n v="0.51"/>
    <x v="25"/>
    <x v="209"/>
    <x v="2"/>
    <x v="0"/>
    <n v="5420.9484000000002"/>
    <n v="528.79999999999995"/>
  </r>
  <r>
    <n v="1362"/>
    <s v="Krista Wright"/>
    <x v="4"/>
    <x v="14"/>
    <x v="0"/>
    <n v="4953.0200000000004"/>
    <n v="0.51"/>
    <x v="238"/>
    <x v="210"/>
    <x v="1"/>
    <x v="0"/>
    <n v="9707.9192000000003"/>
    <n v="-499.33"/>
  </r>
  <r>
    <n v="1363"/>
    <s v="Marcus Powell"/>
    <x v="5"/>
    <x v="19"/>
    <x v="5"/>
    <n v="2889.5349999999999"/>
    <n v="0.51"/>
    <x v="239"/>
    <x v="4"/>
    <x v="2"/>
    <x v="1"/>
    <n v="8495.2328999999991"/>
    <n v="2143.4"/>
  </r>
  <r>
    <n v="1364"/>
    <s v="Leah Madden"/>
    <x v="4"/>
    <x v="14"/>
    <x v="0"/>
    <n v="2765.79"/>
    <n v="0.01"/>
    <x v="25"/>
    <x v="4"/>
    <x v="1"/>
    <x v="0"/>
    <n v="10952.528399999999"/>
    <n v="1839.35"/>
  </r>
  <r>
    <n v="1365"/>
    <s v="Shawn Gardner"/>
    <x v="5"/>
    <x v="11"/>
    <x v="1"/>
    <n v="776.52"/>
    <n v="0.51"/>
    <x v="240"/>
    <x v="4"/>
    <x v="0"/>
    <x v="0"/>
    <n v="380.4948"/>
    <n v="95.123699999999999"/>
  </r>
  <r>
    <n v="1366"/>
    <s v="Karen Nunez"/>
    <x v="5"/>
    <x v="19"/>
    <x v="0"/>
    <n v="1927.12"/>
    <n v="0.44"/>
    <x v="241"/>
    <x v="88"/>
    <x v="3"/>
    <x v="0"/>
    <n v="4316.7488000000003"/>
    <n v="928.57"/>
  </r>
  <r>
    <n v="1367"/>
    <s v="Laura Johnson"/>
    <x v="3"/>
    <x v="23"/>
    <x v="6"/>
    <n v="573.79999999999995"/>
    <n v="0.51"/>
    <x v="242"/>
    <x v="93"/>
    <x v="1"/>
    <x v="1"/>
    <n v="984.06699999999989"/>
    <n v="246.01674999999997"/>
  </r>
  <r>
    <n v="1368"/>
    <s v="Lauren Kaufman"/>
    <x v="4"/>
    <x v="14"/>
    <x v="0"/>
    <n v="4032.95"/>
    <n v="0.51"/>
    <x v="243"/>
    <x v="4"/>
    <x v="1"/>
    <x v="0"/>
    <n v="7904.5819999999994"/>
    <n v="-20.09"/>
  </r>
  <r>
    <n v="1369"/>
    <s v="Patricia Pratt"/>
    <x v="3"/>
    <x v="23"/>
    <x v="6"/>
    <n v="2338.04"/>
    <n v="0.51"/>
    <x v="171"/>
    <x v="211"/>
    <x v="4"/>
    <x v="1"/>
    <n v="4009.7385999999997"/>
    <n v="-844.78"/>
  </r>
  <r>
    <n v="1370"/>
    <s v="Brandon Williams"/>
    <x v="5"/>
    <x v="19"/>
    <x v="0"/>
    <n v="2345.4899999999998"/>
    <n v="0.51"/>
    <x v="244"/>
    <x v="212"/>
    <x v="4"/>
    <x v="1"/>
    <n v="4597.1603999999998"/>
    <n v="212.66"/>
  </r>
  <r>
    <n v="1371"/>
    <s v="Christopher Wilson"/>
    <x v="0"/>
    <x v="20"/>
    <x v="4"/>
    <n v="2750.33"/>
    <n v="0.51"/>
    <x v="52"/>
    <x v="4"/>
    <x v="2"/>
    <x v="1"/>
    <n v="6738.3085000000001"/>
    <n v="72.959999999999994"/>
  </r>
  <r>
    <n v="1372"/>
    <s v="Ryan Gonzalez"/>
    <x v="3"/>
    <x v="7"/>
    <x v="1"/>
    <n v="2577.6350000000002"/>
    <n v="0.19"/>
    <x v="245"/>
    <x v="213"/>
    <x v="0"/>
    <x v="1"/>
    <n v="2087.8843500000003"/>
    <n v="418.89"/>
  </r>
  <r>
    <n v="1373"/>
    <s v="Lisa Morton"/>
    <x v="1"/>
    <x v="22"/>
    <x v="6"/>
    <n v="3523.43"/>
    <n v="0.19"/>
    <x v="246"/>
    <x v="4"/>
    <x v="0"/>
    <x v="1"/>
    <n v="9988.9240499999996"/>
    <n v="-892.76"/>
  </r>
  <r>
    <n v="1374"/>
    <s v="Nicholas Lee"/>
    <x v="4"/>
    <x v="14"/>
    <x v="1"/>
    <n v="2765.79"/>
    <n v="0.51"/>
    <x v="247"/>
    <x v="214"/>
    <x v="3"/>
    <x v="1"/>
    <n v="1355.2371000000001"/>
    <n v="338.80927500000001"/>
  </r>
  <r>
    <n v="1375"/>
    <s v="Kelly Vang"/>
    <x v="0"/>
    <x v="9"/>
    <x v="3"/>
    <n v="420.42"/>
    <n v="0.51"/>
    <x v="248"/>
    <x v="4"/>
    <x v="4"/>
    <x v="1"/>
    <n v="618.01739999999995"/>
    <n v="154.50434999999999"/>
  </r>
  <r>
    <n v="1376"/>
    <s v="Megan Smith"/>
    <x v="3"/>
    <x v="23"/>
    <x v="0"/>
    <n v="1447.28"/>
    <n v="0.51"/>
    <x v="249"/>
    <x v="215"/>
    <x v="4"/>
    <x v="1"/>
    <n v="2836.6687999999999"/>
    <n v="175.33"/>
  </r>
  <r>
    <n v="1377"/>
    <s v="Mark Matthews"/>
    <x v="1"/>
    <x v="18"/>
    <x v="3"/>
    <n v="2537.59"/>
    <n v="0.65"/>
    <x v="35"/>
    <x v="4"/>
    <x v="3"/>
    <x v="1"/>
    <n v="2664.4695000000002"/>
    <n v="2229.9499999999998"/>
  </r>
  <r>
    <n v="1378"/>
    <s v="Melissa Hale"/>
    <x v="1"/>
    <x v="1"/>
    <x v="4"/>
    <n v="4581.26"/>
    <n v="0.51"/>
    <x v="250"/>
    <x v="216"/>
    <x v="3"/>
    <x v="1"/>
    <n v="11224.087000000001"/>
    <n v="-345.1"/>
  </r>
  <r>
    <n v="1013"/>
    <s v="Michael James"/>
    <x v="1"/>
    <x v="1"/>
    <x v="2"/>
    <n v="2579.8000000000002"/>
    <n v="0.51"/>
    <x v="251"/>
    <x v="217"/>
    <x v="0"/>
    <x v="1"/>
    <n v="2528.2040000000002"/>
    <n v="1647.38"/>
  </r>
  <r>
    <n v="1380"/>
    <s v="Brittney Branch"/>
    <x v="5"/>
    <x v="19"/>
    <x v="2"/>
    <n v="2889.5349999999999"/>
    <n v="0.51"/>
    <x v="105"/>
    <x v="4"/>
    <x v="0"/>
    <x v="1"/>
    <n v="2831.7442999999998"/>
    <n v="-475.94"/>
  </r>
  <r>
    <n v="1381"/>
    <s v="Brian Bridges"/>
    <x v="0"/>
    <x v="20"/>
    <x v="1"/>
    <n v="2750.33"/>
    <n v="0.51"/>
    <x v="252"/>
    <x v="218"/>
    <x v="3"/>
    <x v="0"/>
    <n v="1347.6616999999999"/>
    <n v="-136.30000000000001"/>
  </r>
  <r>
    <n v="1382"/>
    <s v="Jeffery Green"/>
    <x v="0"/>
    <x v="5"/>
    <x v="3"/>
    <n v="3008.6549999999997"/>
    <n v="0.51"/>
    <x v="44"/>
    <x v="219"/>
    <x v="3"/>
    <x v="1"/>
    <n v="4422.7228500000001"/>
    <n v="-165.59"/>
  </r>
  <r>
    <n v="1383"/>
    <s v="Rachel Bradford"/>
    <x v="5"/>
    <x v="11"/>
    <x v="4"/>
    <n v="2409.13"/>
    <n v="0.51"/>
    <x v="253"/>
    <x v="220"/>
    <x v="5"/>
    <x v="0"/>
    <n v="5902.3685000000005"/>
    <n v="127.63"/>
  </r>
  <r>
    <n v="1048"/>
    <s v="Michelle Rodriguez"/>
    <x v="2"/>
    <x v="13"/>
    <x v="2"/>
    <n v="2538.0450000000001"/>
    <n v="0.51"/>
    <x v="254"/>
    <x v="81"/>
    <x v="1"/>
    <x v="1"/>
    <n v="2487.2840999999999"/>
    <n v="2393.9899999999998"/>
  </r>
  <r>
    <n v="1385"/>
    <s v="Veronica Taylor"/>
    <x v="5"/>
    <x v="12"/>
    <x v="1"/>
    <n v="2765.26"/>
    <n v="0.51"/>
    <x v="255"/>
    <x v="4"/>
    <x v="3"/>
    <x v="0"/>
    <n v="1354.9774"/>
    <n v="338.74435"/>
  </r>
  <r>
    <n v="1386"/>
    <s v="Crystal Molina"/>
    <x v="2"/>
    <x v="17"/>
    <x v="4"/>
    <n v="4439.8100000000004"/>
    <n v="0.51"/>
    <x v="256"/>
    <x v="125"/>
    <x v="0"/>
    <x v="1"/>
    <n v="10877.534500000002"/>
    <n v="1669.09"/>
  </r>
  <r>
    <n v="1387"/>
    <s v="Michael White"/>
    <x v="1"/>
    <x v="1"/>
    <x v="3"/>
    <n v="2579.8000000000002"/>
    <n v="0.51"/>
    <x v="257"/>
    <x v="221"/>
    <x v="5"/>
    <x v="1"/>
    <n v="3792.306"/>
    <n v="-505.47"/>
  </r>
  <r>
    <n v="1388"/>
    <s v="Michael Beltran"/>
    <x v="5"/>
    <x v="6"/>
    <x v="0"/>
    <n v="2975.64"/>
    <n v="0.51"/>
    <x v="61"/>
    <x v="127"/>
    <x v="0"/>
    <x v="0"/>
    <n v="5832.2543999999998"/>
    <n v="475.79"/>
  </r>
  <r>
    <n v="1389"/>
    <s v="Barbara Jones"/>
    <x v="5"/>
    <x v="12"/>
    <x v="2"/>
    <n v="2742.38"/>
    <n v="0.51"/>
    <x v="258"/>
    <x v="222"/>
    <x v="1"/>
    <x v="1"/>
    <n v="2687.5324000000001"/>
    <n v="1987.46"/>
  </r>
  <r>
    <n v="1390"/>
    <s v="Randy Baker"/>
    <x v="0"/>
    <x v="0"/>
    <x v="0"/>
    <n v="2366.6149999999998"/>
    <n v="0.51"/>
    <x v="81"/>
    <x v="4"/>
    <x v="5"/>
    <x v="1"/>
    <n v="4638.5653999999995"/>
    <n v="1789.75"/>
  </r>
  <r>
    <n v="1391"/>
    <s v="James Collins"/>
    <x v="2"/>
    <x v="13"/>
    <x v="0"/>
    <n v="2213.79"/>
    <n v="0.01"/>
    <x v="259"/>
    <x v="223"/>
    <x v="4"/>
    <x v="1"/>
    <n v="8766.6083999999992"/>
    <n v="418.24"/>
  </r>
  <r>
    <n v="1014"/>
    <s v="Jonathan Montgomery"/>
    <x v="0"/>
    <x v="20"/>
    <x v="4"/>
    <n v="784.1"/>
    <n v="0.51"/>
    <x v="260"/>
    <x v="203"/>
    <x v="0"/>
    <x v="1"/>
    <n v="1921.0450000000001"/>
    <n v="401.24"/>
  </r>
  <r>
    <n v="1393"/>
    <s v="Christina Hernandez"/>
    <x v="1"/>
    <x v="15"/>
    <x v="5"/>
    <n v="2229.4899999999998"/>
    <n v="0.51"/>
    <x v="261"/>
    <x v="4"/>
    <x v="4"/>
    <x v="0"/>
    <n v="6554.7005999999992"/>
    <n v="2001.24"/>
  </r>
  <r>
    <n v="1394"/>
    <s v="Jody Larsen"/>
    <x v="1"/>
    <x v="15"/>
    <x v="3"/>
    <n v="1218.6500000000001"/>
    <n v="0.51"/>
    <x v="262"/>
    <x v="182"/>
    <x v="4"/>
    <x v="0"/>
    <n v="1791.4155000000001"/>
    <n v="447.85387500000002"/>
  </r>
  <r>
    <n v="1395"/>
    <s v="Andrew Wood"/>
    <x v="5"/>
    <x v="12"/>
    <x v="3"/>
    <n v="2765.26"/>
    <n v="0.51"/>
    <x v="19"/>
    <x v="80"/>
    <x v="2"/>
    <x v="1"/>
    <n v="4064.9322000000002"/>
    <n v="-357.08"/>
  </r>
  <r>
    <n v="1396"/>
    <s v="James Rocha"/>
    <x v="0"/>
    <x v="9"/>
    <x v="2"/>
    <n v="3663.65"/>
    <n v="0.26"/>
    <x v="263"/>
    <x v="4"/>
    <x v="1"/>
    <x v="1"/>
    <n v="5422.2020000000002"/>
    <n v="1553.44"/>
  </r>
  <r>
    <n v="1397"/>
    <s v="Rebekah Gonzalez"/>
    <x v="1"/>
    <x v="22"/>
    <x v="6"/>
    <n v="2752.99"/>
    <n v="0.51"/>
    <x v="201"/>
    <x v="27"/>
    <x v="3"/>
    <x v="0"/>
    <n v="4721.3778499999999"/>
    <n v="1239.6199999999999"/>
  </r>
  <r>
    <n v="1398"/>
    <s v="Aaron Ruiz"/>
    <x v="5"/>
    <x v="6"/>
    <x v="0"/>
    <n v="2975.64"/>
    <n v="0.51"/>
    <x v="61"/>
    <x v="224"/>
    <x v="4"/>
    <x v="1"/>
    <n v="5832.2543999999998"/>
    <n v="-43.7"/>
  </r>
  <r>
    <n v="1399"/>
    <s v="Olivia Lee"/>
    <x v="1"/>
    <x v="18"/>
    <x v="0"/>
    <n v="2537.59"/>
    <n v="0.35"/>
    <x v="264"/>
    <x v="225"/>
    <x v="0"/>
    <x v="0"/>
    <n v="6597.7340000000004"/>
    <n v="-444.08"/>
  </r>
  <r>
    <n v="1400"/>
    <s v="John Carr"/>
    <x v="4"/>
    <x v="14"/>
    <x v="0"/>
    <n v="2765.79"/>
    <n v="0.51"/>
    <x v="25"/>
    <x v="0"/>
    <x v="0"/>
    <x v="1"/>
    <n v="5420.9484000000002"/>
    <n v="1385.55"/>
  </r>
  <r>
    <n v="1401"/>
    <s v="Daniel Wilson"/>
    <x v="4"/>
    <x v="14"/>
    <x v="0"/>
    <n v="2765.79"/>
    <n v="0.51"/>
    <x v="25"/>
    <x v="94"/>
    <x v="4"/>
    <x v="1"/>
    <n v="5420.9484000000002"/>
    <n v="-751.05"/>
  </r>
  <r>
    <n v="1402"/>
    <s v="Daniel Hernandez Jr."/>
    <x v="3"/>
    <x v="21"/>
    <x v="0"/>
    <n v="603.51"/>
    <n v="0.51"/>
    <x v="265"/>
    <x v="226"/>
    <x v="4"/>
    <x v="0"/>
    <n v="1182.8796"/>
    <n v="982.01"/>
  </r>
  <r>
    <n v="1403"/>
    <s v="John Clark"/>
    <x v="4"/>
    <x v="4"/>
    <x v="0"/>
    <n v="2001.5500000000002"/>
    <n v="0.51"/>
    <x v="5"/>
    <x v="227"/>
    <x v="4"/>
    <x v="1"/>
    <n v="3923.0380000000005"/>
    <n v="2210.0700000000002"/>
  </r>
  <r>
    <n v="1404"/>
    <s v="Hannah Martin"/>
    <x v="3"/>
    <x v="21"/>
    <x v="0"/>
    <n v="3074.59"/>
    <n v="0.51"/>
    <x v="266"/>
    <x v="4"/>
    <x v="3"/>
    <x v="0"/>
    <n v="6026.1963999999998"/>
    <n v="1979.07"/>
  </r>
  <r>
    <n v="1405"/>
    <s v="Alyssa Ramirez"/>
    <x v="5"/>
    <x v="11"/>
    <x v="3"/>
    <n v="2731.6350000000002"/>
    <n v="0.56000000000000005"/>
    <x v="60"/>
    <x v="15"/>
    <x v="2"/>
    <x v="0"/>
    <n v="3605.7581999999998"/>
    <n v="2345.6799999999998"/>
  </r>
  <r>
    <n v="1406"/>
    <s v="Alan Johnson"/>
    <x v="5"/>
    <x v="11"/>
    <x v="3"/>
    <n v="2731.6350000000002"/>
    <n v="0.51"/>
    <x v="60"/>
    <x v="63"/>
    <x v="3"/>
    <x v="1"/>
    <n v="4015.5034500000002"/>
    <n v="-863.17"/>
  </r>
  <r>
    <n v="1407"/>
    <s v="Joseph Freeman"/>
    <x v="4"/>
    <x v="16"/>
    <x v="0"/>
    <n v="4977.8100000000004"/>
    <n v="0.51"/>
    <x v="267"/>
    <x v="228"/>
    <x v="1"/>
    <x v="1"/>
    <n v="9756.5076000000008"/>
    <n v="2041.12"/>
  </r>
  <r>
    <n v="1408"/>
    <s v="William Golden"/>
    <x v="2"/>
    <x v="17"/>
    <x v="3"/>
    <n v="2385.5749999999998"/>
    <n v="0.51"/>
    <x v="91"/>
    <x v="229"/>
    <x v="2"/>
    <x v="1"/>
    <n v="3506.7952499999997"/>
    <n v="2305.3200000000002"/>
  </r>
  <r>
    <n v="1409"/>
    <s v="Heather Cross"/>
    <x v="3"/>
    <x v="23"/>
    <x v="5"/>
    <n v="2338.04"/>
    <n v="0.51"/>
    <x v="268"/>
    <x v="4"/>
    <x v="5"/>
    <x v="0"/>
    <n v="6873.8375999999998"/>
    <n v="-941.44"/>
  </r>
  <r>
    <n v="1410"/>
    <s v="Dawn Caldwell"/>
    <x v="0"/>
    <x v="20"/>
    <x v="5"/>
    <n v="4445.8100000000004"/>
    <n v="0.51"/>
    <x v="269"/>
    <x v="4"/>
    <x v="0"/>
    <x v="1"/>
    <n v="13070.681399999999"/>
    <n v="-654.59"/>
  </r>
  <r>
    <n v="1411"/>
    <s v="Michael Bond"/>
    <x v="5"/>
    <x v="12"/>
    <x v="3"/>
    <n v="4946.7700000000004"/>
    <n v="0.51"/>
    <x v="270"/>
    <x v="4"/>
    <x v="2"/>
    <x v="1"/>
    <n v="7271.7519000000002"/>
    <n v="1520.19"/>
  </r>
  <r>
    <n v="1412"/>
    <s v="Luis Mcdaniel"/>
    <x v="2"/>
    <x v="13"/>
    <x v="0"/>
    <n v="2538.0450000000001"/>
    <n v="0.51"/>
    <x v="21"/>
    <x v="230"/>
    <x v="4"/>
    <x v="0"/>
    <n v="4974.5681999999997"/>
    <n v="2314.9299999999998"/>
  </r>
  <r>
    <n v="1413"/>
    <s v="Michael Harris"/>
    <x v="5"/>
    <x v="11"/>
    <x v="1"/>
    <n v="2731.6350000000002"/>
    <n v="0.17"/>
    <x v="271"/>
    <x v="231"/>
    <x v="1"/>
    <x v="0"/>
    <n v="2267.2570500000002"/>
    <n v="1539.28"/>
  </r>
  <r>
    <n v="1414"/>
    <s v="Elizabeth Buchanan"/>
    <x v="4"/>
    <x v="8"/>
    <x v="3"/>
    <n v="3027.66"/>
    <n v="0.51"/>
    <x v="94"/>
    <x v="34"/>
    <x v="1"/>
    <x v="1"/>
    <n v="4450.6601999999993"/>
    <n v="2843.55"/>
  </r>
  <r>
    <n v="1415"/>
    <s v="Sydney Travis"/>
    <x v="1"/>
    <x v="1"/>
    <x v="0"/>
    <n v="3149"/>
    <n v="0.51"/>
    <x v="272"/>
    <x v="4"/>
    <x v="3"/>
    <x v="1"/>
    <n v="6172.04"/>
    <n v="2661.23"/>
  </r>
  <r>
    <n v="1416"/>
    <s v="Joshua Johnson"/>
    <x v="3"/>
    <x v="21"/>
    <x v="0"/>
    <n v="3527.15"/>
    <n v="0.51"/>
    <x v="273"/>
    <x v="232"/>
    <x v="4"/>
    <x v="1"/>
    <n v="6913.2139999999999"/>
    <n v="2286.48"/>
  </r>
  <r>
    <n v="1417"/>
    <s v="Nicholas Harrell"/>
    <x v="5"/>
    <x v="12"/>
    <x v="3"/>
    <n v="2765.26"/>
    <n v="0.51"/>
    <x v="19"/>
    <x v="233"/>
    <x v="3"/>
    <x v="1"/>
    <n v="4064.9322000000002"/>
    <n v="888.59"/>
  </r>
  <r>
    <n v="1418"/>
    <s v="Christopher Anderson"/>
    <x v="5"/>
    <x v="19"/>
    <x v="0"/>
    <n v="2889.5349999999999"/>
    <n v="0.13"/>
    <x v="36"/>
    <x v="221"/>
    <x v="3"/>
    <x v="1"/>
    <n v="10055.5818"/>
    <n v="1403.76"/>
  </r>
  <r>
    <n v="1419"/>
    <s v="Brittney Rivera"/>
    <x v="1"/>
    <x v="15"/>
    <x v="2"/>
    <n v="2229.4899999999998"/>
    <n v="0.51"/>
    <x v="274"/>
    <x v="234"/>
    <x v="4"/>
    <x v="1"/>
    <n v="2184.9001999999996"/>
    <n v="-565.16999999999996"/>
  </r>
  <r>
    <n v="1420"/>
    <s v="James Patterson"/>
    <x v="2"/>
    <x v="2"/>
    <x v="0"/>
    <n v="2933.45"/>
    <n v="0.96"/>
    <x v="13"/>
    <x v="197"/>
    <x v="1"/>
    <x v="1"/>
    <n v="469.35200000000037"/>
    <n v="117.33800000000009"/>
  </r>
  <r>
    <n v="1421"/>
    <s v="Kenneth Jackson"/>
    <x v="4"/>
    <x v="14"/>
    <x v="0"/>
    <n v="2765.79"/>
    <n v="0.51"/>
    <x v="25"/>
    <x v="1"/>
    <x v="1"/>
    <x v="1"/>
    <n v="5420.9484000000002"/>
    <n v="575.19000000000005"/>
  </r>
  <r>
    <n v="1422"/>
    <s v="Marvin Cox"/>
    <x v="0"/>
    <x v="5"/>
    <x v="3"/>
    <n v="4466.49"/>
    <n v="0.51"/>
    <x v="275"/>
    <x v="235"/>
    <x v="1"/>
    <x v="1"/>
    <n v="6565.7402999999995"/>
    <n v="2168.7800000000002"/>
  </r>
  <r>
    <n v="1423"/>
    <s v="Christopher Reeves"/>
    <x v="1"/>
    <x v="22"/>
    <x v="6"/>
    <n v="2752.99"/>
    <n v="0.51"/>
    <x v="201"/>
    <x v="58"/>
    <x v="4"/>
    <x v="1"/>
    <n v="4721.3778499999999"/>
    <n v="1302.05"/>
  </r>
  <r>
    <n v="1424"/>
    <s v="Jennifer Villarreal"/>
    <x v="4"/>
    <x v="14"/>
    <x v="0"/>
    <n v="538.6"/>
    <n v="0.51"/>
    <x v="276"/>
    <x v="62"/>
    <x v="4"/>
    <x v="1"/>
    <n v="1055.6559999999999"/>
    <n v="752.81"/>
  </r>
  <r>
    <n v="1425"/>
    <s v="Stacey Irwin"/>
    <x v="3"/>
    <x v="23"/>
    <x v="6"/>
    <n v="1133.73"/>
    <n v="0.51"/>
    <x v="277"/>
    <x v="66"/>
    <x v="5"/>
    <x v="1"/>
    <n v="1944.3469500000001"/>
    <n v="486.08673750000003"/>
  </r>
  <r>
    <n v="1426"/>
    <s v="Bryan Parks"/>
    <x v="0"/>
    <x v="20"/>
    <x v="4"/>
    <n v="3175.17"/>
    <n v="0.86"/>
    <x v="278"/>
    <x v="4"/>
    <x v="4"/>
    <x v="1"/>
    <n v="2222.6190000000001"/>
    <n v="555.65475000000004"/>
  </r>
  <r>
    <n v="1427"/>
    <s v="Angela Hall"/>
    <x v="2"/>
    <x v="17"/>
    <x v="3"/>
    <n v="2385.5749999999998"/>
    <n v="0.51"/>
    <x v="91"/>
    <x v="3"/>
    <x v="2"/>
    <x v="0"/>
    <n v="3506.7952499999997"/>
    <n v="2795.17"/>
  </r>
  <r>
    <n v="1015"/>
    <s v="Stephanie Gonzalez"/>
    <x v="0"/>
    <x v="5"/>
    <x v="3"/>
    <n v="3008.6549999999997"/>
    <n v="0.51"/>
    <x v="44"/>
    <x v="20"/>
    <x v="0"/>
    <x v="1"/>
    <n v="4422.7228500000001"/>
    <n v="1869.46"/>
  </r>
  <r>
    <n v="1429"/>
    <s v="Travis Vargas"/>
    <x v="5"/>
    <x v="19"/>
    <x v="0"/>
    <n v="3292.01"/>
    <n v="0.51"/>
    <x v="279"/>
    <x v="236"/>
    <x v="0"/>
    <x v="1"/>
    <n v="6452.3396000000002"/>
    <n v="-358.22"/>
  </r>
  <r>
    <n v="1430"/>
    <s v="Rose Delgado"/>
    <x v="0"/>
    <x v="9"/>
    <x v="0"/>
    <n v="2891.64"/>
    <n v="0.67"/>
    <x v="12"/>
    <x v="205"/>
    <x v="5"/>
    <x v="0"/>
    <n v="3816.9647999999993"/>
    <n v="2045.56"/>
  </r>
  <r>
    <n v="1431"/>
    <s v="Jennifer Lyons"/>
    <x v="3"/>
    <x v="21"/>
    <x v="0"/>
    <n v="2785.79"/>
    <n v="0.51"/>
    <x v="110"/>
    <x v="237"/>
    <x v="0"/>
    <x v="1"/>
    <n v="5460.1484"/>
    <n v="2191.02"/>
  </r>
  <r>
    <n v="1432"/>
    <s v="Steven Taylor"/>
    <x v="2"/>
    <x v="10"/>
    <x v="0"/>
    <n v="2666.2200000000003"/>
    <n v="0.51"/>
    <x v="142"/>
    <x v="238"/>
    <x v="1"/>
    <x v="1"/>
    <n v="5225.7912000000006"/>
    <n v="-849.15"/>
  </r>
  <r>
    <n v="1433"/>
    <s v="Jesse Cooke"/>
    <x v="4"/>
    <x v="8"/>
    <x v="2"/>
    <n v="3027.66"/>
    <n v="0.7"/>
    <x v="63"/>
    <x v="62"/>
    <x v="2"/>
    <x v="1"/>
    <n v="1816.5960000000002"/>
    <n v="-878.85"/>
  </r>
  <r>
    <n v="1434"/>
    <s v="Marie Sullivan"/>
    <x v="0"/>
    <x v="5"/>
    <x v="3"/>
    <n v="476.2"/>
    <n v="0.51"/>
    <x v="280"/>
    <x v="118"/>
    <x v="4"/>
    <x v="0"/>
    <n v="700.0139999999999"/>
    <n v="-310.8"/>
  </r>
  <r>
    <n v="1435"/>
    <s v="Nicole Mills"/>
    <x v="4"/>
    <x v="14"/>
    <x v="3"/>
    <n v="2765.79"/>
    <n v="0.51"/>
    <x v="281"/>
    <x v="239"/>
    <x v="4"/>
    <x v="1"/>
    <n v="4065.7112999999995"/>
    <n v="904.65"/>
  </r>
  <r>
    <n v="1436"/>
    <s v="Erin Yu"/>
    <x v="4"/>
    <x v="14"/>
    <x v="0"/>
    <n v="2765.79"/>
    <n v="0.51"/>
    <x v="25"/>
    <x v="88"/>
    <x v="1"/>
    <x v="0"/>
    <n v="5420.9484000000002"/>
    <n v="1445.93"/>
  </r>
  <r>
    <n v="1437"/>
    <s v="Rachel Savage"/>
    <x v="0"/>
    <x v="5"/>
    <x v="3"/>
    <n v="3886.3"/>
    <n v="0.34"/>
    <x v="282"/>
    <x v="240"/>
    <x v="0"/>
    <x v="0"/>
    <n v="7694.8739999999998"/>
    <n v="131.47999999999999"/>
  </r>
  <r>
    <n v="1438"/>
    <s v="Teresa Nichols"/>
    <x v="5"/>
    <x v="12"/>
    <x v="3"/>
    <n v="2663.97"/>
    <n v="0.84"/>
    <x v="283"/>
    <x v="241"/>
    <x v="5"/>
    <x v="1"/>
    <n v="1278.7056000000002"/>
    <n v="1014.29"/>
  </r>
  <r>
    <n v="1439"/>
    <s v="Elijah Anderson"/>
    <x v="4"/>
    <x v="16"/>
    <x v="0"/>
    <n v="2599.75"/>
    <n v="0.51"/>
    <x v="42"/>
    <x v="4"/>
    <x v="1"/>
    <x v="1"/>
    <n v="5095.51"/>
    <n v="726.42"/>
  </r>
  <r>
    <n v="1440"/>
    <s v="Candace Smith"/>
    <x v="5"/>
    <x v="19"/>
    <x v="0"/>
    <n v="635.12"/>
    <n v="0.32"/>
    <x v="284"/>
    <x v="242"/>
    <x v="4"/>
    <x v="0"/>
    <n v="1727.5264"/>
    <n v="-476.72"/>
  </r>
  <r>
    <n v="1441"/>
    <s v="Michelle Lara"/>
    <x v="0"/>
    <x v="0"/>
    <x v="0"/>
    <n v="2366.6149999999998"/>
    <n v="0.51"/>
    <x v="81"/>
    <x v="4"/>
    <x v="3"/>
    <x v="1"/>
    <n v="4638.5653999999995"/>
    <n v="-316.51"/>
  </r>
  <r>
    <n v="1442"/>
    <s v="Emma Ramirez"/>
    <x v="2"/>
    <x v="13"/>
    <x v="0"/>
    <n v="3001.28"/>
    <n v="0.51"/>
    <x v="285"/>
    <x v="243"/>
    <x v="0"/>
    <x v="0"/>
    <n v="5882.5088000000005"/>
    <n v="1218.28"/>
  </r>
  <r>
    <n v="1443"/>
    <s v="Danielle Shelton"/>
    <x v="4"/>
    <x v="4"/>
    <x v="0"/>
    <n v="2001.5500000000002"/>
    <n v="0.51"/>
    <x v="5"/>
    <x v="244"/>
    <x v="3"/>
    <x v="1"/>
    <n v="3923.0380000000005"/>
    <n v="2962.6"/>
  </r>
  <r>
    <n v="1444"/>
    <s v="Paula Leon"/>
    <x v="3"/>
    <x v="21"/>
    <x v="3"/>
    <n v="3452.16"/>
    <n v="0.51"/>
    <x v="286"/>
    <x v="4"/>
    <x v="2"/>
    <x v="1"/>
    <n v="5074.6751999999997"/>
    <n v="810.8"/>
  </r>
  <r>
    <n v="1445"/>
    <s v="Dr. Dennis Pena"/>
    <x v="1"/>
    <x v="15"/>
    <x v="3"/>
    <n v="1370.36"/>
    <n v="0.54"/>
    <x v="287"/>
    <x v="245"/>
    <x v="2"/>
    <x v="0"/>
    <n v="1891.0967999999998"/>
    <n v="472.77419999999995"/>
  </r>
  <r>
    <n v="1446"/>
    <s v="Kelsey Wright"/>
    <x v="2"/>
    <x v="2"/>
    <x v="0"/>
    <n v="2827.68"/>
    <n v="0.86"/>
    <x v="288"/>
    <x v="246"/>
    <x v="0"/>
    <x v="1"/>
    <n v="1583.5008"/>
    <n v="-602.57000000000005"/>
  </r>
  <r>
    <n v="1031"/>
    <s v="Eric Williams"/>
    <x v="4"/>
    <x v="14"/>
    <x v="5"/>
    <n v="3792.09"/>
    <n v="0.51"/>
    <x v="289"/>
    <x v="247"/>
    <x v="3"/>
    <x v="0"/>
    <n v="11148.7446"/>
    <n v="194.31"/>
  </r>
  <r>
    <n v="1448"/>
    <s v="Brandon Andrews"/>
    <x v="0"/>
    <x v="0"/>
    <x v="0"/>
    <n v="1657.95"/>
    <n v="0.51"/>
    <x v="290"/>
    <x v="248"/>
    <x v="5"/>
    <x v="1"/>
    <n v="3249.5819999999999"/>
    <n v="1948.49"/>
  </r>
  <r>
    <n v="1449"/>
    <s v="Michelle Phillips"/>
    <x v="0"/>
    <x v="9"/>
    <x v="0"/>
    <n v="2855.53"/>
    <n v="0.55000000000000004"/>
    <x v="291"/>
    <x v="16"/>
    <x v="1"/>
    <x v="0"/>
    <n v="5139.9539999999997"/>
    <n v="2598.7399999999998"/>
  </r>
  <r>
    <n v="1043"/>
    <s v="Valerie Ramirez"/>
    <x v="4"/>
    <x v="16"/>
    <x v="0"/>
    <n v="2599.75"/>
    <n v="0.51"/>
    <x v="42"/>
    <x v="249"/>
    <x v="0"/>
    <x v="0"/>
    <n v="5095.51"/>
    <n v="-401.44"/>
  </r>
  <r>
    <n v="1451"/>
    <s v="Rebecca Murphy"/>
    <x v="2"/>
    <x v="13"/>
    <x v="0"/>
    <n v="620.64"/>
    <n v="0.51"/>
    <x v="292"/>
    <x v="250"/>
    <x v="4"/>
    <x v="1"/>
    <n v="1216.4543999999999"/>
    <n v="304.11359999999996"/>
  </r>
  <r>
    <n v="1452"/>
    <s v="Ricardo Kent"/>
    <x v="3"/>
    <x v="7"/>
    <x v="3"/>
    <n v="2660.28"/>
    <n v="0.34"/>
    <x v="293"/>
    <x v="4"/>
    <x v="0"/>
    <x v="0"/>
    <n v="5267.3543999999993"/>
    <n v="918.54"/>
  </r>
  <r>
    <n v="1453"/>
    <s v="Justin Carpenter"/>
    <x v="0"/>
    <x v="9"/>
    <x v="0"/>
    <n v="2891.64"/>
    <n v="0.18"/>
    <x v="12"/>
    <x v="210"/>
    <x v="3"/>
    <x v="1"/>
    <n v="9484.5792000000001"/>
    <n v="1465.97"/>
  </r>
  <r>
    <n v="1454"/>
    <s v="Justin Clements"/>
    <x v="3"/>
    <x v="7"/>
    <x v="3"/>
    <n v="4523.58"/>
    <n v="0.51"/>
    <x v="294"/>
    <x v="131"/>
    <x v="5"/>
    <x v="1"/>
    <n v="6649.6625999999997"/>
    <n v="2424.44"/>
  </r>
  <r>
    <n v="1455"/>
    <s v="Patty Thomas"/>
    <x v="4"/>
    <x v="14"/>
    <x v="0"/>
    <n v="2765.79"/>
    <n v="0.51"/>
    <x v="25"/>
    <x v="61"/>
    <x v="0"/>
    <x v="1"/>
    <n v="5420.9484000000002"/>
    <n v="743.47"/>
  </r>
  <r>
    <n v="1456"/>
    <s v="Madison Berry"/>
    <x v="4"/>
    <x v="16"/>
    <x v="2"/>
    <n v="2599.75"/>
    <n v="0.51"/>
    <x v="295"/>
    <x v="153"/>
    <x v="3"/>
    <x v="0"/>
    <n v="2547.7550000000001"/>
    <n v="1350.12"/>
  </r>
  <r>
    <n v="1457"/>
    <s v="Danielle Washington"/>
    <x v="3"/>
    <x v="21"/>
    <x v="0"/>
    <n v="2342.25"/>
    <n v="0.51"/>
    <x v="296"/>
    <x v="4"/>
    <x v="3"/>
    <x v="1"/>
    <n v="4590.8099999999995"/>
    <n v="750.64"/>
  </r>
  <r>
    <n v="1458"/>
    <s v="Rachel Marshall"/>
    <x v="1"/>
    <x v="1"/>
    <x v="5"/>
    <n v="2579.8000000000002"/>
    <n v="0.27"/>
    <x v="297"/>
    <x v="4"/>
    <x v="2"/>
    <x v="1"/>
    <n v="11299.524000000001"/>
    <n v="1877.22"/>
  </r>
  <r>
    <n v="1459"/>
    <s v="Anna King"/>
    <x v="3"/>
    <x v="7"/>
    <x v="3"/>
    <n v="2494.9899999999998"/>
    <n v="0.98"/>
    <x v="298"/>
    <x v="251"/>
    <x v="5"/>
    <x v="1"/>
    <n v="149.69940000000011"/>
    <n v="37.424850000000028"/>
  </r>
  <r>
    <n v="1460"/>
    <s v="Leah Chaney"/>
    <x v="1"/>
    <x v="22"/>
    <x v="6"/>
    <n v="4264.16"/>
    <n v="0.51"/>
    <x v="299"/>
    <x v="252"/>
    <x v="0"/>
    <x v="1"/>
    <n v="7313.0343999999996"/>
    <n v="921.96"/>
  </r>
  <r>
    <n v="1461"/>
    <s v="Rebecca Leach"/>
    <x v="5"/>
    <x v="6"/>
    <x v="0"/>
    <n v="2708.35"/>
    <n v="0.51"/>
    <x v="300"/>
    <x v="4"/>
    <x v="4"/>
    <x v="0"/>
    <n v="5308.366"/>
    <n v="941.87"/>
  </r>
  <r>
    <n v="1462"/>
    <s v="Miranda Higgins"/>
    <x v="1"/>
    <x v="1"/>
    <x v="0"/>
    <n v="2579.8000000000002"/>
    <n v="0.51"/>
    <x v="22"/>
    <x v="253"/>
    <x v="0"/>
    <x v="0"/>
    <n v="5056.4080000000004"/>
    <n v="372.63"/>
  </r>
  <r>
    <n v="1463"/>
    <s v="Danielle Gonzales"/>
    <x v="5"/>
    <x v="12"/>
    <x v="1"/>
    <n v="4606.09"/>
    <n v="0.51"/>
    <x v="301"/>
    <x v="254"/>
    <x v="0"/>
    <x v="1"/>
    <n v="2256.9841000000001"/>
    <n v="-877.13"/>
  </r>
  <r>
    <n v="1464"/>
    <s v="Jill Johnson"/>
    <x v="5"/>
    <x v="12"/>
    <x v="3"/>
    <n v="2765.26"/>
    <n v="0.51"/>
    <x v="19"/>
    <x v="255"/>
    <x v="3"/>
    <x v="0"/>
    <n v="4064.9322000000002"/>
    <n v="837.3"/>
  </r>
  <r>
    <n v="1465"/>
    <s v="William Peck"/>
    <x v="3"/>
    <x v="3"/>
    <x v="3"/>
    <n v="2215.4"/>
    <n v="0.96"/>
    <x v="302"/>
    <x v="256"/>
    <x v="4"/>
    <x v="1"/>
    <n v="265.84800000000024"/>
    <n v="-85.73"/>
  </r>
  <r>
    <n v="1014"/>
    <s v="Keith Schroeder"/>
    <x v="5"/>
    <x v="12"/>
    <x v="3"/>
    <n v="3172.11"/>
    <n v="0.51"/>
    <x v="303"/>
    <x v="257"/>
    <x v="2"/>
    <x v="0"/>
    <n v="4663.0016999999998"/>
    <n v="673.33"/>
  </r>
  <r>
    <n v="1030"/>
    <s v="William Ortiz"/>
    <x v="2"/>
    <x v="10"/>
    <x v="0"/>
    <n v="3389.44"/>
    <n v="0.09"/>
    <x v="304"/>
    <x v="146"/>
    <x v="0"/>
    <x v="1"/>
    <n v="12337.561600000001"/>
    <n v="1663.45"/>
  </r>
  <r>
    <n v="1468"/>
    <s v="Jeremy Nash"/>
    <x v="4"/>
    <x v="16"/>
    <x v="0"/>
    <n v="3332.84"/>
    <n v="0.27"/>
    <x v="305"/>
    <x v="258"/>
    <x v="1"/>
    <x v="1"/>
    <n v="9731.8927999999996"/>
    <n v="733.66"/>
  </r>
  <r>
    <n v="1469"/>
    <s v="Craig Conner MD"/>
    <x v="5"/>
    <x v="12"/>
    <x v="3"/>
    <n v="2665.7"/>
    <n v="0.49"/>
    <x v="306"/>
    <x v="20"/>
    <x v="3"/>
    <x v="1"/>
    <n v="4078.5209999999997"/>
    <n v="1644.72"/>
  </r>
  <r>
    <n v="1470"/>
    <s v="Victoria Hayden"/>
    <x v="4"/>
    <x v="8"/>
    <x v="3"/>
    <n v="1376.54"/>
    <n v="0.51"/>
    <x v="307"/>
    <x v="4"/>
    <x v="4"/>
    <x v="1"/>
    <n v="2023.5137999999999"/>
    <n v="0.59"/>
  </r>
  <r>
    <n v="1471"/>
    <s v="Tammy Johnson"/>
    <x v="3"/>
    <x v="3"/>
    <x v="3"/>
    <n v="4882.03"/>
    <n v="0.23"/>
    <x v="308"/>
    <x v="259"/>
    <x v="4"/>
    <x v="0"/>
    <n v="11277.489300000001"/>
    <n v="-605.66999999999996"/>
  </r>
  <r>
    <n v="1472"/>
    <s v="William Mullins"/>
    <x v="3"/>
    <x v="3"/>
    <x v="3"/>
    <n v="2515.415"/>
    <n v="0.51"/>
    <x v="11"/>
    <x v="11"/>
    <x v="2"/>
    <x v="0"/>
    <n v="3697.66005"/>
    <n v="-69.28"/>
  </r>
  <r>
    <n v="1473"/>
    <s v="Alicia Reynolds"/>
    <x v="4"/>
    <x v="16"/>
    <x v="0"/>
    <n v="2599.75"/>
    <n v="0.08"/>
    <x v="42"/>
    <x v="4"/>
    <x v="3"/>
    <x v="0"/>
    <n v="9567.08"/>
    <n v="1769.11"/>
  </r>
  <r>
    <n v="1474"/>
    <s v="Rachel Shelton"/>
    <x v="1"/>
    <x v="18"/>
    <x v="0"/>
    <n v="2537.59"/>
    <n v="0.51"/>
    <x v="264"/>
    <x v="260"/>
    <x v="3"/>
    <x v="0"/>
    <n v="4973.6764000000003"/>
    <n v="1791.38"/>
  </r>
  <r>
    <n v="1475"/>
    <s v="Nancy James"/>
    <x v="4"/>
    <x v="8"/>
    <x v="3"/>
    <n v="3692.25"/>
    <n v="0.51"/>
    <x v="309"/>
    <x v="103"/>
    <x v="2"/>
    <x v="0"/>
    <n v="5427.6075000000001"/>
    <n v="433.87"/>
  </r>
  <r>
    <n v="1476"/>
    <s v="Seth Gonzalez"/>
    <x v="0"/>
    <x v="20"/>
    <x v="4"/>
    <n v="2750.33"/>
    <n v="0.56999999999999995"/>
    <x v="52"/>
    <x v="37"/>
    <x v="3"/>
    <x v="0"/>
    <n v="5913.2095000000008"/>
    <n v="1476.41"/>
  </r>
  <r>
    <n v="1477"/>
    <s v="Rachel Allen"/>
    <x v="5"/>
    <x v="19"/>
    <x v="0"/>
    <n v="2277.1999999999998"/>
    <n v="0.51"/>
    <x v="310"/>
    <x v="152"/>
    <x v="4"/>
    <x v="1"/>
    <n v="4463.3119999999999"/>
    <n v="1295.82"/>
  </r>
  <r>
    <n v="1478"/>
    <s v="Jaclyn Lynch"/>
    <x v="1"/>
    <x v="18"/>
    <x v="3"/>
    <n v="2277.41"/>
    <n v="0.51"/>
    <x v="311"/>
    <x v="261"/>
    <x v="1"/>
    <x v="1"/>
    <n v="3347.7926999999995"/>
    <n v="-584.69000000000005"/>
  </r>
  <r>
    <n v="1479"/>
    <s v="Vicki Peterson DDS"/>
    <x v="5"/>
    <x v="11"/>
    <x v="1"/>
    <n v="2731.6350000000002"/>
    <n v="0.51"/>
    <x v="271"/>
    <x v="4"/>
    <x v="1"/>
    <x v="0"/>
    <n v="1338.5011500000001"/>
    <n v="-575.87"/>
  </r>
  <r>
    <n v="1480"/>
    <s v="Troy Love"/>
    <x v="1"/>
    <x v="18"/>
    <x v="3"/>
    <n v="755.42"/>
    <n v="0.51"/>
    <x v="312"/>
    <x v="262"/>
    <x v="5"/>
    <x v="1"/>
    <n v="1110.4673999999998"/>
    <n v="277.61684999999994"/>
  </r>
  <r>
    <n v="1481"/>
    <s v="David Baker"/>
    <x v="3"/>
    <x v="21"/>
    <x v="0"/>
    <n v="2785.79"/>
    <n v="0.97"/>
    <x v="110"/>
    <x v="4"/>
    <x v="0"/>
    <x v="0"/>
    <n v="334.29480000000029"/>
    <n v="83.573700000000073"/>
  </r>
  <r>
    <n v="1482"/>
    <s v="Kristen Fuentes"/>
    <x v="2"/>
    <x v="13"/>
    <x v="0"/>
    <n v="1269.51"/>
    <n v="0.51"/>
    <x v="313"/>
    <x v="176"/>
    <x v="1"/>
    <x v="0"/>
    <n v="2488.2395999999999"/>
    <n v="480.43"/>
  </r>
  <r>
    <n v="1483"/>
    <s v="Kenneth Barry"/>
    <x v="4"/>
    <x v="8"/>
    <x v="3"/>
    <n v="2347.19"/>
    <n v="0.51"/>
    <x v="314"/>
    <x v="252"/>
    <x v="3"/>
    <x v="1"/>
    <n v="3450.3692999999998"/>
    <n v="2870.3"/>
  </r>
  <r>
    <n v="1484"/>
    <s v="Judith Johnson"/>
    <x v="1"/>
    <x v="15"/>
    <x v="2"/>
    <n v="818.68"/>
    <n v="0.51"/>
    <x v="315"/>
    <x v="263"/>
    <x v="2"/>
    <x v="1"/>
    <n v="802.30639999999994"/>
    <n v="200.57659999999998"/>
  </r>
  <r>
    <n v="1485"/>
    <s v="Oscar Williams"/>
    <x v="2"/>
    <x v="10"/>
    <x v="0"/>
    <n v="2666.2200000000003"/>
    <n v="0.51"/>
    <x v="142"/>
    <x v="113"/>
    <x v="4"/>
    <x v="1"/>
    <n v="5225.7912000000006"/>
    <n v="672.88"/>
  </r>
  <r>
    <n v="1486"/>
    <s v="Gloria Orr"/>
    <x v="0"/>
    <x v="20"/>
    <x v="5"/>
    <n v="2750.33"/>
    <n v="0.51"/>
    <x v="316"/>
    <x v="4"/>
    <x v="2"/>
    <x v="1"/>
    <n v="8085.9701999999997"/>
    <n v="2745.83"/>
  </r>
  <r>
    <n v="1487"/>
    <s v="Nancy Taylor"/>
    <x v="3"/>
    <x v="7"/>
    <x v="5"/>
    <n v="1234.08"/>
    <n v="0.71"/>
    <x v="317"/>
    <x v="264"/>
    <x v="0"/>
    <x v="0"/>
    <n v="2147.2991999999999"/>
    <n v="-849.81"/>
  </r>
  <r>
    <n v="1488"/>
    <s v="Jennifer Morales DVM"/>
    <x v="3"/>
    <x v="23"/>
    <x v="6"/>
    <n v="4925.93"/>
    <n v="0.51"/>
    <x v="318"/>
    <x v="265"/>
    <x v="3"/>
    <x v="0"/>
    <n v="8447.9699500000006"/>
    <n v="2121.1999999999998"/>
  </r>
  <r>
    <n v="1489"/>
    <s v="Kimberly Hammond"/>
    <x v="2"/>
    <x v="10"/>
    <x v="0"/>
    <n v="2666.2200000000003"/>
    <n v="0.51"/>
    <x v="142"/>
    <x v="57"/>
    <x v="5"/>
    <x v="1"/>
    <n v="5225.7912000000006"/>
    <n v="2102.1999999999998"/>
  </r>
  <r>
    <n v="1490"/>
    <s v="Wendy Hernandez"/>
    <x v="4"/>
    <x v="14"/>
    <x v="1"/>
    <n v="2765.79"/>
    <n v="0.51"/>
    <x v="247"/>
    <x v="30"/>
    <x v="0"/>
    <x v="1"/>
    <n v="1355.2371000000001"/>
    <n v="230.97"/>
  </r>
  <r>
    <n v="1491"/>
    <s v="Allen Garner"/>
    <x v="2"/>
    <x v="10"/>
    <x v="1"/>
    <n v="2666.2200000000003"/>
    <n v="0.28999999999999998"/>
    <x v="319"/>
    <x v="4"/>
    <x v="3"/>
    <x v="1"/>
    <n v="1893.0162"/>
    <n v="473.25405000000001"/>
  </r>
  <r>
    <n v="1492"/>
    <s v="Richard Stephenson"/>
    <x v="4"/>
    <x v="14"/>
    <x v="0"/>
    <n v="2765.79"/>
    <n v="0.51"/>
    <x v="25"/>
    <x v="4"/>
    <x v="4"/>
    <x v="1"/>
    <n v="5420.9484000000002"/>
    <n v="-308.83"/>
  </r>
  <r>
    <n v="1493"/>
    <s v="Mr. Gary Wilson"/>
    <x v="5"/>
    <x v="12"/>
    <x v="3"/>
    <n v="2765.26"/>
    <n v="0.03"/>
    <x v="19"/>
    <x v="4"/>
    <x v="4"/>
    <x v="1"/>
    <n v="8046.9066000000003"/>
    <n v="478.28"/>
  </r>
  <r>
    <n v="1494"/>
    <s v="Elizabeth Nelson"/>
    <x v="0"/>
    <x v="9"/>
    <x v="0"/>
    <n v="4338.0600000000004"/>
    <n v="0.24"/>
    <x v="320"/>
    <x v="266"/>
    <x v="2"/>
    <x v="1"/>
    <n v="13187.702400000002"/>
    <n v="386.01"/>
  </r>
  <r>
    <n v="1495"/>
    <s v="James Mcguire"/>
    <x v="3"/>
    <x v="21"/>
    <x v="0"/>
    <n v="2261.4899999999998"/>
    <n v="0.51"/>
    <x v="321"/>
    <x v="44"/>
    <x v="3"/>
    <x v="0"/>
    <n v="4432.5203999999994"/>
    <n v="2044.15"/>
  </r>
  <r>
    <n v="1496"/>
    <s v="Laura Myers"/>
    <x v="1"/>
    <x v="18"/>
    <x v="3"/>
    <n v="4874.76"/>
    <n v="0.51"/>
    <x v="322"/>
    <x v="267"/>
    <x v="1"/>
    <x v="1"/>
    <n v="7165.8972000000003"/>
    <n v="2438.13"/>
  </r>
  <r>
    <n v="1497"/>
    <s v="Joseph Anderson"/>
    <x v="3"/>
    <x v="3"/>
    <x v="3"/>
    <n v="1461.5"/>
    <n v="0.51"/>
    <x v="323"/>
    <x v="9"/>
    <x v="5"/>
    <x v="0"/>
    <n v="2148.4049999999997"/>
    <n v="1561.06"/>
  </r>
  <r>
    <n v="1498"/>
    <s v="Tiffany Calhoun"/>
    <x v="0"/>
    <x v="9"/>
    <x v="5"/>
    <n v="3771.67"/>
    <n v="0.51"/>
    <x v="324"/>
    <x v="110"/>
    <x v="2"/>
    <x v="0"/>
    <n v="11088.709800000001"/>
    <n v="2442.42"/>
  </r>
  <r>
    <n v="1499"/>
    <s v="Lauren Ellis"/>
    <x v="4"/>
    <x v="4"/>
    <x v="2"/>
    <n v="2001.5500000000002"/>
    <n v="0.51"/>
    <x v="325"/>
    <x v="4"/>
    <x v="3"/>
    <x v="0"/>
    <n v="1961.5190000000002"/>
    <n v="490.37975000000006"/>
  </r>
  <r>
    <n v="1500"/>
    <s v="Jerry Turner"/>
    <x v="0"/>
    <x v="9"/>
    <x v="0"/>
    <n v="2128.7399999999998"/>
    <n v="0.51"/>
    <x v="326"/>
    <x v="84"/>
    <x v="1"/>
    <x v="1"/>
    <n v="4172.3303999999998"/>
    <n v="-648.94000000000005"/>
  </r>
  <r>
    <n v="1501"/>
    <s v="Brian Maldonado"/>
    <x v="4"/>
    <x v="4"/>
    <x v="0"/>
    <n v="2001.5500000000002"/>
    <n v="0.65"/>
    <x v="5"/>
    <x v="4"/>
    <x v="3"/>
    <x v="1"/>
    <n v="2802.17"/>
    <n v="-957.83"/>
  </r>
  <r>
    <n v="1502"/>
    <s v="Randy Robertson"/>
    <x v="5"/>
    <x v="19"/>
    <x v="0"/>
    <n v="4260.95"/>
    <n v="0.51"/>
    <x v="327"/>
    <x v="268"/>
    <x v="0"/>
    <x v="1"/>
    <n v="8351.4619999999995"/>
    <n v="-86.64"/>
  </r>
  <r>
    <n v="1503"/>
    <s v="Linda Allen"/>
    <x v="4"/>
    <x v="8"/>
    <x v="2"/>
    <n v="4621.79"/>
    <n v="0.32"/>
    <x v="328"/>
    <x v="269"/>
    <x v="0"/>
    <x v="0"/>
    <n v="6285.634399999999"/>
    <n v="1350.48"/>
  </r>
  <r>
    <n v="1504"/>
    <s v="James Matthews"/>
    <x v="2"/>
    <x v="2"/>
    <x v="2"/>
    <n v="2558.4299999999998"/>
    <n v="0.51"/>
    <x v="329"/>
    <x v="100"/>
    <x v="3"/>
    <x v="1"/>
    <n v="2507.2613999999999"/>
    <n v="-360.49"/>
  </r>
  <r>
    <n v="1048"/>
    <s v="Angela Newman"/>
    <x v="3"/>
    <x v="21"/>
    <x v="0"/>
    <n v="1316.64"/>
    <n v="0.51"/>
    <x v="330"/>
    <x v="270"/>
    <x v="3"/>
    <x v="0"/>
    <n v="2580.6143999999999"/>
    <n v="1390.52"/>
  </r>
  <r>
    <n v="1506"/>
    <s v="Robert Brooks"/>
    <x v="4"/>
    <x v="4"/>
    <x v="0"/>
    <n v="2001.5500000000002"/>
    <n v="0.51"/>
    <x v="5"/>
    <x v="271"/>
    <x v="3"/>
    <x v="0"/>
    <n v="3923.0380000000005"/>
    <n v="1406.62"/>
  </r>
  <r>
    <n v="1507"/>
    <s v="Michael Smith"/>
    <x v="1"/>
    <x v="1"/>
    <x v="0"/>
    <n v="3597.73"/>
    <n v="0.51"/>
    <x v="331"/>
    <x v="272"/>
    <x v="0"/>
    <x v="1"/>
    <n v="7051.5508"/>
    <n v="-857.53"/>
  </r>
  <r>
    <n v="1508"/>
    <s v="Justin Dean"/>
    <x v="5"/>
    <x v="19"/>
    <x v="0"/>
    <n v="2889.5349999999999"/>
    <n v="0.51"/>
    <x v="36"/>
    <x v="273"/>
    <x v="1"/>
    <x v="1"/>
    <n v="5663.4885999999997"/>
    <n v="1796.35"/>
  </r>
  <r>
    <n v="1509"/>
    <s v="Rachel Johnston"/>
    <x v="5"/>
    <x v="19"/>
    <x v="0"/>
    <n v="2889.5349999999999"/>
    <n v="0.28000000000000003"/>
    <x v="36"/>
    <x v="274"/>
    <x v="3"/>
    <x v="1"/>
    <n v="8321.8607999999986"/>
    <n v="1333.87"/>
  </r>
  <r>
    <n v="1510"/>
    <s v="Susan Bird"/>
    <x v="4"/>
    <x v="16"/>
    <x v="0"/>
    <n v="1897.11"/>
    <n v="0.51"/>
    <x v="332"/>
    <x v="275"/>
    <x v="0"/>
    <x v="0"/>
    <n v="3718.3355999999999"/>
    <n v="-345.3"/>
  </r>
  <r>
    <n v="1511"/>
    <s v="Michael Ruiz"/>
    <x v="1"/>
    <x v="1"/>
    <x v="0"/>
    <n v="2579.8000000000002"/>
    <n v="0.93"/>
    <x v="22"/>
    <x v="276"/>
    <x v="4"/>
    <x v="1"/>
    <n v="722.3439999999996"/>
    <n v="-521.84"/>
  </r>
  <r>
    <n v="1512"/>
    <s v="Sarah Stokes"/>
    <x v="3"/>
    <x v="7"/>
    <x v="3"/>
    <n v="2577.6350000000002"/>
    <n v="0.51"/>
    <x v="8"/>
    <x v="277"/>
    <x v="0"/>
    <x v="0"/>
    <n v="3789.12345"/>
    <n v="352.91"/>
  </r>
  <r>
    <n v="1513"/>
    <s v="Laura Simmons"/>
    <x v="1"/>
    <x v="22"/>
    <x v="5"/>
    <n v="2752.99"/>
    <n v="0.51"/>
    <x v="333"/>
    <x v="278"/>
    <x v="0"/>
    <x v="0"/>
    <n v="8093.7905999999994"/>
    <n v="156.52000000000001"/>
  </r>
  <r>
    <n v="1514"/>
    <s v="Kenneth Mcdaniel"/>
    <x v="4"/>
    <x v="8"/>
    <x v="3"/>
    <n v="2343.7199999999998"/>
    <n v="0.51"/>
    <x v="334"/>
    <x v="179"/>
    <x v="2"/>
    <x v="1"/>
    <n v="3445.2683999999999"/>
    <n v="-760.9"/>
  </r>
  <r>
    <n v="1515"/>
    <s v="Lauren Bailey"/>
    <x v="3"/>
    <x v="7"/>
    <x v="3"/>
    <n v="4596.03"/>
    <n v="0.51"/>
    <x v="335"/>
    <x v="199"/>
    <x v="0"/>
    <x v="1"/>
    <n v="6756.1641"/>
    <n v="-866.29"/>
  </r>
  <r>
    <n v="1516"/>
    <s v="Brittany Munoz"/>
    <x v="5"/>
    <x v="6"/>
    <x v="0"/>
    <n v="1039.31"/>
    <n v="0.94"/>
    <x v="336"/>
    <x v="4"/>
    <x v="1"/>
    <x v="1"/>
    <n v="249.43440000000021"/>
    <n v="-104.79"/>
  </r>
  <r>
    <n v="1517"/>
    <s v="Benjamin Lutz"/>
    <x v="0"/>
    <x v="0"/>
    <x v="0"/>
    <n v="4944.25"/>
    <n v="0.51"/>
    <x v="337"/>
    <x v="94"/>
    <x v="1"/>
    <x v="1"/>
    <n v="9690.73"/>
    <n v="-157.21"/>
  </r>
  <r>
    <n v="1518"/>
    <s v="Andrew Williams"/>
    <x v="0"/>
    <x v="0"/>
    <x v="0"/>
    <n v="706.71"/>
    <n v="0.51"/>
    <x v="338"/>
    <x v="279"/>
    <x v="0"/>
    <x v="1"/>
    <n v="1385.1516000000001"/>
    <n v="-285.44"/>
  </r>
  <r>
    <n v="1519"/>
    <s v="Jennifer Alvarado"/>
    <x v="3"/>
    <x v="3"/>
    <x v="1"/>
    <n v="3762.86"/>
    <n v="0.51"/>
    <x v="339"/>
    <x v="95"/>
    <x v="2"/>
    <x v="1"/>
    <n v="1843.8014000000001"/>
    <n v="460.95035000000001"/>
  </r>
  <r>
    <n v="1520"/>
    <s v="James Taylor"/>
    <x v="4"/>
    <x v="4"/>
    <x v="0"/>
    <n v="2001.5500000000002"/>
    <n v="0.71"/>
    <x v="5"/>
    <x v="280"/>
    <x v="2"/>
    <x v="1"/>
    <n v="2321.7980000000007"/>
    <n v="-822.18"/>
  </r>
  <r>
    <n v="1521"/>
    <s v="Krista Nichols"/>
    <x v="0"/>
    <x v="9"/>
    <x v="0"/>
    <n v="2362.0300000000002"/>
    <n v="0.51"/>
    <x v="340"/>
    <x v="195"/>
    <x v="4"/>
    <x v="1"/>
    <n v="4629.5788000000002"/>
    <n v="-943.46"/>
  </r>
  <r>
    <n v="1522"/>
    <s v="Juan Rogers"/>
    <x v="3"/>
    <x v="7"/>
    <x v="5"/>
    <n v="2577.6350000000002"/>
    <n v="0.44"/>
    <x v="47"/>
    <x v="281"/>
    <x v="3"/>
    <x v="1"/>
    <n v="8660.8536000000022"/>
    <n v="547.09"/>
  </r>
  <r>
    <n v="1523"/>
    <s v="Bradley Rogers"/>
    <x v="4"/>
    <x v="8"/>
    <x v="3"/>
    <n v="3027.66"/>
    <n v="0.13"/>
    <x v="94"/>
    <x v="282"/>
    <x v="1"/>
    <x v="1"/>
    <n v="7902.1925999999994"/>
    <n v="1475.12"/>
  </r>
  <r>
    <n v="1524"/>
    <s v="Cameron Bowen"/>
    <x v="5"/>
    <x v="12"/>
    <x v="3"/>
    <n v="2765.26"/>
    <n v="0.47"/>
    <x v="19"/>
    <x v="1"/>
    <x v="4"/>
    <x v="0"/>
    <n v="4396.7634000000007"/>
    <n v="2668.06"/>
  </r>
  <r>
    <n v="1525"/>
    <s v="David Morales"/>
    <x v="3"/>
    <x v="21"/>
    <x v="4"/>
    <n v="4591.26"/>
    <n v="0.51"/>
    <x v="341"/>
    <x v="209"/>
    <x v="4"/>
    <x v="1"/>
    <n v="11248.587000000001"/>
    <n v="-602.79999999999995"/>
  </r>
  <r>
    <n v="1526"/>
    <s v="Rachel Rios"/>
    <x v="2"/>
    <x v="10"/>
    <x v="2"/>
    <n v="1884.25"/>
    <n v="0.51"/>
    <x v="342"/>
    <x v="283"/>
    <x v="3"/>
    <x v="1"/>
    <n v="1846.5650000000001"/>
    <n v="1177.57"/>
  </r>
  <r>
    <n v="1527"/>
    <s v="Mary Campos"/>
    <x v="0"/>
    <x v="0"/>
    <x v="0"/>
    <n v="3431.26"/>
    <n v="0.51"/>
    <x v="343"/>
    <x v="258"/>
    <x v="3"/>
    <x v="0"/>
    <n v="6725.2696000000005"/>
    <n v="1931.28"/>
  </r>
  <r>
    <n v="1026"/>
    <s v="Jacob Morris"/>
    <x v="4"/>
    <x v="4"/>
    <x v="0"/>
    <n v="2001.5500000000002"/>
    <n v="0.51"/>
    <x v="5"/>
    <x v="284"/>
    <x v="0"/>
    <x v="1"/>
    <n v="3923.0380000000005"/>
    <n v="2916.18"/>
  </r>
  <r>
    <n v="1529"/>
    <s v="John Robinson"/>
    <x v="4"/>
    <x v="14"/>
    <x v="0"/>
    <n v="3381.7"/>
    <n v="0.51"/>
    <x v="344"/>
    <x v="266"/>
    <x v="0"/>
    <x v="1"/>
    <n v="6628.1319999999996"/>
    <n v="2953.76"/>
  </r>
  <r>
    <n v="1530"/>
    <s v="Michael Erickson"/>
    <x v="1"/>
    <x v="18"/>
    <x v="5"/>
    <n v="2537.59"/>
    <n v="0.51"/>
    <x v="345"/>
    <x v="285"/>
    <x v="4"/>
    <x v="0"/>
    <n v="7460.5146000000004"/>
    <n v="1451.55"/>
  </r>
  <r>
    <n v="1531"/>
    <s v="Yesenia Thompson"/>
    <x v="0"/>
    <x v="20"/>
    <x v="4"/>
    <n v="2750.33"/>
    <n v="0.37"/>
    <x v="52"/>
    <x v="69"/>
    <x v="1"/>
    <x v="1"/>
    <n v="8663.539499999999"/>
    <n v="-173.83"/>
  </r>
  <r>
    <n v="1532"/>
    <s v="Teresa Davis"/>
    <x v="4"/>
    <x v="8"/>
    <x v="3"/>
    <n v="3027.66"/>
    <n v="0.33"/>
    <x v="94"/>
    <x v="286"/>
    <x v="2"/>
    <x v="1"/>
    <n v="6085.5965999999989"/>
    <n v="2512.66"/>
  </r>
  <r>
    <n v="1533"/>
    <s v="Mark Reed"/>
    <x v="5"/>
    <x v="19"/>
    <x v="0"/>
    <n v="3965.94"/>
    <n v="0.51"/>
    <x v="346"/>
    <x v="287"/>
    <x v="2"/>
    <x v="1"/>
    <n v="7773.2424000000001"/>
    <n v="-759.07"/>
  </r>
  <r>
    <n v="1534"/>
    <s v="Colin Lewis"/>
    <x v="4"/>
    <x v="16"/>
    <x v="0"/>
    <n v="2599.75"/>
    <n v="0.51"/>
    <x v="42"/>
    <x v="139"/>
    <x v="0"/>
    <x v="1"/>
    <n v="5095.51"/>
    <n v="-836.06"/>
  </r>
  <r>
    <n v="1535"/>
    <s v="Austin Barrett"/>
    <x v="3"/>
    <x v="23"/>
    <x v="6"/>
    <n v="720.35"/>
    <n v="0.51"/>
    <x v="347"/>
    <x v="288"/>
    <x v="3"/>
    <x v="1"/>
    <n v="1235.4002499999999"/>
    <n v="308.85006249999998"/>
  </r>
  <r>
    <n v="1536"/>
    <s v="Mark Compton"/>
    <x v="5"/>
    <x v="19"/>
    <x v="1"/>
    <n v="2889.5349999999999"/>
    <n v="0.51"/>
    <x v="158"/>
    <x v="289"/>
    <x v="0"/>
    <x v="1"/>
    <n v="1415.8721499999999"/>
    <n v="353.96803749999998"/>
  </r>
  <r>
    <n v="1537"/>
    <s v="Jonathan Holmes"/>
    <x v="0"/>
    <x v="20"/>
    <x v="4"/>
    <n v="2750.33"/>
    <n v="0.9"/>
    <x v="52"/>
    <x v="4"/>
    <x v="3"/>
    <x v="1"/>
    <n v="1375.1649999999997"/>
    <n v="68.260000000000005"/>
  </r>
  <r>
    <n v="1538"/>
    <s v="Sabrina Barnett"/>
    <x v="5"/>
    <x v="19"/>
    <x v="0"/>
    <n v="4767.6099999999997"/>
    <n v="0.01"/>
    <x v="348"/>
    <x v="4"/>
    <x v="1"/>
    <x v="1"/>
    <n v="18879.7356"/>
    <n v="-956.8"/>
  </r>
  <r>
    <n v="1539"/>
    <s v="Sheryl Davis"/>
    <x v="0"/>
    <x v="9"/>
    <x v="0"/>
    <n v="2891.64"/>
    <n v="0.51"/>
    <x v="12"/>
    <x v="4"/>
    <x v="2"/>
    <x v="1"/>
    <n v="5667.6143999999995"/>
    <n v="2309.23"/>
  </r>
  <r>
    <n v="1540"/>
    <s v="Kurt Murillo"/>
    <x v="1"/>
    <x v="1"/>
    <x v="0"/>
    <n v="2579.8000000000002"/>
    <n v="0.51"/>
    <x v="22"/>
    <x v="290"/>
    <x v="1"/>
    <x v="1"/>
    <n v="5056.4080000000004"/>
    <n v="815.28"/>
  </r>
  <r>
    <n v="1541"/>
    <s v="Michael Hodge"/>
    <x v="3"/>
    <x v="23"/>
    <x v="6"/>
    <n v="2989.4"/>
    <n v="0.51"/>
    <x v="349"/>
    <x v="291"/>
    <x v="2"/>
    <x v="0"/>
    <n v="5126.8209999999999"/>
    <n v="-530.72"/>
  </r>
  <r>
    <n v="1542"/>
    <s v="Sarah Welch"/>
    <x v="1"/>
    <x v="15"/>
    <x v="1"/>
    <n v="2044.17"/>
    <n v="0.51"/>
    <x v="350"/>
    <x v="4"/>
    <x v="5"/>
    <x v="1"/>
    <n v="1001.6433000000001"/>
    <n v="-798.37"/>
  </r>
  <r>
    <n v="1543"/>
    <s v="Angela Young"/>
    <x v="5"/>
    <x v="19"/>
    <x v="1"/>
    <n v="4440.24"/>
    <n v="0.32"/>
    <x v="351"/>
    <x v="4"/>
    <x v="1"/>
    <x v="1"/>
    <n v="3019.3631999999998"/>
    <n v="1884.06"/>
  </r>
  <r>
    <n v="1544"/>
    <s v="Karen Contreras"/>
    <x v="5"/>
    <x v="11"/>
    <x v="5"/>
    <n v="2731.6350000000002"/>
    <n v="0.51"/>
    <x v="169"/>
    <x v="4"/>
    <x v="3"/>
    <x v="1"/>
    <n v="8031.0069000000003"/>
    <n v="87.47"/>
  </r>
  <r>
    <n v="1545"/>
    <s v="Anthony Stephens"/>
    <x v="5"/>
    <x v="6"/>
    <x v="1"/>
    <n v="2975.64"/>
    <n v="0.51"/>
    <x v="352"/>
    <x v="245"/>
    <x v="4"/>
    <x v="1"/>
    <n v="1458.0636"/>
    <n v="364.51589999999999"/>
  </r>
  <r>
    <n v="1546"/>
    <s v="Daniel Brady"/>
    <x v="4"/>
    <x v="8"/>
    <x v="3"/>
    <n v="3027.66"/>
    <n v="0.51"/>
    <x v="94"/>
    <x v="292"/>
    <x v="1"/>
    <x v="1"/>
    <n v="4450.6601999999993"/>
    <n v="1978.16"/>
  </r>
  <r>
    <n v="1547"/>
    <s v="Carlos Rogers"/>
    <x v="5"/>
    <x v="11"/>
    <x v="5"/>
    <n v="2731.6350000000002"/>
    <n v="0.95"/>
    <x v="169"/>
    <x v="293"/>
    <x v="5"/>
    <x v="1"/>
    <n v="819.49050000000079"/>
    <n v="204.8726250000002"/>
  </r>
  <r>
    <n v="1548"/>
    <s v="David Garcia"/>
    <x v="1"/>
    <x v="15"/>
    <x v="3"/>
    <n v="2273.15"/>
    <n v="0.51"/>
    <x v="353"/>
    <x v="4"/>
    <x v="1"/>
    <x v="0"/>
    <n v="3341.5305000000003"/>
    <n v="-701.47"/>
  </r>
  <r>
    <n v="1549"/>
    <s v="Jenna Wong"/>
    <x v="3"/>
    <x v="7"/>
    <x v="3"/>
    <n v="2465.23"/>
    <n v="0.42"/>
    <x v="354"/>
    <x v="4"/>
    <x v="3"/>
    <x v="1"/>
    <n v="4289.5002000000004"/>
    <n v="256.3"/>
  </r>
  <r>
    <n v="1550"/>
    <s v="Bradley Oneal"/>
    <x v="1"/>
    <x v="22"/>
    <x v="1"/>
    <n v="2752.99"/>
    <n v="0.1"/>
    <x v="355"/>
    <x v="110"/>
    <x v="5"/>
    <x v="0"/>
    <n v="2477.6909999999998"/>
    <n v="2195.27"/>
  </r>
  <r>
    <n v="1551"/>
    <s v="Stanley Velez"/>
    <x v="1"/>
    <x v="22"/>
    <x v="6"/>
    <n v="2656.77"/>
    <n v="0.51"/>
    <x v="356"/>
    <x v="4"/>
    <x v="2"/>
    <x v="0"/>
    <n v="4556.3605499999994"/>
    <n v="2293.08"/>
  </r>
  <r>
    <n v="1552"/>
    <s v="Daniel Villegas"/>
    <x v="2"/>
    <x v="13"/>
    <x v="0"/>
    <n v="883.76"/>
    <n v="0.51"/>
    <x v="357"/>
    <x v="4"/>
    <x v="1"/>
    <x v="1"/>
    <n v="1732.1695999999999"/>
    <n v="-572.62"/>
  </r>
  <r>
    <n v="1553"/>
    <s v="Denise Snyder"/>
    <x v="3"/>
    <x v="3"/>
    <x v="1"/>
    <n v="2515.415"/>
    <n v="0.51"/>
    <x v="24"/>
    <x v="4"/>
    <x v="4"/>
    <x v="0"/>
    <n v="1232.5533499999999"/>
    <n v="308.13833749999998"/>
  </r>
  <r>
    <n v="1554"/>
    <s v="Christian Williamson"/>
    <x v="2"/>
    <x v="2"/>
    <x v="0"/>
    <n v="2345.71"/>
    <n v="0.51"/>
    <x v="358"/>
    <x v="186"/>
    <x v="5"/>
    <x v="1"/>
    <n v="4597.5915999999997"/>
    <n v="2041.71"/>
  </r>
  <r>
    <n v="1555"/>
    <s v="Linda Estrada"/>
    <x v="3"/>
    <x v="3"/>
    <x v="3"/>
    <n v="2515.415"/>
    <n v="0.51"/>
    <x v="11"/>
    <x v="4"/>
    <x v="3"/>
    <x v="0"/>
    <n v="3697.66005"/>
    <n v="312.38"/>
  </r>
  <r>
    <n v="1556"/>
    <s v="Courtney Page"/>
    <x v="0"/>
    <x v="5"/>
    <x v="3"/>
    <n v="453.92"/>
    <n v="0.51"/>
    <x v="359"/>
    <x v="146"/>
    <x v="3"/>
    <x v="1"/>
    <n v="667.26239999999996"/>
    <n v="166.81559999999999"/>
  </r>
  <r>
    <n v="1557"/>
    <s v="Timothy Garcia"/>
    <x v="1"/>
    <x v="1"/>
    <x v="0"/>
    <n v="4402.3999999999996"/>
    <n v="0.51"/>
    <x v="360"/>
    <x v="294"/>
    <x v="4"/>
    <x v="0"/>
    <n v="8628.7039999999997"/>
    <n v="-594.21"/>
  </r>
  <r>
    <n v="1558"/>
    <s v="Jacob Williams"/>
    <x v="4"/>
    <x v="16"/>
    <x v="0"/>
    <n v="2599.75"/>
    <n v="0.51"/>
    <x v="42"/>
    <x v="295"/>
    <x v="5"/>
    <x v="1"/>
    <n v="5095.51"/>
    <n v="300.17"/>
  </r>
  <r>
    <n v="1559"/>
    <s v="William Phillips"/>
    <x v="1"/>
    <x v="22"/>
    <x v="6"/>
    <n v="2752.99"/>
    <n v="0.09"/>
    <x v="201"/>
    <x v="4"/>
    <x v="2"/>
    <x v="0"/>
    <n v="8768.2731500000009"/>
    <n v="-548.17999999999995"/>
  </r>
  <r>
    <n v="1560"/>
    <s v="Angela Graham"/>
    <x v="3"/>
    <x v="23"/>
    <x v="6"/>
    <n v="2338.04"/>
    <n v="0.71"/>
    <x v="171"/>
    <x v="124"/>
    <x v="4"/>
    <x v="1"/>
    <n v="2373.1106"/>
    <n v="574.85"/>
  </r>
  <r>
    <n v="1561"/>
    <s v="Melissa Smith"/>
    <x v="2"/>
    <x v="10"/>
    <x v="0"/>
    <n v="2666.2200000000003"/>
    <n v="0.51"/>
    <x v="142"/>
    <x v="296"/>
    <x v="0"/>
    <x v="1"/>
    <n v="5225.7912000000006"/>
    <n v="2513.2399999999998"/>
  </r>
  <r>
    <n v="1562"/>
    <s v="Richard Harris"/>
    <x v="3"/>
    <x v="23"/>
    <x v="6"/>
    <n v="2338.04"/>
    <n v="0.51"/>
    <x v="171"/>
    <x v="4"/>
    <x v="4"/>
    <x v="1"/>
    <n v="4009.7385999999997"/>
    <n v="930.14"/>
  </r>
  <r>
    <n v="1563"/>
    <s v="Cassie Johnson"/>
    <x v="5"/>
    <x v="11"/>
    <x v="4"/>
    <n v="1571.12"/>
    <n v="0.65"/>
    <x v="361"/>
    <x v="4"/>
    <x v="1"/>
    <x v="1"/>
    <n v="2749.4599999999996"/>
    <n v="103.28"/>
  </r>
  <r>
    <n v="1564"/>
    <s v="Jerome Martinez"/>
    <x v="0"/>
    <x v="5"/>
    <x v="2"/>
    <n v="3008.6549999999997"/>
    <n v="0.67"/>
    <x v="92"/>
    <x v="4"/>
    <x v="5"/>
    <x v="0"/>
    <n v="1985.7122999999997"/>
    <n v="-953.17"/>
  </r>
  <r>
    <n v="1565"/>
    <s v="Angel Gonzalez"/>
    <x v="3"/>
    <x v="23"/>
    <x v="6"/>
    <n v="1867.24"/>
    <n v="0.19"/>
    <x v="362"/>
    <x v="275"/>
    <x v="5"/>
    <x v="1"/>
    <n v="5293.6254000000008"/>
    <n v="784.96"/>
  </r>
  <r>
    <n v="1566"/>
    <s v="Brooke Garcia"/>
    <x v="1"/>
    <x v="1"/>
    <x v="0"/>
    <n v="1696.72"/>
    <n v="0.51"/>
    <x v="363"/>
    <x v="297"/>
    <x v="1"/>
    <x v="1"/>
    <n v="3325.5711999999999"/>
    <n v="953.07"/>
  </r>
  <r>
    <n v="1567"/>
    <s v="Andre Stone"/>
    <x v="3"/>
    <x v="3"/>
    <x v="3"/>
    <n v="2515.415"/>
    <n v="0.51"/>
    <x v="11"/>
    <x v="4"/>
    <x v="4"/>
    <x v="1"/>
    <n v="3697.66005"/>
    <n v="2545.25"/>
  </r>
  <r>
    <n v="1568"/>
    <s v="Toni Marquez"/>
    <x v="0"/>
    <x v="20"/>
    <x v="5"/>
    <n v="2750.33"/>
    <n v="0.51"/>
    <x v="316"/>
    <x v="4"/>
    <x v="0"/>
    <x v="0"/>
    <n v="8085.9701999999997"/>
    <n v="2403.0100000000002"/>
  </r>
  <r>
    <n v="1569"/>
    <s v="David Weaver"/>
    <x v="5"/>
    <x v="11"/>
    <x v="1"/>
    <n v="2731.6350000000002"/>
    <n v="0.02"/>
    <x v="271"/>
    <x v="35"/>
    <x v="1"/>
    <x v="1"/>
    <n v="2677.0023000000001"/>
    <n v="576.66"/>
  </r>
  <r>
    <n v="1570"/>
    <s v="William Aguilar"/>
    <x v="1"/>
    <x v="22"/>
    <x v="1"/>
    <n v="4774.7700000000004"/>
    <n v="0.96"/>
    <x v="364"/>
    <x v="181"/>
    <x v="2"/>
    <x v="0"/>
    <n v="190.99080000000018"/>
    <n v="-146.16999999999999"/>
  </r>
  <r>
    <n v="1571"/>
    <s v="William James"/>
    <x v="1"/>
    <x v="18"/>
    <x v="3"/>
    <n v="1308.06"/>
    <n v="0.51"/>
    <x v="365"/>
    <x v="4"/>
    <x v="5"/>
    <x v="0"/>
    <n v="1922.8481999999999"/>
    <n v="-246.91"/>
  </r>
  <r>
    <n v="1572"/>
    <s v="Ross Taylor"/>
    <x v="1"/>
    <x v="22"/>
    <x v="0"/>
    <n v="2752.99"/>
    <n v="0.82"/>
    <x v="366"/>
    <x v="16"/>
    <x v="0"/>
    <x v="1"/>
    <n v="1982.1528000000003"/>
    <n v="534.6"/>
  </r>
  <r>
    <n v="1573"/>
    <s v="Jeff Weaver"/>
    <x v="0"/>
    <x v="20"/>
    <x v="4"/>
    <n v="3972.78"/>
    <n v="0.51"/>
    <x v="367"/>
    <x v="298"/>
    <x v="4"/>
    <x v="1"/>
    <n v="9733.3109999999997"/>
    <n v="-902.58"/>
  </r>
  <r>
    <n v="1574"/>
    <s v="Megan Rodriguez"/>
    <x v="3"/>
    <x v="3"/>
    <x v="3"/>
    <n v="2515.415"/>
    <n v="0.51"/>
    <x v="11"/>
    <x v="299"/>
    <x v="1"/>
    <x v="1"/>
    <n v="3697.66005"/>
    <n v="-803.35"/>
  </r>
  <r>
    <n v="1575"/>
    <s v="Aaron Patel"/>
    <x v="4"/>
    <x v="16"/>
    <x v="0"/>
    <n v="615.07000000000005"/>
    <n v="0.51"/>
    <x v="368"/>
    <x v="110"/>
    <x v="1"/>
    <x v="1"/>
    <n v="1205.5372"/>
    <n v="638.16"/>
  </r>
  <r>
    <n v="1576"/>
    <s v="Rick Moran"/>
    <x v="1"/>
    <x v="18"/>
    <x v="1"/>
    <n v="1882.14"/>
    <n v="0.6"/>
    <x v="369"/>
    <x v="300"/>
    <x v="1"/>
    <x v="1"/>
    <n v="752.85600000000011"/>
    <n v="188.21400000000003"/>
  </r>
  <r>
    <n v="1010"/>
    <s v="Dalton Logan"/>
    <x v="5"/>
    <x v="6"/>
    <x v="2"/>
    <n v="3134.69"/>
    <n v="7.0000000000000007E-2"/>
    <x v="370"/>
    <x v="4"/>
    <x v="0"/>
    <x v="1"/>
    <n v="5830.5234"/>
    <n v="555.44000000000005"/>
  </r>
  <r>
    <n v="1578"/>
    <s v="Lauren Pearson"/>
    <x v="5"/>
    <x v="11"/>
    <x v="3"/>
    <n v="2731.6350000000002"/>
    <n v="0.51"/>
    <x v="60"/>
    <x v="175"/>
    <x v="3"/>
    <x v="0"/>
    <n v="4015.5034500000002"/>
    <n v="2604.12"/>
  </r>
  <r>
    <n v="1579"/>
    <s v="Wesley Harper"/>
    <x v="2"/>
    <x v="17"/>
    <x v="3"/>
    <n v="2385.5749999999998"/>
    <n v="0.51"/>
    <x v="91"/>
    <x v="75"/>
    <x v="4"/>
    <x v="1"/>
    <n v="3506.7952499999997"/>
    <n v="-155.77000000000001"/>
  </r>
  <r>
    <n v="1580"/>
    <s v="Faith Ray"/>
    <x v="5"/>
    <x v="12"/>
    <x v="3"/>
    <n v="2765.26"/>
    <n v="0.51"/>
    <x v="19"/>
    <x v="301"/>
    <x v="4"/>
    <x v="1"/>
    <n v="4064.9322000000002"/>
    <n v="-364.57"/>
  </r>
  <r>
    <n v="1581"/>
    <s v="Donald Brown"/>
    <x v="0"/>
    <x v="9"/>
    <x v="0"/>
    <n v="2891.64"/>
    <n v="0.51"/>
    <x v="12"/>
    <x v="74"/>
    <x v="0"/>
    <x v="1"/>
    <n v="5667.6143999999995"/>
    <n v="1109.06"/>
  </r>
  <r>
    <n v="1582"/>
    <s v="David Noble"/>
    <x v="0"/>
    <x v="0"/>
    <x v="1"/>
    <n v="4809.8999999999996"/>
    <n v="0.92"/>
    <x v="371"/>
    <x v="133"/>
    <x v="2"/>
    <x v="1"/>
    <n v="384.7919999999998"/>
    <n v="-356.01"/>
  </r>
  <r>
    <n v="1583"/>
    <s v="Anthony Calhoun"/>
    <x v="5"/>
    <x v="6"/>
    <x v="0"/>
    <n v="2975.64"/>
    <n v="0.51"/>
    <x v="61"/>
    <x v="302"/>
    <x v="5"/>
    <x v="1"/>
    <n v="5832.2543999999998"/>
    <n v="829.03"/>
  </r>
  <r>
    <n v="1584"/>
    <s v="Bryan Hughes"/>
    <x v="5"/>
    <x v="19"/>
    <x v="4"/>
    <n v="2889.5349999999999"/>
    <n v="0.15"/>
    <x v="372"/>
    <x v="116"/>
    <x v="1"/>
    <x v="1"/>
    <n v="12280.523749999998"/>
    <n v="2853.8"/>
  </r>
  <r>
    <n v="1585"/>
    <s v="Tina Keith"/>
    <x v="2"/>
    <x v="10"/>
    <x v="0"/>
    <n v="2738.72"/>
    <n v="0.89"/>
    <x v="373"/>
    <x v="103"/>
    <x v="0"/>
    <x v="1"/>
    <n v="1205.0367999999999"/>
    <n v="-709.13"/>
  </r>
  <r>
    <n v="1586"/>
    <s v="Scott Carroll"/>
    <x v="2"/>
    <x v="2"/>
    <x v="0"/>
    <n v="2933.45"/>
    <n v="0.78"/>
    <x v="13"/>
    <x v="187"/>
    <x v="5"/>
    <x v="1"/>
    <n v="2581.4359999999997"/>
    <n v="1765.79"/>
  </r>
  <r>
    <n v="1587"/>
    <s v="Leslie Jones"/>
    <x v="2"/>
    <x v="2"/>
    <x v="0"/>
    <n v="2933.45"/>
    <n v="0.51"/>
    <x v="13"/>
    <x v="4"/>
    <x v="2"/>
    <x v="0"/>
    <n v="5749.5619999999999"/>
    <n v="1376.9"/>
  </r>
  <r>
    <n v="1588"/>
    <s v="Amanda Wilkinson"/>
    <x v="3"/>
    <x v="7"/>
    <x v="1"/>
    <n v="2577.6350000000002"/>
    <n v="0.51"/>
    <x v="245"/>
    <x v="303"/>
    <x v="0"/>
    <x v="1"/>
    <n v="1263.04115"/>
    <n v="526.32000000000005"/>
  </r>
  <r>
    <n v="1589"/>
    <s v="Scott Davis"/>
    <x v="2"/>
    <x v="2"/>
    <x v="0"/>
    <n v="527.07000000000005"/>
    <n v="0.45"/>
    <x v="374"/>
    <x v="4"/>
    <x v="2"/>
    <x v="0"/>
    <n v="1159.5540000000003"/>
    <n v="289.88850000000008"/>
  </r>
  <r>
    <n v="1590"/>
    <s v="Jesse Kennedy"/>
    <x v="5"/>
    <x v="11"/>
    <x v="5"/>
    <n v="2731.6350000000002"/>
    <n v="0.67"/>
    <x v="169"/>
    <x v="4"/>
    <x v="3"/>
    <x v="1"/>
    <n v="5408.6372999999994"/>
    <n v="-104.43"/>
  </r>
  <r>
    <n v="1591"/>
    <s v="Bradley Lewis"/>
    <x v="4"/>
    <x v="16"/>
    <x v="0"/>
    <n v="2599.75"/>
    <n v="0.51"/>
    <x v="42"/>
    <x v="304"/>
    <x v="2"/>
    <x v="1"/>
    <n v="5095.51"/>
    <n v="158.05000000000001"/>
  </r>
  <r>
    <n v="1592"/>
    <s v="Casey Sparks"/>
    <x v="2"/>
    <x v="10"/>
    <x v="4"/>
    <n v="2666.2200000000003"/>
    <n v="0.52"/>
    <x v="375"/>
    <x v="81"/>
    <x v="2"/>
    <x v="1"/>
    <n v="6398.9280000000008"/>
    <n v="619.25"/>
  </r>
  <r>
    <n v="1593"/>
    <s v="Kristen Hernandez"/>
    <x v="4"/>
    <x v="16"/>
    <x v="0"/>
    <n v="2599.75"/>
    <n v="0.51"/>
    <x v="42"/>
    <x v="305"/>
    <x v="2"/>
    <x v="1"/>
    <n v="5095.51"/>
    <n v="2598.9299999999998"/>
  </r>
  <r>
    <n v="1594"/>
    <s v="Patrick Garza"/>
    <x v="0"/>
    <x v="9"/>
    <x v="0"/>
    <n v="3784.99"/>
    <n v="0.51"/>
    <x v="376"/>
    <x v="4"/>
    <x v="3"/>
    <x v="1"/>
    <n v="7418.5803999999998"/>
    <n v="346.37"/>
  </r>
  <r>
    <n v="1595"/>
    <s v="Ronald Mcdaniel"/>
    <x v="5"/>
    <x v="19"/>
    <x v="0"/>
    <n v="2889.5349999999999"/>
    <n v="0.51"/>
    <x v="36"/>
    <x v="7"/>
    <x v="2"/>
    <x v="0"/>
    <n v="5663.4885999999997"/>
    <n v="1483.7"/>
  </r>
  <r>
    <n v="1596"/>
    <s v="Mark Campbell"/>
    <x v="1"/>
    <x v="1"/>
    <x v="3"/>
    <n v="738.29"/>
    <n v="0.51"/>
    <x v="377"/>
    <x v="167"/>
    <x v="1"/>
    <x v="1"/>
    <n v="1085.2863"/>
    <n v="-871.38"/>
  </r>
  <r>
    <n v="1597"/>
    <s v="Linda Ross"/>
    <x v="4"/>
    <x v="4"/>
    <x v="1"/>
    <n v="657.51"/>
    <n v="0.77"/>
    <x v="378"/>
    <x v="187"/>
    <x v="0"/>
    <x v="0"/>
    <n v="151.22729999999999"/>
    <n v="37.806824999999996"/>
  </r>
  <r>
    <n v="1598"/>
    <s v="Amanda Wilson"/>
    <x v="1"/>
    <x v="18"/>
    <x v="3"/>
    <n v="3311.31"/>
    <n v="0.51"/>
    <x v="379"/>
    <x v="4"/>
    <x v="5"/>
    <x v="1"/>
    <n v="4867.6257000000005"/>
    <n v="2944.25"/>
  </r>
  <r>
    <n v="1599"/>
    <s v="Jeffery Elliott"/>
    <x v="1"/>
    <x v="15"/>
    <x v="3"/>
    <n v="2229.4899999999998"/>
    <n v="0.51"/>
    <x v="30"/>
    <x v="306"/>
    <x v="2"/>
    <x v="1"/>
    <n v="3277.3502999999996"/>
    <n v="790.51"/>
  </r>
  <r>
    <n v="1600"/>
    <s v="Sonya Burke"/>
    <x v="3"/>
    <x v="21"/>
    <x v="0"/>
    <n v="2785.79"/>
    <n v="0.51"/>
    <x v="110"/>
    <x v="307"/>
    <x v="1"/>
    <x v="1"/>
    <n v="5460.1484"/>
    <n v="-605.05999999999995"/>
  </r>
  <r>
    <n v="1601"/>
    <s v="Samuel Cortez"/>
    <x v="3"/>
    <x v="3"/>
    <x v="3"/>
    <n v="2515.415"/>
    <n v="0.51"/>
    <x v="11"/>
    <x v="82"/>
    <x v="2"/>
    <x v="1"/>
    <n v="3697.66005"/>
    <n v="1282.26"/>
  </r>
  <r>
    <n v="1602"/>
    <s v="Scott Lewis"/>
    <x v="5"/>
    <x v="12"/>
    <x v="3"/>
    <n v="4256.43"/>
    <n v="0.51"/>
    <x v="380"/>
    <x v="8"/>
    <x v="3"/>
    <x v="1"/>
    <n v="6256.9521000000004"/>
    <n v="2472.73"/>
  </r>
  <r>
    <n v="1603"/>
    <s v="Lisa Carter"/>
    <x v="1"/>
    <x v="15"/>
    <x v="3"/>
    <n v="2229.4899999999998"/>
    <n v="0.51"/>
    <x v="30"/>
    <x v="4"/>
    <x v="1"/>
    <x v="1"/>
    <n v="3277.3502999999996"/>
    <n v="2700.72"/>
  </r>
  <r>
    <n v="1604"/>
    <s v="Gloria Phillips"/>
    <x v="4"/>
    <x v="16"/>
    <x v="0"/>
    <n v="2599.75"/>
    <n v="0.51"/>
    <x v="42"/>
    <x v="308"/>
    <x v="3"/>
    <x v="1"/>
    <n v="5095.51"/>
    <n v="2976.74"/>
  </r>
  <r>
    <n v="1605"/>
    <s v="Michele Ortiz"/>
    <x v="3"/>
    <x v="21"/>
    <x v="0"/>
    <n v="2785.79"/>
    <n v="0.47"/>
    <x v="110"/>
    <x v="62"/>
    <x v="4"/>
    <x v="0"/>
    <n v="5905.8748000000005"/>
    <n v="-339.59"/>
  </r>
  <r>
    <n v="1606"/>
    <s v="Jeremy Dickson"/>
    <x v="4"/>
    <x v="16"/>
    <x v="5"/>
    <n v="2599.75"/>
    <n v="0.51"/>
    <x v="381"/>
    <x v="174"/>
    <x v="0"/>
    <x v="1"/>
    <n v="7643.2649999999994"/>
    <n v="-527.17999999999995"/>
  </r>
  <r>
    <n v="1607"/>
    <s v="Matthew Marshall"/>
    <x v="2"/>
    <x v="2"/>
    <x v="0"/>
    <n v="4941.2700000000004"/>
    <n v="0.51"/>
    <x v="382"/>
    <x v="309"/>
    <x v="0"/>
    <x v="0"/>
    <n v="9684.8892000000014"/>
    <n v="515.05999999999995"/>
  </r>
  <r>
    <n v="1608"/>
    <s v="Lindsay Sanchez"/>
    <x v="2"/>
    <x v="13"/>
    <x v="3"/>
    <n v="3536.61"/>
    <n v="0.79"/>
    <x v="383"/>
    <x v="256"/>
    <x v="2"/>
    <x v="0"/>
    <n v="2228.0642999999995"/>
    <n v="-55.01"/>
  </r>
  <r>
    <n v="1609"/>
    <s v="Brian Flores"/>
    <x v="2"/>
    <x v="2"/>
    <x v="0"/>
    <n v="2933.45"/>
    <n v="0.51"/>
    <x v="13"/>
    <x v="96"/>
    <x v="4"/>
    <x v="0"/>
    <n v="5749.5619999999999"/>
    <n v="-939.39"/>
  </r>
  <r>
    <n v="1610"/>
    <s v="Chase Torres"/>
    <x v="0"/>
    <x v="9"/>
    <x v="4"/>
    <n v="2891.64"/>
    <n v="0.51"/>
    <x v="41"/>
    <x v="182"/>
    <x v="4"/>
    <x v="1"/>
    <n v="7084.5179999999991"/>
    <n v="-361.65"/>
  </r>
  <r>
    <n v="1611"/>
    <s v="Victor Acosta"/>
    <x v="4"/>
    <x v="16"/>
    <x v="0"/>
    <n v="2599.75"/>
    <n v="0.51"/>
    <x v="42"/>
    <x v="100"/>
    <x v="0"/>
    <x v="1"/>
    <n v="5095.51"/>
    <n v="-351.41"/>
  </r>
  <r>
    <n v="1612"/>
    <s v="Stephanie Ferguson"/>
    <x v="1"/>
    <x v="1"/>
    <x v="4"/>
    <n v="1010.24"/>
    <n v="0.51"/>
    <x v="384"/>
    <x v="310"/>
    <x v="5"/>
    <x v="1"/>
    <n v="2475.0879999999997"/>
    <n v="2174.98"/>
  </r>
  <r>
    <n v="1613"/>
    <s v="Anna Valdez"/>
    <x v="3"/>
    <x v="21"/>
    <x v="1"/>
    <n v="1575.26"/>
    <n v="0.51"/>
    <x v="385"/>
    <x v="311"/>
    <x v="0"/>
    <x v="0"/>
    <n v="771.87739999999997"/>
    <n v="-641.72"/>
  </r>
  <r>
    <n v="1614"/>
    <s v="Robert Ingram"/>
    <x v="3"/>
    <x v="7"/>
    <x v="3"/>
    <n v="2577.6350000000002"/>
    <n v="0.51"/>
    <x v="8"/>
    <x v="120"/>
    <x v="2"/>
    <x v="1"/>
    <n v="3789.12345"/>
    <n v="319.85000000000002"/>
  </r>
  <r>
    <n v="1615"/>
    <s v="Joel Fitzpatrick"/>
    <x v="5"/>
    <x v="6"/>
    <x v="5"/>
    <n v="4962.7"/>
    <n v="0.02"/>
    <x v="386"/>
    <x v="312"/>
    <x v="4"/>
    <x v="0"/>
    <n v="29180.675999999996"/>
    <n v="61.6"/>
  </r>
  <r>
    <n v="1616"/>
    <s v="Louis Owens"/>
    <x v="2"/>
    <x v="2"/>
    <x v="0"/>
    <n v="4443.82"/>
    <n v="0.51"/>
    <x v="387"/>
    <x v="313"/>
    <x v="3"/>
    <x v="0"/>
    <n v="8709.8871999999992"/>
    <n v="1611.45"/>
  </r>
  <r>
    <n v="1617"/>
    <s v="Shelby Alvarez"/>
    <x v="0"/>
    <x v="5"/>
    <x v="3"/>
    <n v="1144.47"/>
    <n v="0.51"/>
    <x v="388"/>
    <x v="314"/>
    <x v="5"/>
    <x v="0"/>
    <n v="1682.3708999999999"/>
    <n v="-863.76"/>
  </r>
  <r>
    <n v="1618"/>
    <s v="Leslie Morton"/>
    <x v="5"/>
    <x v="12"/>
    <x v="3"/>
    <n v="2765.26"/>
    <n v="0.85"/>
    <x v="19"/>
    <x v="315"/>
    <x v="2"/>
    <x v="1"/>
    <n v="1244.3670000000002"/>
    <n v="311.09175000000005"/>
  </r>
  <r>
    <n v="1619"/>
    <s v="Anne Johnson"/>
    <x v="0"/>
    <x v="9"/>
    <x v="0"/>
    <n v="1470.99"/>
    <n v="0.7"/>
    <x v="389"/>
    <x v="316"/>
    <x v="3"/>
    <x v="1"/>
    <n v="1765.1880000000003"/>
    <n v="-668.13"/>
  </r>
  <r>
    <n v="1620"/>
    <s v="John Garcia"/>
    <x v="5"/>
    <x v="11"/>
    <x v="5"/>
    <n v="2731.6350000000002"/>
    <n v="0.51"/>
    <x v="169"/>
    <x v="268"/>
    <x v="0"/>
    <x v="1"/>
    <n v="8031.0069000000003"/>
    <n v="1796.21"/>
  </r>
  <r>
    <n v="1621"/>
    <s v="Scott Webb"/>
    <x v="4"/>
    <x v="14"/>
    <x v="5"/>
    <n v="639.66999999999996"/>
    <n v="0.51"/>
    <x v="390"/>
    <x v="133"/>
    <x v="4"/>
    <x v="1"/>
    <n v="1880.6297999999997"/>
    <n v="1599.1"/>
  </r>
  <r>
    <n v="1622"/>
    <s v="Sarah Griffin"/>
    <x v="2"/>
    <x v="13"/>
    <x v="1"/>
    <n v="2538.0450000000001"/>
    <n v="0.51"/>
    <x v="108"/>
    <x v="4"/>
    <x v="3"/>
    <x v="0"/>
    <n v="1243.6420499999999"/>
    <n v="-880.92"/>
  </r>
  <r>
    <n v="1033"/>
    <s v="Kimberly Gomez"/>
    <x v="4"/>
    <x v="14"/>
    <x v="0"/>
    <n v="3369.55"/>
    <n v="0.51"/>
    <x v="391"/>
    <x v="51"/>
    <x v="5"/>
    <x v="0"/>
    <n v="6604.3180000000002"/>
    <n v="1927.24"/>
  </r>
  <r>
    <n v="1624"/>
    <s v="Mark Mendoza"/>
    <x v="0"/>
    <x v="0"/>
    <x v="4"/>
    <n v="977.2"/>
    <n v="0.51"/>
    <x v="392"/>
    <x v="4"/>
    <x v="5"/>
    <x v="1"/>
    <n v="2394.14"/>
    <n v="1003.06"/>
  </r>
  <r>
    <n v="1625"/>
    <s v="Edwin Brennan"/>
    <x v="3"/>
    <x v="21"/>
    <x v="0"/>
    <n v="735.97"/>
    <n v="0.26"/>
    <x v="393"/>
    <x v="173"/>
    <x v="0"/>
    <x v="1"/>
    <n v="2178.4712"/>
    <n v="1690.22"/>
  </r>
  <r>
    <n v="1626"/>
    <s v="Jennifer Olsen"/>
    <x v="5"/>
    <x v="11"/>
    <x v="3"/>
    <n v="4695.1499999999996"/>
    <n v="0.51"/>
    <x v="394"/>
    <x v="4"/>
    <x v="5"/>
    <x v="0"/>
    <n v="6901.8704999999991"/>
    <n v="1584.44"/>
  </r>
  <r>
    <n v="1004"/>
    <s v="Heather Gordon"/>
    <x v="0"/>
    <x v="20"/>
    <x v="5"/>
    <n v="987.35"/>
    <n v="0.51"/>
    <x v="395"/>
    <x v="151"/>
    <x v="2"/>
    <x v="1"/>
    <n v="2902.8090000000002"/>
    <n v="-108.36"/>
  </r>
  <r>
    <n v="1628"/>
    <s v="Gary Simon"/>
    <x v="5"/>
    <x v="19"/>
    <x v="1"/>
    <n v="3345.58"/>
    <n v="0.26"/>
    <x v="396"/>
    <x v="317"/>
    <x v="4"/>
    <x v="1"/>
    <n v="2475.7291999999998"/>
    <n v="2274.54"/>
  </r>
  <r>
    <n v="1629"/>
    <s v="Dr. Daniel Sanchez"/>
    <x v="2"/>
    <x v="17"/>
    <x v="3"/>
    <n v="829.14"/>
    <n v="0.51"/>
    <x v="397"/>
    <x v="4"/>
    <x v="1"/>
    <x v="0"/>
    <n v="1218.8358000000001"/>
    <n v="304.70895000000002"/>
  </r>
  <r>
    <n v="1630"/>
    <s v="Taylor Duran"/>
    <x v="0"/>
    <x v="20"/>
    <x v="4"/>
    <n v="2393.14"/>
    <n v="1"/>
    <x v="398"/>
    <x v="318"/>
    <x v="3"/>
    <x v="1"/>
    <n v="0"/>
    <n v="0"/>
  </r>
  <r>
    <n v="1631"/>
    <s v="Michelle French"/>
    <x v="5"/>
    <x v="6"/>
    <x v="0"/>
    <n v="2975.64"/>
    <n v="0.51"/>
    <x v="61"/>
    <x v="271"/>
    <x v="4"/>
    <x v="0"/>
    <n v="5832.2543999999998"/>
    <n v="186.7"/>
  </r>
  <r>
    <n v="1632"/>
    <s v="Wesley Brown"/>
    <x v="1"/>
    <x v="15"/>
    <x v="3"/>
    <n v="2618.69"/>
    <n v="0.11"/>
    <x v="399"/>
    <x v="105"/>
    <x v="5"/>
    <x v="0"/>
    <n v="6991.9022999999997"/>
    <n v="130.88999999999999"/>
  </r>
  <r>
    <n v="1633"/>
    <s v="Ryan Taylor"/>
    <x v="1"/>
    <x v="15"/>
    <x v="3"/>
    <n v="4599.41"/>
    <n v="0.51"/>
    <x v="400"/>
    <x v="173"/>
    <x v="0"/>
    <x v="1"/>
    <n v="6761.1327000000001"/>
    <n v="182.46"/>
  </r>
  <r>
    <n v="1634"/>
    <s v="Catherine Brock"/>
    <x v="1"/>
    <x v="1"/>
    <x v="0"/>
    <n v="2579.8000000000002"/>
    <n v="0.51"/>
    <x v="22"/>
    <x v="71"/>
    <x v="1"/>
    <x v="1"/>
    <n v="5056.4080000000004"/>
    <n v="108.15"/>
  </r>
  <r>
    <n v="1635"/>
    <s v="David Stuart"/>
    <x v="3"/>
    <x v="23"/>
    <x v="6"/>
    <n v="2338.04"/>
    <n v="0.51"/>
    <x v="171"/>
    <x v="319"/>
    <x v="0"/>
    <x v="0"/>
    <n v="4009.7385999999997"/>
    <n v="857.97"/>
  </r>
  <r>
    <n v="1636"/>
    <s v="Ryan Griffin"/>
    <x v="1"/>
    <x v="18"/>
    <x v="3"/>
    <n v="2537.59"/>
    <n v="0.51"/>
    <x v="35"/>
    <x v="142"/>
    <x v="5"/>
    <x v="0"/>
    <n v="3730.2573000000002"/>
    <n v="2569.59"/>
  </r>
  <r>
    <n v="1637"/>
    <s v="Mr. Nicholas Reed"/>
    <x v="2"/>
    <x v="13"/>
    <x v="0"/>
    <n v="2644.73"/>
    <n v="0.51"/>
    <x v="401"/>
    <x v="4"/>
    <x v="0"/>
    <x v="1"/>
    <n v="5183.6707999999999"/>
    <n v="1402.25"/>
  </r>
  <r>
    <n v="1638"/>
    <s v="Michael Smith"/>
    <x v="0"/>
    <x v="5"/>
    <x v="3"/>
    <n v="3008.6549999999997"/>
    <n v="0.54"/>
    <x v="44"/>
    <x v="206"/>
    <x v="2"/>
    <x v="1"/>
    <n v="4151.9438999999993"/>
    <n v="2346.2199999999998"/>
  </r>
  <r>
    <n v="1639"/>
    <s v="Jimmy Evans"/>
    <x v="0"/>
    <x v="5"/>
    <x v="3"/>
    <n v="4183.22"/>
    <n v="0.51"/>
    <x v="402"/>
    <x v="320"/>
    <x v="3"/>
    <x v="1"/>
    <n v="6149.3333999999995"/>
    <n v="532.80999999999995"/>
  </r>
  <r>
    <n v="1640"/>
    <s v="Matthew Moses"/>
    <x v="3"/>
    <x v="3"/>
    <x v="3"/>
    <n v="2515.415"/>
    <n v="0.51"/>
    <x v="11"/>
    <x v="61"/>
    <x v="5"/>
    <x v="0"/>
    <n v="3697.66005"/>
    <n v="1823.75"/>
  </r>
  <r>
    <n v="1641"/>
    <s v="Heather Mitchell"/>
    <x v="3"/>
    <x v="23"/>
    <x v="6"/>
    <n v="1278.98"/>
    <n v="0.54"/>
    <x v="403"/>
    <x v="301"/>
    <x v="1"/>
    <x v="0"/>
    <n v="2059.1578"/>
    <n v="34.99"/>
  </r>
  <r>
    <n v="1642"/>
    <s v="Martha Lynch"/>
    <x v="1"/>
    <x v="18"/>
    <x v="3"/>
    <n v="2537.59"/>
    <n v="0.51"/>
    <x v="35"/>
    <x v="150"/>
    <x v="4"/>
    <x v="0"/>
    <n v="3730.2573000000002"/>
    <n v="2906.72"/>
  </r>
  <r>
    <n v="1643"/>
    <s v="Alyssa Zhang"/>
    <x v="2"/>
    <x v="17"/>
    <x v="3"/>
    <n v="2385.5749999999998"/>
    <n v="0.35"/>
    <x v="91"/>
    <x v="321"/>
    <x v="3"/>
    <x v="1"/>
    <n v="4651.8712500000001"/>
    <n v="2589.4299999999998"/>
  </r>
  <r>
    <n v="1644"/>
    <s v="Thomas Tanner"/>
    <x v="5"/>
    <x v="12"/>
    <x v="3"/>
    <n v="2765.26"/>
    <n v="0.51"/>
    <x v="19"/>
    <x v="4"/>
    <x v="4"/>
    <x v="0"/>
    <n v="4064.9322000000002"/>
    <n v="1343.06"/>
  </r>
  <r>
    <n v="1645"/>
    <s v="Brian Floyd"/>
    <x v="4"/>
    <x v="14"/>
    <x v="0"/>
    <n v="2660.45"/>
    <n v="0.22"/>
    <x v="404"/>
    <x v="309"/>
    <x v="3"/>
    <x v="1"/>
    <n v="8300.6039999999994"/>
    <n v="-825.82"/>
  </r>
  <r>
    <n v="1646"/>
    <s v="Cody Mahoney"/>
    <x v="0"/>
    <x v="20"/>
    <x v="4"/>
    <n v="3393.47"/>
    <n v="0.38"/>
    <x v="405"/>
    <x v="322"/>
    <x v="1"/>
    <x v="1"/>
    <n v="10519.757"/>
    <n v="925.07"/>
  </r>
  <r>
    <n v="1647"/>
    <s v="Katherine Moore"/>
    <x v="2"/>
    <x v="17"/>
    <x v="3"/>
    <n v="498.95"/>
    <n v="0.51"/>
    <x v="406"/>
    <x v="162"/>
    <x v="2"/>
    <x v="0"/>
    <n v="733.45649999999989"/>
    <n v="-433.87"/>
  </r>
  <r>
    <n v="1648"/>
    <s v="Tracy Frey"/>
    <x v="1"/>
    <x v="15"/>
    <x v="3"/>
    <n v="2229.4899999999998"/>
    <n v="0.51"/>
    <x v="30"/>
    <x v="111"/>
    <x v="2"/>
    <x v="1"/>
    <n v="3277.3502999999996"/>
    <n v="-952.5"/>
  </r>
  <r>
    <n v="1649"/>
    <s v="Amy Wood"/>
    <x v="2"/>
    <x v="17"/>
    <x v="3"/>
    <n v="2385.5749999999998"/>
    <n v="0.06"/>
    <x v="91"/>
    <x v="106"/>
    <x v="4"/>
    <x v="1"/>
    <n v="6727.3214999999991"/>
    <n v="-640.58000000000004"/>
  </r>
  <r>
    <n v="1650"/>
    <s v="Anne Hall"/>
    <x v="5"/>
    <x v="12"/>
    <x v="2"/>
    <n v="2765.26"/>
    <n v="0.96"/>
    <x v="407"/>
    <x v="198"/>
    <x v="2"/>
    <x v="1"/>
    <n v="221.22080000000022"/>
    <n v="55.305200000000056"/>
  </r>
  <r>
    <n v="1651"/>
    <s v="Jennifer White MD"/>
    <x v="2"/>
    <x v="10"/>
    <x v="3"/>
    <n v="2666.2200000000003"/>
    <n v="0.05"/>
    <x v="408"/>
    <x v="4"/>
    <x v="2"/>
    <x v="1"/>
    <n v="7598.7270000000008"/>
    <n v="-551.78"/>
  </r>
  <r>
    <n v="1652"/>
    <s v="Richard Hayes"/>
    <x v="5"/>
    <x v="11"/>
    <x v="3"/>
    <n v="2375.56"/>
    <n v="0.59"/>
    <x v="409"/>
    <x v="4"/>
    <x v="4"/>
    <x v="1"/>
    <n v="2921.9388000000004"/>
    <n v="2699.88"/>
  </r>
  <r>
    <n v="1653"/>
    <s v="Benjamin Johnson"/>
    <x v="1"/>
    <x v="18"/>
    <x v="3"/>
    <n v="2563.6"/>
    <n v="0.88"/>
    <x v="410"/>
    <x v="323"/>
    <x v="2"/>
    <x v="1"/>
    <n v="922.89599999999984"/>
    <n v="516.95000000000005"/>
  </r>
  <r>
    <n v="1654"/>
    <s v="Andrew Clark"/>
    <x v="3"/>
    <x v="23"/>
    <x v="1"/>
    <n v="2338.04"/>
    <n v="0.51"/>
    <x v="411"/>
    <x v="324"/>
    <x v="1"/>
    <x v="1"/>
    <n v="1145.6396"/>
    <n v="286.40989999999999"/>
  </r>
  <r>
    <n v="1655"/>
    <s v="Anthony Kent"/>
    <x v="0"/>
    <x v="5"/>
    <x v="4"/>
    <n v="1385.86"/>
    <n v="0.71"/>
    <x v="412"/>
    <x v="325"/>
    <x v="2"/>
    <x v="0"/>
    <n v="2009.4970000000001"/>
    <n v="1839.94"/>
  </r>
  <r>
    <n v="1656"/>
    <s v="John Lopez"/>
    <x v="2"/>
    <x v="13"/>
    <x v="0"/>
    <n v="2538.0450000000001"/>
    <n v="0.51"/>
    <x v="21"/>
    <x v="4"/>
    <x v="0"/>
    <x v="1"/>
    <n v="4974.5681999999997"/>
    <n v="1872.27"/>
  </r>
  <r>
    <n v="1657"/>
    <s v="Christopher Vargas"/>
    <x v="0"/>
    <x v="20"/>
    <x v="4"/>
    <n v="2750.33"/>
    <n v="0.51"/>
    <x v="52"/>
    <x v="319"/>
    <x v="3"/>
    <x v="1"/>
    <n v="6738.3085000000001"/>
    <n v="2507.9299999999998"/>
  </r>
  <r>
    <n v="1658"/>
    <s v="Ryan Weaver"/>
    <x v="1"/>
    <x v="1"/>
    <x v="0"/>
    <n v="2579.8000000000002"/>
    <n v="0.51"/>
    <x v="22"/>
    <x v="306"/>
    <x v="3"/>
    <x v="1"/>
    <n v="5056.4080000000004"/>
    <n v="2996.16"/>
  </r>
  <r>
    <n v="1659"/>
    <s v="Robert Richards"/>
    <x v="2"/>
    <x v="10"/>
    <x v="0"/>
    <n v="1014.86"/>
    <n v="0.31"/>
    <x v="413"/>
    <x v="4"/>
    <x v="5"/>
    <x v="0"/>
    <n v="2801.0135999999998"/>
    <n v="-379.55"/>
  </r>
  <r>
    <n v="1660"/>
    <s v="Harold Smith"/>
    <x v="0"/>
    <x v="0"/>
    <x v="0"/>
    <n v="2366.6149999999998"/>
    <n v="0.51"/>
    <x v="81"/>
    <x v="135"/>
    <x v="2"/>
    <x v="1"/>
    <n v="4638.5653999999995"/>
    <n v="2345.37"/>
  </r>
  <r>
    <n v="1661"/>
    <s v="Jamie Tucker"/>
    <x v="2"/>
    <x v="17"/>
    <x v="3"/>
    <n v="2385.5749999999998"/>
    <n v="0.51"/>
    <x v="91"/>
    <x v="210"/>
    <x v="3"/>
    <x v="1"/>
    <n v="3506.7952499999997"/>
    <n v="49.2"/>
  </r>
  <r>
    <n v="1662"/>
    <s v="Christine Burton MD"/>
    <x v="3"/>
    <x v="3"/>
    <x v="5"/>
    <n v="2515.415"/>
    <n v="0.96"/>
    <x v="220"/>
    <x v="4"/>
    <x v="1"/>
    <x v="0"/>
    <n v="603.69960000000049"/>
    <n v="150.92490000000012"/>
  </r>
  <r>
    <n v="1663"/>
    <s v="Miguel Odonnell"/>
    <x v="2"/>
    <x v="2"/>
    <x v="3"/>
    <n v="2933.45"/>
    <n v="0.51"/>
    <x v="414"/>
    <x v="326"/>
    <x v="3"/>
    <x v="1"/>
    <n v="4312.1714999999995"/>
    <n v="2091.5300000000002"/>
  </r>
  <r>
    <n v="1664"/>
    <s v="Keith Martinez"/>
    <x v="2"/>
    <x v="17"/>
    <x v="3"/>
    <n v="2385.5749999999998"/>
    <n v="0.51"/>
    <x v="91"/>
    <x v="25"/>
    <x v="4"/>
    <x v="1"/>
    <n v="3506.7952499999997"/>
    <n v="844.94"/>
  </r>
  <r>
    <n v="1665"/>
    <s v="Christopher Merritt DVM"/>
    <x v="4"/>
    <x v="4"/>
    <x v="0"/>
    <n v="4504.03"/>
    <n v="0.51"/>
    <x v="415"/>
    <x v="123"/>
    <x v="0"/>
    <x v="0"/>
    <n v="8827.898799999999"/>
    <n v="1488.95"/>
  </r>
  <r>
    <n v="1666"/>
    <s v="Hannah Santos"/>
    <x v="0"/>
    <x v="9"/>
    <x v="0"/>
    <n v="973.63"/>
    <n v="0.51"/>
    <x v="416"/>
    <x v="21"/>
    <x v="0"/>
    <x v="0"/>
    <n v="1908.3147999999999"/>
    <n v="-148.66999999999999"/>
  </r>
  <r>
    <n v="1667"/>
    <s v="Taylor Pugh"/>
    <x v="2"/>
    <x v="10"/>
    <x v="0"/>
    <n v="4021"/>
    <n v="0.51"/>
    <x v="417"/>
    <x v="157"/>
    <x v="2"/>
    <x v="1"/>
    <n v="7881.16"/>
    <n v="2323.66"/>
  </r>
  <r>
    <n v="1668"/>
    <s v="Miranda Holland"/>
    <x v="0"/>
    <x v="5"/>
    <x v="3"/>
    <n v="2534.08"/>
    <n v="0.51"/>
    <x v="418"/>
    <x v="13"/>
    <x v="4"/>
    <x v="1"/>
    <n v="3725.0975999999996"/>
    <n v="941.2"/>
  </r>
  <r>
    <n v="1669"/>
    <s v="Brooke Dillon"/>
    <x v="2"/>
    <x v="17"/>
    <x v="3"/>
    <n v="1838.63"/>
    <n v="0.51"/>
    <x v="419"/>
    <x v="4"/>
    <x v="5"/>
    <x v="0"/>
    <n v="2702.7861000000003"/>
    <n v="-524.25"/>
  </r>
  <r>
    <n v="1670"/>
    <s v="Jennifer Scott"/>
    <x v="4"/>
    <x v="14"/>
    <x v="0"/>
    <n v="2765.79"/>
    <n v="0.69"/>
    <x v="25"/>
    <x v="42"/>
    <x v="4"/>
    <x v="1"/>
    <n v="3429.5796000000005"/>
    <n v="462.22"/>
  </r>
  <r>
    <n v="1671"/>
    <s v="Elizabeth Ross"/>
    <x v="0"/>
    <x v="0"/>
    <x v="0"/>
    <n v="4417.34"/>
    <n v="0.51"/>
    <x v="420"/>
    <x v="184"/>
    <x v="1"/>
    <x v="1"/>
    <n v="8657.9863999999998"/>
    <n v="-72.28"/>
  </r>
  <r>
    <n v="1672"/>
    <s v="Paul Krueger"/>
    <x v="3"/>
    <x v="3"/>
    <x v="4"/>
    <n v="2515.415"/>
    <n v="0.51"/>
    <x v="197"/>
    <x v="4"/>
    <x v="0"/>
    <x v="1"/>
    <n v="6162.7667500000007"/>
    <n v="-587.27"/>
  </r>
  <r>
    <n v="1673"/>
    <s v="Sierra Evans"/>
    <x v="3"/>
    <x v="21"/>
    <x v="0"/>
    <n v="3992.21"/>
    <n v="0.67"/>
    <x v="421"/>
    <x v="4"/>
    <x v="2"/>
    <x v="1"/>
    <n v="5269.7171999999991"/>
    <n v="617.12"/>
  </r>
  <r>
    <n v="1674"/>
    <s v="Jonathan Wagner"/>
    <x v="0"/>
    <x v="9"/>
    <x v="0"/>
    <n v="2891.64"/>
    <n v="0.19"/>
    <x v="12"/>
    <x v="275"/>
    <x v="3"/>
    <x v="1"/>
    <n v="9368.9135999999999"/>
    <n v="-680.26"/>
  </r>
  <r>
    <n v="1675"/>
    <s v="Samuel Wiley"/>
    <x v="5"/>
    <x v="6"/>
    <x v="0"/>
    <n v="2975.64"/>
    <n v="0.51"/>
    <x v="61"/>
    <x v="77"/>
    <x v="2"/>
    <x v="0"/>
    <n v="5832.2543999999998"/>
    <n v="340.43"/>
  </r>
  <r>
    <n v="1676"/>
    <s v="Kristine Khan"/>
    <x v="5"/>
    <x v="11"/>
    <x v="3"/>
    <n v="4351.82"/>
    <n v="0.51"/>
    <x v="422"/>
    <x v="4"/>
    <x v="3"/>
    <x v="1"/>
    <n v="6397.1753999999992"/>
    <n v="1818.14"/>
  </r>
  <r>
    <n v="1677"/>
    <s v="Amy Stewart"/>
    <x v="1"/>
    <x v="15"/>
    <x v="3"/>
    <n v="4639.8599999999997"/>
    <n v="0.69"/>
    <x v="423"/>
    <x v="327"/>
    <x v="4"/>
    <x v="1"/>
    <n v="4315.0698000000002"/>
    <n v="1323.79"/>
  </r>
  <r>
    <n v="1048"/>
    <s v="Michael Keller"/>
    <x v="3"/>
    <x v="21"/>
    <x v="0"/>
    <n v="1429.93"/>
    <n v="0.51"/>
    <x v="424"/>
    <x v="328"/>
    <x v="1"/>
    <x v="1"/>
    <n v="2802.6628000000001"/>
    <n v="1844.84"/>
  </r>
  <r>
    <n v="1679"/>
    <s v="Justin Rose"/>
    <x v="4"/>
    <x v="14"/>
    <x v="1"/>
    <n v="4198.5"/>
    <n v="0.51"/>
    <x v="425"/>
    <x v="329"/>
    <x v="5"/>
    <x v="1"/>
    <n v="2057.2649999999999"/>
    <n v="514.31624999999997"/>
  </r>
  <r>
    <n v="1680"/>
    <s v="Ryan Becker"/>
    <x v="0"/>
    <x v="9"/>
    <x v="0"/>
    <n v="2891.64"/>
    <n v="0.51"/>
    <x v="12"/>
    <x v="189"/>
    <x v="1"/>
    <x v="1"/>
    <n v="5667.6143999999995"/>
    <n v="2873.92"/>
  </r>
  <r>
    <n v="1681"/>
    <s v="Jessica Lara"/>
    <x v="5"/>
    <x v="11"/>
    <x v="3"/>
    <n v="2731.6350000000002"/>
    <n v="0.26"/>
    <x v="60"/>
    <x v="330"/>
    <x v="1"/>
    <x v="1"/>
    <n v="6064.2297000000008"/>
    <n v="-579.16"/>
  </r>
  <r>
    <n v="1682"/>
    <s v="Sophia Fischer"/>
    <x v="3"/>
    <x v="7"/>
    <x v="4"/>
    <n v="4307.08"/>
    <n v="0.51"/>
    <x v="426"/>
    <x v="331"/>
    <x v="0"/>
    <x v="0"/>
    <n v="10552.346000000001"/>
    <n v="961.46"/>
  </r>
  <r>
    <n v="1683"/>
    <s v="Tracy Taylor"/>
    <x v="0"/>
    <x v="20"/>
    <x v="4"/>
    <n v="1743.64"/>
    <n v="0.51"/>
    <x v="427"/>
    <x v="4"/>
    <x v="5"/>
    <x v="0"/>
    <n v="4271.9180000000006"/>
    <n v="32.33"/>
  </r>
  <r>
    <n v="1684"/>
    <s v="Mark Silva"/>
    <x v="5"/>
    <x v="11"/>
    <x v="3"/>
    <n v="3537.97"/>
    <n v="0.26"/>
    <x v="428"/>
    <x v="332"/>
    <x v="3"/>
    <x v="1"/>
    <n v="7854.2933999999996"/>
    <n v="1385.75"/>
  </r>
  <r>
    <n v="1685"/>
    <s v="Johnny Berg"/>
    <x v="5"/>
    <x v="19"/>
    <x v="0"/>
    <n v="2889.5349999999999"/>
    <n v="0.51"/>
    <x v="36"/>
    <x v="4"/>
    <x v="4"/>
    <x v="1"/>
    <n v="5663.4885999999997"/>
    <n v="1108.04"/>
  </r>
  <r>
    <n v="1686"/>
    <s v="Christine Cox"/>
    <x v="0"/>
    <x v="5"/>
    <x v="1"/>
    <n v="3008.6549999999997"/>
    <n v="0.06"/>
    <x v="18"/>
    <x v="4"/>
    <x v="5"/>
    <x v="1"/>
    <n v="2828.1356999999998"/>
    <n v="718.58"/>
  </r>
  <r>
    <n v="1687"/>
    <s v="Andrew Harris"/>
    <x v="1"/>
    <x v="18"/>
    <x v="3"/>
    <n v="2537.59"/>
    <n v="0.51"/>
    <x v="35"/>
    <x v="333"/>
    <x v="4"/>
    <x v="1"/>
    <n v="3730.2573000000002"/>
    <n v="1132.23"/>
  </r>
  <r>
    <n v="1688"/>
    <s v="Donna Winters"/>
    <x v="3"/>
    <x v="21"/>
    <x v="0"/>
    <n v="4177.8599999999997"/>
    <n v="0.51"/>
    <x v="429"/>
    <x v="4"/>
    <x v="4"/>
    <x v="1"/>
    <n v="8188.605599999999"/>
    <n v="2610.69"/>
  </r>
  <r>
    <n v="1689"/>
    <s v="Travis Washington"/>
    <x v="4"/>
    <x v="8"/>
    <x v="3"/>
    <n v="1193.48"/>
    <n v="0.51"/>
    <x v="430"/>
    <x v="4"/>
    <x v="5"/>
    <x v="1"/>
    <n v="1754.4156"/>
    <n v="438.60390000000001"/>
  </r>
  <r>
    <n v="1690"/>
    <s v="Mary Tran"/>
    <x v="1"/>
    <x v="1"/>
    <x v="4"/>
    <n v="1941.39"/>
    <n v="0.54"/>
    <x v="431"/>
    <x v="67"/>
    <x v="0"/>
    <x v="0"/>
    <n v="4465.1970000000001"/>
    <n v="206.95"/>
  </r>
  <r>
    <n v="1691"/>
    <s v="Kathryn Hardy"/>
    <x v="2"/>
    <x v="17"/>
    <x v="5"/>
    <n v="2878.51"/>
    <n v="0.51"/>
    <x v="432"/>
    <x v="141"/>
    <x v="2"/>
    <x v="1"/>
    <n v="8462.8194000000003"/>
    <n v="2503.5100000000002"/>
  </r>
  <r>
    <n v="1692"/>
    <s v="Robert Willis"/>
    <x v="4"/>
    <x v="8"/>
    <x v="3"/>
    <n v="2509.38"/>
    <n v="0.67"/>
    <x v="433"/>
    <x v="334"/>
    <x v="1"/>
    <x v="0"/>
    <n v="2484.2862"/>
    <n v="39.25"/>
  </r>
  <r>
    <n v="1693"/>
    <s v="Dylan Townsend"/>
    <x v="1"/>
    <x v="22"/>
    <x v="1"/>
    <n v="2752.99"/>
    <n v="0.51"/>
    <x v="355"/>
    <x v="335"/>
    <x v="3"/>
    <x v="0"/>
    <n v="1348.9650999999999"/>
    <n v="337.24127499999997"/>
  </r>
  <r>
    <n v="1694"/>
    <s v="Kenneth Garcia"/>
    <x v="0"/>
    <x v="5"/>
    <x v="3"/>
    <n v="3008.6549999999997"/>
    <n v="0.51"/>
    <x v="44"/>
    <x v="203"/>
    <x v="4"/>
    <x v="1"/>
    <n v="4422.7228500000001"/>
    <n v="264.60000000000002"/>
  </r>
  <r>
    <n v="1695"/>
    <s v="Lance Gonzales"/>
    <x v="1"/>
    <x v="22"/>
    <x v="6"/>
    <n v="3785.14"/>
    <n v="0.51"/>
    <x v="434"/>
    <x v="4"/>
    <x v="2"/>
    <x v="0"/>
    <n v="6491.5150999999996"/>
    <n v="-982.7"/>
  </r>
  <r>
    <n v="1696"/>
    <s v="Noah Wade"/>
    <x v="2"/>
    <x v="10"/>
    <x v="0"/>
    <n v="532.47"/>
    <n v="0.51"/>
    <x v="435"/>
    <x v="4"/>
    <x v="2"/>
    <x v="1"/>
    <n v="1043.6412"/>
    <n v="666.49"/>
  </r>
  <r>
    <n v="1697"/>
    <s v="Sandra Peterson"/>
    <x v="3"/>
    <x v="3"/>
    <x v="2"/>
    <n v="1758.97"/>
    <n v="0.51"/>
    <x v="436"/>
    <x v="38"/>
    <x v="0"/>
    <x v="1"/>
    <n v="1723.7906"/>
    <n v="430.94765000000001"/>
  </r>
  <r>
    <n v="1698"/>
    <s v="Megan Mays"/>
    <x v="2"/>
    <x v="2"/>
    <x v="0"/>
    <n v="2111.87"/>
    <n v="0.51"/>
    <x v="437"/>
    <x v="336"/>
    <x v="4"/>
    <x v="0"/>
    <n v="4139.2651999999998"/>
    <n v="-621"/>
  </r>
  <r>
    <n v="1699"/>
    <s v="Linda Long"/>
    <x v="2"/>
    <x v="10"/>
    <x v="5"/>
    <n v="701.16"/>
    <n v="0.51"/>
    <x v="438"/>
    <x v="337"/>
    <x v="0"/>
    <x v="0"/>
    <n v="2061.4103999999998"/>
    <n v="515.35259999999994"/>
  </r>
  <r>
    <n v="1700"/>
    <s v="Ronald Arias"/>
    <x v="4"/>
    <x v="8"/>
    <x v="3"/>
    <n v="3332.06"/>
    <n v="0.47"/>
    <x v="439"/>
    <x v="87"/>
    <x v="2"/>
    <x v="1"/>
    <n v="5297.9754000000003"/>
    <n v="1969.67"/>
  </r>
  <r>
    <n v="1701"/>
    <s v="Susan Lambert"/>
    <x v="5"/>
    <x v="12"/>
    <x v="2"/>
    <n v="3402.47"/>
    <n v="0.51"/>
    <x v="440"/>
    <x v="4"/>
    <x v="1"/>
    <x v="1"/>
    <n v="3334.4205999999999"/>
    <n v="1713.45"/>
  </r>
  <r>
    <n v="1702"/>
    <s v="Christopher Patrick"/>
    <x v="2"/>
    <x v="10"/>
    <x v="0"/>
    <n v="792.36"/>
    <n v="0.51"/>
    <x v="441"/>
    <x v="291"/>
    <x v="1"/>
    <x v="1"/>
    <n v="1553.0255999999999"/>
    <n v="990.35"/>
  </r>
  <r>
    <n v="1703"/>
    <s v="Joy Garcia"/>
    <x v="0"/>
    <x v="0"/>
    <x v="0"/>
    <n v="2366.6149999999998"/>
    <n v="0.92"/>
    <x v="81"/>
    <x v="338"/>
    <x v="5"/>
    <x v="1"/>
    <n v="757.3167999999996"/>
    <n v="-96.41"/>
  </r>
  <r>
    <n v="1704"/>
    <s v="Ryan Jordan"/>
    <x v="4"/>
    <x v="14"/>
    <x v="0"/>
    <n v="2765.79"/>
    <n v="0.47"/>
    <x v="25"/>
    <x v="10"/>
    <x v="3"/>
    <x v="1"/>
    <n v="5863.4748"/>
    <n v="2611.36"/>
  </r>
  <r>
    <n v="1705"/>
    <s v="Cynthia Conway"/>
    <x v="2"/>
    <x v="10"/>
    <x v="0"/>
    <n v="4170.76"/>
    <n v="0.51"/>
    <x v="442"/>
    <x v="205"/>
    <x v="3"/>
    <x v="1"/>
    <n v="8174.6896000000006"/>
    <n v="826.76"/>
  </r>
  <r>
    <n v="1706"/>
    <s v="Sarah Thompson"/>
    <x v="1"/>
    <x v="18"/>
    <x v="4"/>
    <n v="4827.8900000000003"/>
    <n v="0.84"/>
    <x v="443"/>
    <x v="4"/>
    <x v="1"/>
    <x v="0"/>
    <n v="3862.3120000000008"/>
    <n v="2824.1"/>
  </r>
  <r>
    <n v="1707"/>
    <s v="Jack Phelps"/>
    <x v="1"/>
    <x v="1"/>
    <x v="5"/>
    <n v="2579.8000000000002"/>
    <n v="0.51"/>
    <x v="297"/>
    <x v="4"/>
    <x v="2"/>
    <x v="1"/>
    <n v="7584.6120000000001"/>
    <n v="1903.2"/>
  </r>
  <r>
    <n v="1708"/>
    <s v="Willie Hodge"/>
    <x v="3"/>
    <x v="7"/>
    <x v="3"/>
    <n v="2577.6350000000002"/>
    <n v="0.55000000000000004"/>
    <x v="8"/>
    <x v="339"/>
    <x v="0"/>
    <x v="1"/>
    <n v="3479.8072499999998"/>
    <n v="1400.39"/>
  </r>
  <r>
    <n v="1709"/>
    <s v="Jerry Carroll"/>
    <x v="1"/>
    <x v="18"/>
    <x v="4"/>
    <n v="1717.79"/>
    <n v="0.51"/>
    <x v="444"/>
    <x v="133"/>
    <x v="1"/>
    <x v="1"/>
    <n v="4208.5855000000001"/>
    <n v="2264.16"/>
  </r>
  <r>
    <n v="1710"/>
    <s v="Michael Allen"/>
    <x v="3"/>
    <x v="21"/>
    <x v="0"/>
    <n v="2785.79"/>
    <n v="0.45"/>
    <x v="110"/>
    <x v="283"/>
    <x v="1"/>
    <x v="0"/>
    <n v="6128.7380000000003"/>
    <n v="-333.46"/>
  </r>
  <r>
    <n v="1711"/>
    <s v="Zachary Phillips"/>
    <x v="3"/>
    <x v="21"/>
    <x v="0"/>
    <n v="2685.92"/>
    <n v="0.51"/>
    <x v="445"/>
    <x v="143"/>
    <x v="5"/>
    <x v="1"/>
    <n v="5264.4031999999997"/>
    <n v="2804.29"/>
  </r>
  <r>
    <n v="1712"/>
    <s v="Ricardo Moran"/>
    <x v="3"/>
    <x v="3"/>
    <x v="3"/>
    <n v="2386.58"/>
    <n v="0.51"/>
    <x v="446"/>
    <x v="42"/>
    <x v="5"/>
    <x v="1"/>
    <n v="3508.2725999999998"/>
    <n v="1879.59"/>
  </r>
  <r>
    <n v="1713"/>
    <s v="Ms. Sheila Ward"/>
    <x v="4"/>
    <x v="16"/>
    <x v="0"/>
    <n v="2599.75"/>
    <n v="0.51"/>
    <x v="42"/>
    <x v="340"/>
    <x v="5"/>
    <x v="0"/>
    <n v="5095.51"/>
    <n v="832.34"/>
  </r>
  <r>
    <n v="1714"/>
    <s v="Stephen Allen"/>
    <x v="4"/>
    <x v="16"/>
    <x v="0"/>
    <n v="2599.75"/>
    <n v="0.51"/>
    <x v="42"/>
    <x v="4"/>
    <x v="4"/>
    <x v="0"/>
    <n v="5095.51"/>
    <n v="-746.03"/>
  </r>
  <r>
    <n v="1715"/>
    <s v="Austin Reilly"/>
    <x v="3"/>
    <x v="21"/>
    <x v="0"/>
    <n v="3863.51"/>
    <n v="0.51"/>
    <x v="447"/>
    <x v="341"/>
    <x v="2"/>
    <x v="0"/>
    <n v="7572.4796000000006"/>
    <n v="-830.55"/>
  </r>
  <r>
    <n v="1716"/>
    <s v="Michael Crawford"/>
    <x v="5"/>
    <x v="6"/>
    <x v="0"/>
    <n v="980.17"/>
    <n v="0.51"/>
    <x v="448"/>
    <x v="342"/>
    <x v="2"/>
    <x v="1"/>
    <n v="1921.1332"/>
    <n v="275.05"/>
  </r>
  <r>
    <n v="1717"/>
    <s v="Marie Nelson"/>
    <x v="4"/>
    <x v="4"/>
    <x v="0"/>
    <n v="1279.2"/>
    <n v="0.27"/>
    <x v="449"/>
    <x v="26"/>
    <x v="0"/>
    <x v="0"/>
    <n v="3735.2640000000001"/>
    <n v="453.7"/>
  </r>
  <r>
    <n v="1718"/>
    <s v="Christina Meyers"/>
    <x v="1"/>
    <x v="18"/>
    <x v="4"/>
    <n v="3988.99"/>
    <n v="0.51"/>
    <x v="450"/>
    <x v="343"/>
    <x v="4"/>
    <x v="0"/>
    <n v="9773.0254999999979"/>
    <n v="1430.08"/>
  </r>
  <r>
    <n v="1719"/>
    <s v="Lisa Vang"/>
    <x v="0"/>
    <x v="5"/>
    <x v="3"/>
    <n v="4407.79"/>
    <n v="0.64"/>
    <x v="451"/>
    <x v="344"/>
    <x v="0"/>
    <x v="1"/>
    <n v="4760.4131999999991"/>
    <n v="1150.06"/>
  </r>
  <r>
    <n v="1720"/>
    <s v="Dylan Armstrong"/>
    <x v="1"/>
    <x v="22"/>
    <x v="3"/>
    <n v="3667.54"/>
    <n v="0.56999999999999995"/>
    <x v="452"/>
    <x v="345"/>
    <x v="1"/>
    <x v="1"/>
    <n v="4731.1266000000005"/>
    <n v="459.43"/>
  </r>
  <r>
    <n v="1721"/>
    <s v="Stephen Berry"/>
    <x v="5"/>
    <x v="12"/>
    <x v="3"/>
    <n v="2765.26"/>
    <n v="0.51"/>
    <x v="19"/>
    <x v="99"/>
    <x v="0"/>
    <x v="0"/>
    <n v="4064.9322000000002"/>
    <n v="788.55"/>
  </r>
  <r>
    <n v="1722"/>
    <s v="David Vincent"/>
    <x v="1"/>
    <x v="15"/>
    <x v="3"/>
    <n v="2229.4899999999998"/>
    <n v="0.85"/>
    <x v="30"/>
    <x v="4"/>
    <x v="2"/>
    <x v="0"/>
    <n v="1003.2705000000001"/>
    <n v="250.81762500000002"/>
  </r>
  <r>
    <n v="1723"/>
    <s v="Mary Singh"/>
    <x v="5"/>
    <x v="19"/>
    <x v="0"/>
    <n v="2889.5349999999999"/>
    <n v="0.2"/>
    <x v="36"/>
    <x v="245"/>
    <x v="1"/>
    <x v="1"/>
    <n v="9246.5120000000006"/>
    <n v="351.59"/>
  </r>
  <r>
    <n v="1724"/>
    <s v="Robin Hughes"/>
    <x v="0"/>
    <x v="20"/>
    <x v="4"/>
    <n v="2047.6"/>
    <n v="0.92"/>
    <x v="453"/>
    <x v="10"/>
    <x v="3"/>
    <x v="1"/>
    <n v="819.03999999999962"/>
    <n v="123.78"/>
  </r>
  <r>
    <n v="1725"/>
    <s v="Jonathan Schmidt"/>
    <x v="5"/>
    <x v="11"/>
    <x v="3"/>
    <n v="671.5"/>
    <n v="0.51"/>
    <x v="454"/>
    <x v="88"/>
    <x v="4"/>
    <x v="1"/>
    <n v="987.10500000000002"/>
    <n v="246.77625"/>
  </r>
  <r>
    <n v="1726"/>
    <s v="Grace Montoya"/>
    <x v="5"/>
    <x v="19"/>
    <x v="4"/>
    <n v="1363.51"/>
    <n v="0.51"/>
    <x v="455"/>
    <x v="346"/>
    <x v="3"/>
    <x v="0"/>
    <n v="3340.5994999999998"/>
    <n v="2854.74"/>
  </r>
  <r>
    <n v="1727"/>
    <s v="Ashley Nguyen"/>
    <x v="3"/>
    <x v="21"/>
    <x v="4"/>
    <n v="2785.79"/>
    <n v="0.76"/>
    <x v="456"/>
    <x v="4"/>
    <x v="2"/>
    <x v="1"/>
    <n v="3342.9479999999999"/>
    <n v="1252.83"/>
  </r>
  <r>
    <n v="1728"/>
    <s v="Paige Lee"/>
    <x v="2"/>
    <x v="2"/>
    <x v="1"/>
    <n v="733.15"/>
    <n v="0.27"/>
    <x v="457"/>
    <x v="20"/>
    <x v="1"/>
    <x v="1"/>
    <n v="535.19949999999994"/>
    <n v="273.12"/>
  </r>
  <r>
    <n v="1729"/>
    <s v="Beth Wolfe"/>
    <x v="0"/>
    <x v="5"/>
    <x v="3"/>
    <n v="416.58"/>
    <n v="0.51"/>
    <x v="458"/>
    <x v="4"/>
    <x v="3"/>
    <x v="1"/>
    <n v="612.37260000000003"/>
    <n v="-765.44"/>
  </r>
  <r>
    <n v="1730"/>
    <s v="Jessica Carr"/>
    <x v="5"/>
    <x v="12"/>
    <x v="3"/>
    <n v="3933.55"/>
    <n v="0.51"/>
    <x v="459"/>
    <x v="106"/>
    <x v="3"/>
    <x v="0"/>
    <n v="5782.3185000000003"/>
    <n v="2728.66"/>
  </r>
  <r>
    <n v="1731"/>
    <s v="Becky Gordon"/>
    <x v="1"/>
    <x v="22"/>
    <x v="6"/>
    <n v="2752.99"/>
    <n v="1"/>
    <x v="201"/>
    <x v="347"/>
    <x v="2"/>
    <x v="1"/>
    <n v="0"/>
    <n v="0"/>
  </r>
  <r>
    <n v="1732"/>
    <s v="Mary Kline"/>
    <x v="5"/>
    <x v="12"/>
    <x v="4"/>
    <n v="4982.68"/>
    <n v="0.51"/>
    <x v="460"/>
    <x v="348"/>
    <x v="2"/>
    <x v="1"/>
    <n v="12207.566000000001"/>
    <n v="2239.42"/>
  </r>
  <r>
    <n v="1733"/>
    <s v="Selena Baker"/>
    <x v="1"/>
    <x v="15"/>
    <x v="3"/>
    <n v="721.25"/>
    <n v="0.51"/>
    <x v="461"/>
    <x v="349"/>
    <x v="0"/>
    <x v="1"/>
    <n v="1060.2375"/>
    <n v="-936.38"/>
  </r>
  <r>
    <n v="1734"/>
    <s v="Mr. Lawrence Parks"/>
    <x v="1"/>
    <x v="22"/>
    <x v="6"/>
    <n v="2752.99"/>
    <n v="0.51"/>
    <x v="201"/>
    <x v="338"/>
    <x v="4"/>
    <x v="1"/>
    <n v="4721.3778499999999"/>
    <n v="-461.7"/>
  </r>
  <r>
    <n v="1735"/>
    <s v="Martha Fitzgerald"/>
    <x v="1"/>
    <x v="1"/>
    <x v="0"/>
    <n v="2579.8000000000002"/>
    <n v="0.51"/>
    <x v="22"/>
    <x v="331"/>
    <x v="2"/>
    <x v="1"/>
    <n v="5056.4080000000004"/>
    <n v="2607.4299999999998"/>
  </r>
  <r>
    <n v="1736"/>
    <s v="Alexandria Smith"/>
    <x v="1"/>
    <x v="1"/>
    <x v="0"/>
    <n v="1144.47"/>
    <n v="0.09"/>
    <x v="462"/>
    <x v="82"/>
    <x v="3"/>
    <x v="1"/>
    <n v="4165.8708000000006"/>
    <n v="1236.6199999999999"/>
  </r>
  <r>
    <n v="1737"/>
    <s v="Nicholas Fisher"/>
    <x v="5"/>
    <x v="6"/>
    <x v="4"/>
    <n v="2220.4699999999998"/>
    <n v="0.51"/>
    <x v="463"/>
    <x v="4"/>
    <x v="5"/>
    <x v="0"/>
    <n v="5440.151499999999"/>
    <n v="-156.87"/>
  </r>
  <r>
    <n v="1738"/>
    <s v="Barbara Patel"/>
    <x v="4"/>
    <x v="14"/>
    <x v="0"/>
    <n v="1171.19"/>
    <n v="0.51"/>
    <x v="464"/>
    <x v="31"/>
    <x v="1"/>
    <x v="0"/>
    <n v="2295.5324000000001"/>
    <n v="2205.44"/>
  </r>
  <r>
    <n v="1739"/>
    <s v="Brent Rios"/>
    <x v="1"/>
    <x v="18"/>
    <x v="3"/>
    <n v="963.18"/>
    <n v="0.51"/>
    <x v="465"/>
    <x v="350"/>
    <x v="2"/>
    <x v="1"/>
    <n v="1415.8745999999999"/>
    <n v="-114.6"/>
  </r>
  <r>
    <n v="1740"/>
    <s v="Jesus Ramirez"/>
    <x v="0"/>
    <x v="0"/>
    <x v="2"/>
    <n v="2366.6149999999998"/>
    <n v="0.51"/>
    <x v="466"/>
    <x v="140"/>
    <x v="1"/>
    <x v="1"/>
    <n v="2319.2826999999997"/>
    <n v="796.49"/>
  </r>
  <r>
    <n v="1741"/>
    <s v="Jennifer Dominguez"/>
    <x v="4"/>
    <x v="16"/>
    <x v="1"/>
    <n v="1762.56"/>
    <n v="0.98"/>
    <x v="467"/>
    <x v="351"/>
    <x v="1"/>
    <x v="1"/>
    <n v="35.251200000000033"/>
    <n v="8.8128000000000082"/>
  </r>
  <r>
    <n v="1742"/>
    <s v="Evan Huynh"/>
    <x v="0"/>
    <x v="20"/>
    <x v="4"/>
    <n v="2750.33"/>
    <n v="0.03"/>
    <x v="52"/>
    <x v="4"/>
    <x v="3"/>
    <x v="0"/>
    <n v="13339.100499999999"/>
    <n v="-222.56"/>
  </r>
  <r>
    <n v="1743"/>
    <s v="Valerie Perry"/>
    <x v="4"/>
    <x v="4"/>
    <x v="0"/>
    <n v="2001.5500000000002"/>
    <n v="0.51"/>
    <x v="5"/>
    <x v="79"/>
    <x v="5"/>
    <x v="0"/>
    <n v="3923.0380000000005"/>
    <n v="1490.6"/>
  </r>
  <r>
    <n v="1744"/>
    <s v="Michelle Johnson"/>
    <x v="2"/>
    <x v="17"/>
    <x v="3"/>
    <n v="2385.5749999999998"/>
    <n v="0.51"/>
    <x v="91"/>
    <x v="352"/>
    <x v="2"/>
    <x v="0"/>
    <n v="3506.7952499999997"/>
    <n v="1939.6"/>
  </r>
  <r>
    <n v="1745"/>
    <s v="Kimberly Harrington"/>
    <x v="4"/>
    <x v="16"/>
    <x v="0"/>
    <n v="2599.75"/>
    <n v="0.43"/>
    <x v="42"/>
    <x v="353"/>
    <x v="3"/>
    <x v="1"/>
    <n v="5927.43"/>
    <n v="723.22"/>
  </r>
  <r>
    <n v="1746"/>
    <s v="Stephanie Harrington"/>
    <x v="0"/>
    <x v="0"/>
    <x v="0"/>
    <n v="2366.6149999999998"/>
    <n v="0.37"/>
    <x v="81"/>
    <x v="257"/>
    <x v="3"/>
    <x v="1"/>
    <n v="5963.8697999999995"/>
    <n v="2037.45"/>
  </r>
  <r>
    <n v="1747"/>
    <s v="Rachel Bryan"/>
    <x v="4"/>
    <x v="8"/>
    <x v="3"/>
    <n v="405.37"/>
    <n v="0.51"/>
    <x v="468"/>
    <x v="4"/>
    <x v="5"/>
    <x v="0"/>
    <n v="595.89390000000003"/>
    <n v="375.4"/>
  </r>
  <r>
    <n v="1748"/>
    <s v="Matthew Stein"/>
    <x v="5"/>
    <x v="12"/>
    <x v="3"/>
    <n v="2765.26"/>
    <n v="0.51"/>
    <x v="19"/>
    <x v="30"/>
    <x v="1"/>
    <x v="1"/>
    <n v="4064.9322000000002"/>
    <n v="1687.82"/>
  </r>
  <r>
    <n v="1749"/>
    <s v="Michelle Moore"/>
    <x v="2"/>
    <x v="2"/>
    <x v="0"/>
    <n v="4499.3900000000003"/>
    <n v="0.51"/>
    <x v="469"/>
    <x v="137"/>
    <x v="0"/>
    <x v="0"/>
    <n v="8818.8044000000009"/>
    <n v="17.489999999999998"/>
  </r>
  <r>
    <n v="1750"/>
    <s v="Andrea Hull DDS"/>
    <x v="5"/>
    <x v="11"/>
    <x v="3"/>
    <n v="2653.9"/>
    <n v="0.56000000000000005"/>
    <x v="470"/>
    <x v="1"/>
    <x v="3"/>
    <x v="1"/>
    <n v="3503.1479999999997"/>
    <n v="2394.02"/>
  </r>
  <r>
    <n v="1751"/>
    <s v="Kelly Garcia"/>
    <x v="1"/>
    <x v="1"/>
    <x v="0"/>
    <n v="2579.8000000000002"/>
    <n v="0.51"/>
    <x v="22"/>
    <x v="4"/>
    <x v="5"/>
    <x v="1"/>
    <n v="5056.4080000000004"/>
    <n v="59.73"/>
  </r>
  <r>
    <n v="1752"/>
    <s v="Kelsey King"/>
    <x v="0"/>
    <x v="0"/>
    <x v="4"/>
    <n v="2177.1999999999998"/>
    <n v="0.51"/>
    <x v="471"/>
    <x v="4"/>
    <x v="5"/>
    <x v="1"/>
    <n v="5334.14"/>
    <n v="-341.7"/>
  </r>
  <r>
    <n v="1753"/>
    <s v="Haley Herrera"/>
    <x v="1"/>
    <x v="1"/>
    <x v="0"/>
    <n v="2579.8000000000002"/>
    <n v="0.51"/>
    <x v="22"/>
    <x v="354"/>
    <x v="1"/>
    <x v="1"/>
    <n v="5056.4080000000004"/>
    <n v="1848.5"/>
  </r>
  <r>
    <n v="1754"/>
    <s v="Angela Hall"/>
    <x v="3"/>
    <x v="23"/>
    <x v="6"/>
    <n v="2338.04"/>
    <n v="0.56999999999999995"/>
    <x v="171"/>
    <x v="355"/>
    <x v="0"/>
    <x v="1"/>
    <n v="3518.7501999999999"/>
    <n v="1945.55"/>
  </r>
  <r>
    <n v="1755"/>
    <s v="Monica Flores"/>
    <x v="2"/>
    <x v="10"/>
    <x v="0"/>
    <n v="2666.2200000000003"/>
    <n v="0.76"/>
    <x v="142"/>
    <x v="4"/>
    <x v="4"/>
    <x v="1"/>
    <n v="2559.5712000000003"/>
    <n v="-255.22"/>
  </r>
  <r>
    <n v="1756"/>
    <s v="Sheri Steele"/>
    <x v="2"/>
    <x v="2"/>
    <x v="4"/>
    <n v="2933.45"/>
    <n v="0.51"/>
    <x v="472"/>
    <x v="47"/>
    <x v="2"/>
    <x v="0"/>
    <n v="7186.9524999999994"/>
    <n v="1627.12"/>
  </r>
  <r>
    <n v="1757"/>
    <s v="Aaron Ramirez"/>
    <x v="0"/>
    <x v="0"/>
    <x v="2"/>
    <n v="3405.13"/>
    <n v="0.91"/>
    <x v="473"/>
    <x v="4"/>
    <x v="3"/>
    <x v="1"/>
    <n v="612.92339999999979"/>
    <n v="153.23084999999995"/>
  </r>
  <r>
    <n v="1758"/>
    <s v="Michael Walls"/>
    <x v="2"/>
    <x v="10"/>
    <x v="0"/>
    <n v="1307.6400000000001"/>
    <n v="0.18"/>
    <x v="474"/>
    <x v="356"/>
    <x v="2"/>
    <x v="1"/>
    <n v="4289.0592000000006"/>
    <n v="-122.33"/>
  </r>
  <r>
    <n v="1759"/>
    <s v="Gregory Garza"/>
    <x v="4"/>
    <x v="4"/>
    <x v="0"/>
    <n v="2001.5500000000002"/>
    <n v="0.51"/>
    <x v="5"/>
    <x v="331"/>
    <x v="1"/>
    <x v="1"/>
    <n v="3923.0380000000005"/>
    <n v="-278.64999999999998"/>
  </r>
  <r>
    <n v="1760"/>
    <s v="Dustin Blackburn"/>
    <x v="3"/>
    <x v="21"/>
    <x v="3"/>
    <n v="4326.6000000000004"/>
    <n v="0.51"/>
    <x v="475"/>
    <x v="290"/>
    <x v="1"/>
    <x v="1"/>
    <n v="6360.1020000000008"/>
    <n v="1495.82"/>
  </r>
  <r>
    <n v="1761"/>
    <s v="Richard Anderson"/>
    <x v="1"/>
    <x v="22"/>
    <x v="3"/>
    <n v="2752.99"/>
    <n v="0.37"/>
    <x v="213"/>
    <x v="166"/>
    <x v="2"/>
    <x v="1"/>
    <n v="5203.1511"/>
    <n v="2989.57"/>
  </r>
  <r>
    <n v="1762"/>
    <s v="Richard Santiago"/>
    <x v="1"/>
    <x v="1"/>
    <x v="0"/>
    <n v="1364.9"/>
    <n v="0.17"/>
    <x v="476"/>
    <x v="100"/>
    <x v="0"/>
    <x v="1"/>
    <n v="4531.4679999999998"/>
    <n v="1591.99"/>
  </r>
  <r>
    <n v="1763"/>
    <s v="William Reyes"/>
    <x v="2"/>
    <x v="13"/>
    <x v="2"/>
    <n v="1874.56"/>
    <n v="0.51"/>
    <x v="477"/>
    <x v="4"/>
    <x v="5"/>
    <x v="1"/>
    <n v="1837.0688"/>
    <n v="459.2672"/>
  </r>
  <r>
    <n v="1029"/>
    <s v="Lisa Moss"/>
    <x v="1"/>
    <x v="15"/>
    <x v="3"/>
    <n v="4343.12"/>
    <n v="0.51"/>
    <x v="478"/>
    <x v="254"/>
    <x v="4"/>
    <x v="0"/>
    <n v="6384.3864000000003"/>
    <n v="2997.11"/>
  </r>
  <r>
    <n v="1765"/>
    <s v="Patrick Chen"/>
    <x v="0"/>
    <x v="9"/>
    <x v="5"/>
    <n v="1016.5"/>
    <n v="0.51"/>
    <x v="479"/>
    <x v="357"/>
    <x v="2"/>
    <x v="0"/>
    <n v="2988.5099999999998"/>
    <n v="-420.11"/>
  </r>
  <r>
    <n v="1766"/>
    <s v="David Wilson"/>
    <x v="1"/>
    <x v="18"/>
    <x v="3"/>
    <n v="3589.19"/>
    <n v="0.51"/>
    <x v="480"/>
    <x v="48"/>
    <x v="2"/>
    <x v="1"/>
    <n v="5276.1093000000001"/>
    <n v="1880.22"/>
  </r>
  <r>
    <n v="1767"/>
    <s v="Cynthia Mullen"/>
    <x v="5"/>
    <x v="11"/>
    <x v="3"/>
    <n v="2151.92"/>
    <n v="0.51"/>
    <x v="481"/>
    <x v="333"/>
    <x v="2"/>
    <x v="1"/>
    <n v="3163.3224"/>
    <n v="2383.83"/>
  </r>
  <r>
    <n v="1768"/>
    <s v="Sandra Jensen"/>
    <x v="2"/>
    <x v="13"/>
    <x v="4"/>
    <n v="3548.22"/>
    <n v="0.51"/>
    <x v="482"/>
    <x v="358"/>
    <x v="2"/>
    <x v="1"/>
    <n v="8693.1389999999992"/>
    <n v="2960.22"/>
  </r>
  <r>
    <n v="1769"/>
    <s v="John Sanders"/>
    <x v="1"/>
    <x v="22"/>
    <x v="6"/>
    <n v="2752.99"/>
    <n v="1"/>
    <x v="201"/>
    <x v="184"/>
    <x v="0"/>
    <x v="0"/>
    <n v="0"/>
    <n v="0"/>
  </r>
  <r>
    <n v="1770"/>
    <s v="Shannon Lee"/>
    <x v="5"/>
    <x v="11"/>
    <x v="3"/>
    <n v="2731.6350000000002"/>
    <n v="0.51"/>
    <x v="60"/>
    <x v="359"/>
    <x v="5"/>
    <x v="1"/>
    <n v="4015.5034500000002"/>
    <n v="2366.9699999999998"/>
  </r>
  <r>
    <n v="1771"/>
    <s v="Ruth Bennett"/>
    <x v="2"/>
    <x v="13"/>
    <x v="0"/>
    <n v="730.48"/>
    <n v="0.51"/>
    <x v="483"/>
    <x v="51"/>
    <x v="4"/>
    <x v="0"/>
    <n v="1431.7408"/>
    <n v="-162.02000000000001"/>
  </r>
  <r>
    <n v="1772"/>
    <s v="Jack Romero"/>
    <x v="0"/>
    <x v="5"/>
    <x v="3"/>
    <n v="3008.6549999999997"/>
    <n v="0.38"/>
    <x v="44"/>
    <x v="204"/>
    <x v="1"/>
    <x v="0"/>
    <n v="5596.0982999999997"/>
    <n v="545.03"/>
  </r>
  <r>
    <n v="1773"/>
    <s v="Glen Anderson"/>
    <x v="3"/>
    <x v="21"/>
    <x v="0"/>
    <n v="444.82"/>
    <n v="0.51"/>
    <x v="484"/>
    <x v="4"/>
    <x v="4"/>
    <x v="0"/>
    <n v="871.84719999999993"/>
    <n v="217.96179999999998"/>
  </r>
  <r>
    <n v="1774"/>
    <s v="Robert Hunter DDS"/>
    <x v="3"/>
    <x v="7"/>
    <x v="3"/>
    <n v="4137.43"/>
    <n v="0.51"/>
    <x v="485"/>
    <x v="280"/>
    <x v="1"/>
    <x v="0"/>
    <n v="6082.0221000000001"/>
    <n v="895.53"/>
  </r>
  <r>
    <n v="1775"/>
    <s v="Michael Sullivan"/>
    <x v="4"/>
    <x v="16"/>
    <x v="0"/>
    <n v="2599.75"/>
    <n v="0.51"/>
    <x v="42"/>
    <x v="4"/>
    <x v="1"/>
    <x v="1"/>
    <n v="5095.51"/>
    <n v="2275.5500000000002"/>
  </r>
  <r>
    <n v="1776"/>
    <s v="Martin White"/>
    <x v="2"/>
    <x v="17"/>
    <x v="0"/>
    <n v="4684.9799999999996"/>
    <n v="0.51"/>
    <x v="486"/>
    <x v="4"/>
    <x v="5"/>
    <x v="0"/>
    <n v="9182.5607999999993"/>
    <n v="-360.88"/>
  </r>
  <r>
    <n v="1777"/>
    <s v="Emma Sharp"/>
    <x v="5"/>
    <x v="12"/>
    <x v="3"/>
    <n v="2765.26"/>
    <n v="0.51"/>
    <x v="19"/>
    <x v="89"/>
    <x v="0"/>
    <x v="1"/>
    <n v="4064.9322000000002"/>
    <n v="1292.0899999999999"/>
  </r>
  <r>
    <n v="1778"/>
    <s v="Dr. Brandi Stone"/>
    <x v="4"/>
    <x v="4"/>
    <x v="4"/>
    <n v="2716.57"/>
    <n v="0.51"/>
    <x v="487"/>
    <x v="107"/>
    <x v="2"/>
    <x v="0"/>
    <n v="6655.5964999999997"/>
    <n v="2059.98"/>
  </r>
  <r>
    <n v="1779"/>
    <s v="Richard Williams"/>
    <x v="0"/>
    <x v="5"/>
    <x v="3"/>
    <n v="3008.6549999999997"/>
    <n v="0.51"/>
    <x v="44"/>
    <x v="236"/>
    <x v="4"/>
    <x v="1"/>
    <n v="4422.7228500000001"/>
    <n v="1861.39"/>
  </r>
  <r>
    <n v="1780"/>
    <s v="Roger Hall"/>
    <x v="1"/>
    <x v="22"/>
    <x v="6"/>
    <n v="2752.99"/>
    <n v="0.51"/>
    <x v="201"/>
    <x v="115"/>
    <x v="0"/>
    <x v="1"/>
    <n v="4721.3778499999999"/>
    <n v="2756.02"/>
  </r>
  <r>
    <n v="1781"/>
    <s v="Roberta Thompson"/>
    <x v="5"/>
    <x v="6"/>
    <x v="0"/>
    <n v="2975.64"/>
    <n v="0.51"/>
    <x v="61"/>
    <x v="58"/>
    <x v="2"/>
    <x v="1"/>
    <n v="5832.2543999999998"/>
    <n v="213.46"/>
  </r>
  <r>
    <n v="1782"/>
    <s v="Jacqueline Ward"/>
    <x v="1"/>
    <x v="18"/>
    <x v="5"/>
    <n v="2537.59"/>
    <n v="0.51"/>
    <x v="345"/>
    <x v="360"/>
    <x v="2"/>
    <x v="1"/>
    <n v="7460.5146000000004"/>
    <n v="1802.32"/>
  </r>
  <r>
    <n v="1783"/>
    <s v="Mrs. Denise Solis DDS"/>
    <x v="1"/>
    <x v="18"/>
    <x v="3"/>
    <n v="2537.59"/>
    <n v="0.93"/>
    <x v="35"/>
    <x v="361"/>
    <x v="4"/>
    <x v="1"/>
    <n v="532.89389999999969"/>
    <n v="34.35"/>
  </r>
  <r>
    <n v="1784"/>
    <s v="Matthew Barajas"/>
    <x v="4"/>
    <x v="4"/>
    <x v="0"/>
    <n v="2068.0500000000002"/>
    <n v="0.51"/>
    <x v="488"/>
    <x v="362"/>
    <x v="2"/>
    <x v="0"/>
    <n v="4053.3780000000002"/>
    <n v="-379.91"/>
  </r>
  <r>
    <n v="1785"/>
    <s v="Jeffery Hoover"/>
    <x v="4"/>
    <x v="8"/>
    <x v="3"/>
    <n v="4103"/>
    <n v="0.51"/>
    <x v="489"/>
    <x v="8"/>
    <x v="4"/>
    <x v="0"/>
    <n v="6031.41"/>
    <n v="567.89"/>
  </r>
  <r>
    <n v="1786"/>
    <s v="Johnny George"/>
    <x v="2"/>
    <x v="10"/>
    <x v="0"/>
    <n v="2666.2200000000003"/>
    <n v="0.51"/>
    <x v="142"/>
    <x v="137"/>
    <x v="5"/>
    <x v="1"/>
    <n v="5225.7912000000006"/>
    <n v="1462.24"/>
  </r>
  <r>
    <n v="1787"/>
    <s v="Pamela Johnson"/>
    <x v="3"/>
    <x v="23"/>
    <x v="5"/>
    <n v="2338.04"/>
    <n v="0.51"/>
    <x v="268"/>
    <x v="363"/>
    <x v="0"/>
    <x v="0"/>
    <n v="6873.8375999999998"/>
    <n v="1294"/>
  </r>
  <r>
    <n v="1014"/>
    <s v="Gregory Palmer"/>
    <x v="0"/>
    <x v="0"/>
    <x v="4"/>
    <n v="2951.4"/>
    <n v="0.51"/>
    <x v="490"/>
    <x v="21"/>
    <x v="0"/>
    <x v="1"/>
    <n v="7230.93"/>
    <n v="2811.87"/>
  </r>
  <r>
    <n v="1789"/>
    <s v="Douglas Lane"/>
    <x v="1"/>
    <x v="15"/>
    <x v="3"/>
    <n v="1433.92"/>
    <n v="0.11"/>
    <x v="491"/>
    <x v="200"/>
    <x v="4"/>
    <x v="0"/>
    <n v="3828.5664000000002"/>
    <n v="315.07"/>
  </r>
  <r>
    <n v="1790"/>
    <s v="April Delgado"/>
    <x v="1"/>
    <x v="15"/>
    <x v="1"/>
    <n v="3268.42"/>
    <n v="0.51"/>
    <x v="492"/>
    <x v="364"/>
    <x v="0"/>
    <x v="0"/>
    <n v="1601.5258000000001"/>
    <n v="259.67"/>
  </r>
  <r>
    <n v="1791"/>
    <s v="Felicia Fox"/>
    <x v="5"/>
    <x v="6"/>
    <x v="0"/>
    <n v="2123.69"/>
    <n v="0.69"/>
    <x v="493"/>
    <x v="267"/>
    <x v="3"/>
    <x v="0"/>
    <n v="2633.3756000000003"/>
    <n v="658.34390000000008"/>
  </r>
  <r>
    <n v="1792"/>
    <s v="Tammy Deleon"/>
    <x v="0"/>
    <x v="5"/>
    <x v="3"/>
    <n v="3008.6549999999997"/>
    <n v="0.83"/>
    <x v="44"/>
    <x v="365"/>
    <x v="2"/>
    <x v="1"/>
    <n v="1534.4140500000003"/>
    <n v="-116.82"/>
  </r>
  <r>
    <n v="1793"/>
    <s v="Maria Krueger"/>
    <x v="5"/>
    <x v="11"/>
    <x v="4"/>
    <n v="1887.84"/>
    <n v="0.51"/>
    <x v="494"/>
    <x v="168"/>
    <x v="1"/>
    <x v="0"/>
    <n v="4625.2079999999996"/>
    <n v="1275.03"/>
  </r>
  <r>
    <n v="1794"/>
    <s v="Grant Juarez"/>
    <x v="1"/>
    <x v="18"/>
    <x v="3"/>
    <n v="2537.59"/>
    <n v="0.51"/>
    <x v="35"/>
    <x v="211"/>
    <x v="3"/>
    <x v="1"/>
    <n v="3730.2573000000002"/>
    <n v="2115.2600000000002"/>
  </r>
  <r>
    <n v="1795"/>
    <s v="Brandon Davis"/>
    <x v="3"/>
    <x v="23"/>
    <x v="6"/>
    <n v="2338.04"/>
    <n v="0.51"/>
    <x v="171"/>
    <x v="186"/>
    <x v="4"/>
    <x v="0"/>
    <n v="4009.7385999999997"/>
    <n v="301.5"/>
  </r>
  <r>
    <n v="1796"/>
    <s v="Thomas Hawkins"/>
    <x v="5"/>
    <x v="11"/>
    <x v="3"/>
    <n v="2731.6350000000002"/>
    <n v="0.94"/>
    <x v="60"/>
    <x v="4"/>
    <x v="5"/>
    <x v="1"/>
    <n v="491.69430000000045"/>
    <n v="-851"/>
  </r>
  <r>
    <n v="1797"/>
    <s v="Dr. Emily Thomas"/>
    <x v="5"/>
    <x v="6"/>
    <x v="0"/>
    <n v="4305.0200000000004"/>
    <n v="0.51"/>
    <x v="495"/>
    <x v="290"/>
    <x v="1"/>
    <x v="1"/>
    <n v="8437.8392000000003"/>
    <n v="2296.37"/>
  </r>
  <r>
    <n v="1798"/>
    <s v="Kendra Herman"/>
    <x v="2"/>
    <x v="17"/>
    <x v="3"/>
    <n v="2490.16"/>
    <n v="0.51"/>
    <x v="496"/>
    <x v="37"/>
    <x v="2"/>
    <x v="1"/>
    <n v="3660.5351999999998"/>
    <n v="905.43"/>
  </r>
  <r>
    <n v="1799"/>
    <s v="Karen Hunt"/>
    <x v="2"/>
    <x v="17"/>
    <x v="3"/>
    <n v="1101.5"/>
    <n v="0.81"/>
    <x v="497"/>
    <x v="4"/>
    <x v="2"/>
    <x v="1"/>
    <n v="627.85499999999979"/>
    <n v="-967.63"/>
  </r>
  <r>
    <n v="1800"/>
    <s v="Lisa Moore"/>
    <x v="1"/>
    <x v="1"/>
    <x v="5"/>
    <n v="2579.8000000000002"/>
    <n v="0.93"/>
    <x v="297"/>
    <x v="93"/>
    <x v="2"/>
    <x v="1"/>
    <n v="1083.5159999999994"/>
    <n v="855.26"/>
  </r>
  <r>
    <n v="1801"/>
    <s v="Brian Lara"/>
    <x v="2"/>
    <x v="10"/>
    <x v="0"/>
    <n v="2666.2200000000003"/>
    <n v="0.51"/>
    <x v="142"/>
    <x v="86"/>
    <x v="3"/>
    <x v="0"/>
    <n v="5225.7912000000006"/>
    <n v="1463.67"/>
  </r>
  <r>
    <n v="1802"/>
    <s v="Zachary Lee"/>
    <x v="2"/>
    <x v="13"/>
    <x v="0"/>
    <n v="2538.0450000000001"/>
    <n v="0.51"/>
    <x v="21"/>
    <x v="256"/>
    <x v="0"/>
    <x v="1"/>
    <n v="4974.5681999999997"/>
    <n v="-618.71"/>
  </r>
  <r>
    <n v="1803"/>
    <s v="Robert Smith"/>
    <x v="3"/>
    <x v="7"/>
    <x v="3"/>
    <n v="2577.6350000000002"/>
    <n v="0.51"/>
    <x v="8"/>
    <x v="4"/>
    <x v="2"/>
    <x v="1"/>
    <n v="3789.12345"/>
    <n v="409.58"/>
  </r>
  <r>
    <n v="1804"/>
    <s v="Brian Robinson"/>
    <x v="5"/>
    <x v="11"/>
    <x v="3"/>
    <n v="2731.6350000000002"/>
    <n v="0.51"/>
    <x v="60"/>
    <x v="73"/>
    <x v="2"/>
    <x v="1"/>
    <n v="4015.5034500000002"/>
    <n v="1896.92"/>
  </r>
  <r>
    <n v="1036"/>
    <s v="Mark Robertson"/>
    <x v="3"/>
    <x v="7"/>
    <x v="1"/>
    <n v="1534.98"/>
    <n v="0.51"/>
    <x v="498"/>
    <x v="361"/>
    <x v="3"/>
    <x v="1"/>
    <n v="752.14020000000005"/>
    <n v="188.03505000000001"/>
  </r>
  <r>
    <n v="1806"/>
    <s v="Heather Campbell"/>
    <x v="5"/>
    <x v="11"/>
    <x v="1"/>
    <n v="2731.6350000000002"/>
    <n v="0.51"/>
    <x v="271"/>
    <x v="322"/>
    <x v="5"/>
    <x v="0"/>
    <n v="1338.5011500000001"/>
    <n v="1003.57"/>
  </r>
  <r>
    <n v="1807"/>
    <s v="Angela Lopez"/>
    <x v="0"/>
    <x v="5"/>
    <x v="0"/>
    <n v="2308.12"/>
    <n v="0.51"/>
    <x v="499"/>
    <x v="366"/>
    <x v="3"/>
    <x v="0"/>
    <n v="4523.9151999999995"/>
    <n v="362.88"/>
  </r>
  <r>
    <n v="1808"/>
    <s v="Christopher Reeves"/>
    <x v="4"/>
    <x v="8"/>
    <x v="3"/>
    <n v="4582.21"/>
    <n v="0.7"/>
    <x v="500"/>
    <x v="4"/>
    <x v="3"/>
    <x v="1"/>
    <n v="4123.9890000000005"/>
    <n v="-67.84"/>
  </r>
  <r>
    <n v="1809"/>
    <s v="Renee Moss"/>
    <x v="5"/>
    <x v="12"/>
    <x v="3"/>
    <n v="3799.39"/>
    <n v="0.76"/>
    <x v="501"/>
    <x v="90"/>
    <x v="3"/>
    <x v="1"/>
    <n v="2735.5607999999997"/>
    <n v="-599.61"/>
  </r>
  <r>
    <n v="1810"/>
    <s v="Kevin Larson"/>
    <x v="3"/>
    <x v="7"/>
    <x v="3"/>
    <n v="2577.6350000000002"/>
    <n v="0.39"/>
    <x v="8"/>
    <x v="237"/>
    <x v="2"/>
    <x v="1"/>
    <n v="4717.0720500000007"/>
    <n v="-148.03"/>
  </r>
  <r>
    <n v="1811"/>
    <s v="Michael Williams"/>
    <x v="2"/>
    <x v="17"/>
    <x v="2"/>
    <n v="2385.5749999999998"/>
    <n v="0.99"/>
    <x v="502"/>
    <x v="367"/>
    <x v="3"/>
    <x v="1"/>
    <n v="47.711500000000036"/>
    <n v="11.927875000000009"/>
  </r>
  <r>
    <n v="1812"/>
    <s v="Jo King"/>
    <x v="1"/>
    <x v="18"/>
    <x v="3"/>
    <n v="2537.59"/>
    <n v="0.51"/>
    <x v="35"/>
    <x v="368"/>
    <x v="0"/>
    <x v="1"/>
    <n v="3730.2573000000002"/>
    <n v="-36.380000000000003"/>
  </r>
  <r>
    <n v="1813"/>
    <s v="Jonathan Harris"/>
    <x v="1"/>
    <x v="22"/>
    <x v="6"/>
    <n v="2752.99"/>
    <n v="0.51"/>
    <x v="201"/>
    <x v="22"/>
    <x v="1"/>
    <x v="1"/>
    <n v="4721.3778499999999"/>
    <n v="1718.02"/>
  </r>
  <r>
    <n v="1814"/>
    <s v="Dennis Jacobs"/>
    <x v="4"/>
    <x v="8"/>
    <x v="3"/>
    <n v="3027.66"/>
    <n v="0.51"/>
    <x v="94"/>
    <x v="267"/>
    <x v="0"/>
    <x v="1"/>
    <n v="4450.6601999999993"/>
    <n v="2724.05"/>
  </r>
  <r>
    <n v="1815"/>
    <s v="Kelly Dixon"/>
    <x v="5"/>
    <x v="6"/>
    <x v="0"/>
    <n v="2975.64"/>
    <n v="0.51"/>
    <x v="61"/>
    <x v="182"/>
    <x v="3"/>
    <x v="1"/>
    <n v="5832.2543999999998"/>
    <n v="1057.3599999999999"/>
  </r>
  <r>
    <n v="1816"/>
    <s v="Danielle Love"/>
    <x v="4"/>
    <x v="16"/>
    <x v="1"/>
    <n v="1130.83"/>
    <n v="0.84"/>
    <x v="503"/>
    <x v="60"/>
    <x v="4"/>
    <x v="1"/>
    <n v="180.93280000000001"/>
    <n v="-804.96"/>
  </r>
  <r>
    <n v="1817"/>
    <s v="Mrs. Danielle Kerr"/>
    <x v="2"/>
    <x v="13"/>
    <x v="0"/>
    <n v="2964.88"/>
    <n v="0.51"/>
    <x v="504"/>
    <x v="369"/>
    <x v="2"/>
    <x v="1"/>
    <n v="5811.1648000000005"/>
    <n v="591.28"/>
  </r>
  <r>
    <n v="1818"/>
    <s v="Wanda Gonzalez"/>
    <x v="3"/>
    <x v="3"/>
    <x v="3"/>
    <n v="3449.33"/>
    <n v="0.43"/>
    <x v="505"/>
    <x v="4"/>
    <x v="0"/>
    <x v="0"/>
    <n v="5898.3543000000009"/>
    <n v="601.45000000000005"/>
  </r>
  <r>
    <n v="1819"/>
    <s v="Kelsey King"/>
    <x v="3"/>
    <x v="21"/>
    <x v="5"/>
    <n v="1761.18"/>
    <n v="0.51"/>
    <x v="506"/>
    <x v="4"/>
    <x v="2"/>
    <x v="1"/>
    <n v="5177.8692000000001"/>
    <n v="2069.36"/>
  </r>
  <r>
    <n v="1820"/>
    <s v="John Bailey"/>
    <x v="4"/>
    <x v="16"/>
    <x v="4"/>
    <n v="1965.04"/>
    <n v="0.51"/>
    <x v="507"/>
    <x v="222"/>
    <x v="5"/>
    <x v="1"/>
    <n v="4814.348"/>
    <n v="20.89"/>
  </r>
  <r>
    <n v="1821"/>
    <s v="Caitlin Daniels"/>
    <x v="1"/>
    <x v="22"/>
    <x v="6"/>
    <n v="2752.99"/>
    <n v="0.65"/>
    <x v="201"/>
    <x v="4"/>
    <x v="1"/>
    <x v="0"/>
    <n v="3372.41275"/>
    <n v="403.42"/>
  </r>
  <r>
    <n v="1822"/>
    <s v="Jerry Bell"/>
    <x v="1"/>
    <x v="15"/>
    <x v="3"/>
    <n v="938.86"/>
    <n v="0.05"/>
    <x v="508"/>
    <x v="243"/>
    <x v="4"/>
    <x v="0"/>
    <n v="2675.7509999999997"/>
    <n v="-824.79"/>
  </r>
  <r>
    <n v="1823"/>
    <s v="Michael Jackson"/>
    <x v="4"/>
    <x v="8"/>
    <x v="3"/>
    <n v="3887.15"/>
    <n v="0.51"/>
    <x v="509"/>
    <x v="83"/>
    <x v="1"/>
    <x v="0"/>
    <n v="5714.1105000000007"/>
    <n v="2088.25"/>
  </r>
  <r>
    <n v="1824"/>
    <s v="Charlotte Reed"/>
    <x v="3"/>
    <x v="21"/>
    <x v="0"/>
    <n v="4146.2700000000004"/>
    <n v="0.51"/>
    <x v="510"/>
    <x v="370"/>
    <x v="4"/>
    <x v="1"/>
    <n v="8126.6892000000007"/>
    <n v="2397.9299999999998"/>
  </r>
  <r>
    <n v="1825"/>
    <s v="Peter Baldwin"/>
    <x v="1"/>
    <x v="15"/>
    <x v="5"/>
    <n v="982.65"/>
    <n v="0.51"/>
    <x v="511"/>
    <x v="4"/>
    <x v="2"/>
    <x v="1"/>
    <n v="2888.991"/>
    <n v="2186.63"/>
  </r>
  <r>
    <n v="1826"/>
    <s v="Jerry Ramirez"/>
    <x v="4"/>
    <x v="4"/>
    <x v="5"/>
    <n v="2001.5500000000002"/>
    <n v="0.51"/>
    <x v="512"/>
    <x v="371"/>
    <x v="0"/>
    <x v="1"/>
    <n v="5884.5570000000007"/>
    <n v="413.87"/>
  </r>
  <r>
    <n v="1827"/>
    <s v="Brooke Trevino"/>
    <x v="0"/>
    <x v="9"/>
    <x v="0"/>
    <n v="3109.74"/>
    <n v="0.51"/>
    <x v="513"/>
    <x v="4"/>
    <x v="2"/>
    <x v="1"/>
    <n v="6095.0903999999991"/>
    <n v="-828.23"/>
  </r>
  <r>
    <n v="1828"/>
    <s v="Hannah Marquez"/>
    <x v="5"/>
    <x v="11"/>
    <x v="3"/>
    <n v="4427.9399999999996"/>
    <n v="0.25"/>
    <x v="514"/>
    <x v="9"/>
    <x v="2"/>
    <x v="1"/>
    <n v="9962.8649999999998"/>
    <n v="-476.77"/>
  </r>
  <r>
    <n v="1829"/>
    <s v="Amanda Walker"/>
    <x v="2"/>
    <x v="10"/>
    <x v="0"/>
    <n v="2666.2200000000003"/>
    <n v="0.51"/>
    <x v="142"/>
    <x v="372"/>
    <x v="0"/>
    <x v="1"/>
    <n v="5225.7912000000006"/>
    <n v="1019.58"/>
  </r>
  <r>
    <n v="1830"/>
    <s v="John Russo"/>
    <x v="5"/>
    <x v="6"/>
    <x v="0"/>
    <n v="2975.64"/>
    <n v="0.51"/>
    <x v="61"/>
    <x v="369"/>
    <x v="5"/>
    <x v="1"/>
    <n v="5832.2543999999998"/>
    <n v="602.58000000000004"/>
  </r>
  <r>
    <n v="1831"/>
    <s v="Anthony Hale"/>
    <x v="2"/>
    <x v="2"/>
    <x v="0"/>
    <n v="895.34"/>
    <n v="0.51"/>
    <x v="515"/>
    <x v="319"/>
    <x v="3"/>
    <x v="1"/>
    <n v="1754.8664000000001"/>
    <n v="438.71660000000003"/>
  </r>
  <r>
    <n v="1832"/>
    <s v="Nicole Miller"/>
    <x v="2"/>
    <x v="2"/>
    <x v="0"/>
    <n v="2933.45"/>
    <n v="0.43"/>
    <x v="13"/>
    <x v="202"/>
    <x v="1"/>
    <x v="0"/>
    <n v="6688.2660000000005"/>
    <n v="708.3"/>
  </r>
  <r>
    <n v="1833"/>
    <s v="Amber Smith"/>
    <x v="5"/>
    <x v="12"/>
    <x v="3"/>
    <n v="3051.77"/>
    <n v="0.51"/>
    <x v="516"/>
    <x v="349"/>
    <x v="4"/>
    <x v="1"/>
    <n v="4486.1018999999997"/>
    <n v="2470.5500000000002"/>
  </r>
  <r>
    <n v="1834"/>
    <s v="Amanda Ashley"/>
    <x v="1"/>
    <x v="18"/>
    <x v="3"/>
    <n v="2537.59"/>
    <n v="0.94"/>
    <x v="35"/>
    <x v="293"/>
    <x v="1"/>
    <x v="0"/>
    <n v="456.76620000000042"/>
    <n v="-663.74"/>
  </r>
  <r>
    <n v="1835"/>
    <s v="Susan Salazar"/>
    <x v="0"/>
    <x v="20"/>
    <x v="4"/>
    <n v="2750.33"/>
    <n v="0.51"/>
    <x v="52"/>
    <x v="118"/>
    <x v="4"/>
    <x v="1"/>
    <n v="6738.3085000000001"/>
    <n v="1851.02"/>
  </r>
  <r>
    <n v="1836"/>
    <s v="Shawn Mejia"/>
    <x v="0"/>
    <x v="9"/>
    <x v="0"/>
    <n v="2105.94"/>
    <n v="0.16"/>
    <x v="517"/>
    <x v="4"/>
    <x v="1"/>
    <x v="1"/>
    <n v="7075.9583999999995"/>
    <n v="1782.55"/>
  </r>
  <r>
    <n v="1006"/>
    <s v="Rhonda Rodriguez"/>
    <x v="1"/>
    <x v="22"/>
    <x v="0"/>
    <n v="2752.99"/>
    <n v="0.51"/>
    <x v="366"/>
    <x v="68"/>
    <x v="2"/>
    <x v="1"/>
    <n v="5395.8603999999996"/>
    <n v="1663.32"/>
  </r>
  <r>
    <n v="1838"/>
    <s v="Christopher Cabrera"/>
    <x v="5"/>
    <x v="19"/>
    <x v="0"/>
    <n v="2889.5349999999999"/>
    <n v="0.51"/>
    <x v="36"/>
    <x v="373"/>
    <x v="5"/>
    <x v="1"/>
    <n v="5663.4885999999997"/>
    <n v="1657.14"/>
  </r>
  <r>
    <n v="1839"/>
    <s v="Michael Barnes"/>
    <x v="4"/>
    <x v="14"/>
    <x v="0"/>
    <n v="2067.64"/>
    <n v="0.51"/>
    <x v="518"/>
    <x v="4"/>
    <x v="3"/>
    <x v="1"/>
    <n v="4052.5743999999995"/>
    <n v="-276.17"/>
  </r>
  <r>
    <n v="1840"/>
    <s v="Eric Carter"/>
    <x v="3"/>
    <x v="21"/>
    <x v="0"/>
    <n v="1462.1"/>
    <n v="0.3"/>
    <x v="519"/>
    <x v="342"/>
    <x v="1"/>
    <x v="1"/>
    <n v="4093.8799999999997"/>
    <n v="59.79"/>
  </r>
  <r>
    <n v="1841"/>
    <s v="Justin Wright"/>
    <x v="1"/>
    <x v="1"/>
    <x v="0"/>
    <n v="2579.8000000000002"/>
    <n v="0.51"/>
    <x v="22"/>
    <x v="126"/>
    <x v="0"/>
    <x v="0"/>
    <n v="5056.4080000000004"/>
    <n v="-780.96"/>
  </r>
  <r>
    <n v="1842"/>
    <s v="Kristen Vasquez"/>
    <x v="1"/>
    <x v="22"/>
    <x v="6"/>
    <n v="2752.99"/>
    <n v="0.11"/>
    <x v="201"/>
    <x v="235"/>
    <x v="4"/>
    <x v="0"/>
    <n v="8575.5638500000005"/>
    <n v="2041.06"/>
  </r>
  <r>
    <n v="1843"/>
    <s v="James Snyder"/>
    <x v="5"/>
    <x v="6"/>
    <x v="0"/>
    <n v="2975.64"/>
    <n v="0.06"/>
    <x v="61"/>
    <x v="204"/>
    <x v="4"/>
    <x v="1"/>
    <n v="11188.406399999998"/>
    <n v="406.45"/>
  </r>
  <r>
    <n v="1844"/>
    <s v="Maureen Adams"/>
    <x v="3"/>
    <x v="7"/>
    <x v="3"/>
    <n v="2577.6350000000002"/>
    <n v="0.51"/>
    <x v="8"/>
    <x v="374"/>
    <x v="0"/>
    <x v="0"/>
    <n v="3789.12345"/>
    <n v="1910.76"/>
  </r>
  <r>
    <n v="1845"/>
    <s v="Elizabeth Walker"/>
    <x v="4"/>
    <x v="4"/>
    <x v="0"/>
    <n v="2001.5500000000002"/>
    <n v="0.12"/>
    <x v="5"/>
    <x v="121"/>
    <x v="5"/>
    <x v="0"/>
    <n v="7045.456000000001"/>
    <n v="1013.64"/>
  </r>
  <r>
    <n v="1846"/>
    <s v="Ashley Malone"/>
    <x v="3"/>
    <x v="7"/>
    <x v="3"/>
    <n v="694.71"/>
    <n v="0.51"/>
    <x v="520"/>
    <x v="368"/>
    <x v="1"/>
    <x v="1"/>
    <n v="1021.2237"/>
    <n v="255.305925"/>
  </r>
  <r>
    <n v="1847"/>
    <s v="Joshua Mendoza"/>
    <x v="5"/>
    <x v="19"/>
    <x v="0"/>
    <n v="1334.66"/>
    <n v="0.51"/>
    <x v="521"/>
    <x v="364"/>
    <x v="3"/>
    <x v="1"/>
    <n v="2615.9336000000003"/>
    <n v="653.98340000000007"/>
  </r>
  <r>
    <n v="1848"/>
    <s v="Amy Hampton"/>
    <x v="4"/>
    <x v="16"/>
    <x v="0"/>
    <n v="2599.75"/>
    <n v="0.51"/>
    <x v="42"/>
    <x v="375"/>
    <x v="0"/>
    <x v="0"/>
    <n v="5095.51"/>
    <n v="-56.68"/>
  </r>
  <r>
    <n v="1849"/>
    <s v="Kelly Diaz"/>
    <x v="4"/>
    <x v="8"/>
    <x v="3"/>
    <n v="927.04"/>
    <n v="0.51"/>
    <x v="522"/>
    <x v="4"/>
    <x v="1"/>
    <x v="0"/>
    <n v="1362.7487999999998"/>
    <n v="880.71"/>
  </r>
  <r>
    <n v="1850"/>
    <s v="Mr. Nathaniel Cox"/>
    <x v="3"/>
    <x v="3"/>
    <x v="3"/>
    <n v="1307.27"/>
    <n v="0.51"/>
    <x v="523"/>
    <x v="376"/>
    <x v="4"/>
    <x v="1"/>
    <n v="1921.6868999999999"/>
    <n v="1757.18"/>
  </r>
  <r>
    <n v="1851"/>
    <s v="Ms. Brianna Jones"/>
    <x v="0"/>
    <x v="0"/>
    <x v="4"/>
    <n v="1505"/>
    <n v="0.51"/>
    <x v="524"/>
    <x v="287"/>
    <x v="3"/>
    <x v="1"/>
    <n v="3687.25"/>
    <n v="-29.76"/>
  </r>
  <r>
    <n v="1852"/>
    <s v="Andrea Fowler"/>
    <x v="4"/>
    <x v="16"/>
    <x v="0"/>
    <n v="1985.55"/>
    <n v="0.13"/>
    <x v="525"/>
    <x v="377"/>
    <x v="1"/>
    <x v="0"/>
    <n v="6909.7139999999999"/>
    <n v="1754.79"/>
  </r>
  <r>
    <n v="1853"/>
    <s v="Joseph Hall"/>
    <x v="3"/>
    <x v="21"/>
    <x v="3"/>
    <n v="2862.48"/>
    <n v="0.51"/>
    <x v="526"/>
    <x v="378"/>
    <x v="1"/>
    <x v="1"/>
    <n v="4207.8456000000006"/>
    <n v="2555.84"/>
  </r>
  <r>
    <n v="1854"/>
    <s v="Caitlin Hawkins"/>
    <x v="0"/>
    <x v="5"/>
    <x v="3"/>
    <n v="3822.93"/>
    <n v="0.51"/>
    <x v="527"/>
    <x v="4"/>
    <x v="4"/>
    <x v="1"/>
    <n v="5619.7070999999996"/>
    <n v="40.200000000000003"/>
  </r>
  <r>
    <n v="1855"/>
    <s v="Lisa Smith"/>
    <x v="4"/>
    <x v="4"/>
    <x v="4"/>
    <n v="3870.85"/>
    <n v="0.51"/>
    <x v="528"/>
    <x v="346"/>
    <x v="3"/>
    <x v="0"/>
    <n v="9483.5825000000004"/>
    <n v="2313.58"/>
  </r>
  <r>
    <n v="1856"/>
    <s v="Paul Garrison"/>
    <x v="5"/>
    <x v="12"/>
    <x v="1"/>
    <n v="2737.23"/>
    <n v="0.51"/>
    <x v="529"/>
    <x v="57"/>
    <x v="2"/>
    <x v="1"/>
    <n v="1341.2427"/>
    <n v="335.310675"/>
  </r>
  <r>
    <n v="1857"/>
    <s v="Alfred Marsh"/>
    <x v="3"/>
    <x v="21"/>
    <x v="0"/>
    <n v="2785.79"/>
    <n v="0.51"/>
    <x v="110"/>
    <x v="379"/>
    <x v="2"/>
    <x v="1"/>
    <n v="5460.1484"/>
    <n v="-564.27"/>
  </r>
  <r>
    <n v="1858"/>
    <s v="Eric Cooper"/>
    <x v="0"/>
    <x v="20"/>
    <x v="4"/>
    <n v="3647.61"/>
    <n v="0.51"/>
    <x v="530"/>
    <x v="27"/>
    <x v="2"/>
    <x v="1"/>
    <n v="8936.6445000000003"/>
    <n v="1789.65"/>
  </r>
  <r>
    <n v="1859"/>
    <s v="Priscilla Williams"/>
    <x v="3"/>
    <x v="7"/>
    <x v="0"/>
    <n v="1442.86"/>
    <n v="0.85"/>
    <x v="531"/>
    <x v="380"/>
    <x v="4"/>
    <x v="1"/>
    <n v="865.71600000000012"/>
    <n v="216.42900000000003"/>
  </r>
  <r>
    <n v="1860"/>
    <s v="Michael Vasquez"/>
    <x v="5"/>
    <x v="11"/>
    <x v="3"/>
    <n v="2731.6350000000002"/>
    <n v="0.51"/>
    <x v="60"/>
    <x v="4"/>
    <x v="3"/>
    <x v="1"/>
    <n v="4015.5034500000002"/>
    <n v="57.35"/>
  </r>
  <r>
    <n v="1861"/>
    <s v="Timothy Walton"/>
    <x v="1"/>
    <x v="15"/>
    <x v="3"/>
    <n v="2229.4899999999998"/>
    <n v="0.51"/>
    <x v="30"/>
    <x v="260"/>
    <x v="1"/>
    <x v="1"/>
    <n v="3277.3502999999996"/>
    <n v="-934.61"/>
  </r>
  <r>
    <n v="1862"/>
    <s v="Christopher Evans"/>
    <x v="5"/>
    <x v="6"/>
    <x v="4"/>
    <n v="4739.66"/>
    <n v="0.51"/>
    <x v="532"/>
    <x v="4"/>
    <x v="0"/>
    <x v="0"/>
    <n v="11612.166999999999"/>
    <n v="-315.41000000000003"/>
  </r>
  <r>
    <n v="1863"/>
    <s v="Angela Roberts"/>
    <x v="2"/>
    <x v="10"/>
    <x v="0"/>
    <n v="3521.17"/>
    <n v="0.79"/>
    <x v="533"/>
    <x v="381"/>
    <x v="1"/>
    <x v="1"/>
    <n v="2957.7827999999995"/>
    <n v="612.84"/>
  </r>
  <r>
    <n v="1864"/>
    <s v="Cory Chambers"/>
    <x v="3"/>
    <x v="23"/>
    <x v="0"/>
    <n v="1570.06"/>
    <n v="0.51"/>
    <x v="534"/>
    <x v="382"/>
    <x v="0"/>
    <x v="1"/>
    <n v="3077.3175999999999"/>
    <n v="1017.26"/>
  </r>
  <r>
    <n v="1865"/>
    <s v="Ann Melton"/>
    <x v="1"/>
    <x v="22"/>
    <x v="2"/>
    <n v="2496.81"/>
    <n v="0.51"/>
    <x v="535"/>
    <x v="89"/>
    <x v="4"/>
    <x v="1"/>
    <n v="2446.8737999999998"/>
    <n v="28.7"/>
  </r>
  <r>
    <n v="1866"/>
    <s v="Dylan Roth"/>
    <x v="4"/>
    <x v="16"/>
    <x v="0"/>
    <n v="4471.17"/>
    <n v="0.6"/>
    <x v="536"/>
    <x v="86"/>
    <x v="5"/>
    <x v="0"/>
    <n v="7153.8720000000003"/>
    <n v="1335.92"/>
  </r>
  <r>
    <n v="1867"/>
    <s v="Jonathan Lambert"/>
    <x v="5"/>
    <x v="19"/>
    <x v="0"/>
    <n v="1892.54"/>
    <n v="0.09"/>
    <x v="537"/>
    <x v="153"/>
    <x v="1"/>
    <x v="0"/>
    <n v="6888.8455999999996"/>
    <n v="-702.11"/>
  </r>
  <r>
    <n v="1868"/>
    <s v="Heather Graves"/>
    <x v="2"/>
    <x v="17"/>
    <x v="3"/>
    <n v="2385.5749999999998"/>
    <n v="0.51"/>
    <x v="91"/>
    <x v="88"/>
    <x v="0"/>
    <x v="1"/>
    <n v="3506.7952499999997"/>
    <n v="182.74"/>
  </r>
  <r>
    <n v="1869"/>
    <s v="Andrew Martinez"/>
    <x v="1"/>
    <x v="18"/>
    <x v="3"/>
    <n v="2537.59"/>
    <n v="0.51"/>
    <x v="35"/>
    <x v="4"/>
    <x v="1"/>
    <x v="0"/>
    <n v="3730.2573000000002"/>
    <n v="75.28"/>
  </r>
  <r>
    <n v="1870"/>
    <s v="Jeffrey Fischer"/>
    <x v="2"/>
    <x v="10"/>
    <x v="0"/>
    <n v="1870.68"/>
    <n v="0.51"/>
    <x v="538"/>
    <x v="4"/>
    <x v="5"/>
    <x v="1"/>
    <n v="3666.5328"/>
    <n v="2695.81"/>
  </r>
  <r>
    <n v="1871"/>
    <s v="Barbara Schmidt"/>
    <x v="5"/>
    <x v="12"/>
    <x v="3"/>
    <n v="2765.26"/>
    <n v="0.51"/>
    <x v="19"/>
    <x v="84"/>
    <x v="3"/>
    <x v="0"/>
    <n v="4064.9322000000002"/>
    <n v="-431.93"/>
  </r>
  <r>
    <n v="1872"/>
    <s v="Kimberly Reyes"/>
    <x v="4"/>
    <x v="16"/>
    <x v="1"/>
    <n v="3381.64"/>
    <n v="0.48"/>
    <x v="539"/>
    <x v="4"/>
    <x v="0"/>
    <x v="1"/>
    <n v="1758.4528"/>
    <n v="953.93"/>
  </r>
  <r>
    <n v="1873"/>
    <s v="Paul Walker"/>
    <x v="1"/>
    <x v="15"/>
    <x v="3"/>
    <n v="2229.4899999999998"/>
    <n v="0.51"/>
    <x v="30"/>
    <x v="383"/>
    <x v="0"/>
    <x v="1"/>
    <n v="3277.3502999999996"/>
    <n v="-632.25"/>
  </r>
  <r>
    <n v="1874"/>
    <s v="Melanie Phillips"/>
    <x v="2"/>
    <x v="13"/>
    <x v="4"/>
    <n v="2847.02"/>
    <n v="0.51"/>
    <x v="540"/>
    <x v="114"/>
    <x v="1"/>
    <x v="1"/>
    <n v="6975.1989999999996"/>
    <n v="-573.97"/>
  </r>
  <r>
    <n v="1875"/>
    <s v="Alicia Mclean"/>
    <x v="3"/>
    <x v="21"/>
    <x v="0"/>
    <n v="2785.79"/>
    <n v="0.51"/>
    <x v="110"/>
    <x v="384"/>
    <x v="5"/>
    <x v="0"/>
    <n v="5460.1484"/>
    <n v="1125.5"/>
  </r>
  <r>
    <n v="1876"/>
    <s v="Carl Mahoney"/>
    <x v="2"/>
    <x v="2"/>
    <x v="0"/>
    <n v="2933.45"/>
    <n v="0.32"/>
    <x v="13"/>
    <x v="224"/>
    <x v="2"/>
    <x v="1"/>
    <n v="7978.9839999999986"/>
    <n v="986.09"/>
  </r>
  <r>
    <n v="1877"/>
    <s v="Eric Beasley"/>
    <x v="4"/>
    <x v="4"/>
    <x v="0"/>
    <n v="2001.5500000000002"/>
    <n v="0.51"/>
    <x v="5"/>
    <x v="45"/>
    <x v="5"/>
    <x v="1"/>
    <n v="3923.0380000000005"/>
    <n v="1149.23"/>
  </r>
  <r>
    <n v="1878"/>
    <s v="Bonnie Hall"/>
    <x v="5"/>
    <x v="11"/>
    <x v="0"/>
    <n v="2731.6350000000002"/>
    <n v="0.51"/>
    <x v="16"/>
    <x v="255"/>
    <x v="3"/>
    <x v="0"/>
    <n v="5354.0046000000002"/>
    <n v="2247.4899999999998"/>
  </r>
  <r>
    <n v="1879"/>
    <s v="Sarah King"/>
    <x v="3"/>
    <x v="3"/>
    <x v="3"/>
    <n v="444.11"/>
    <n v="0.51"/>
    <x v="541"/>
    <x v="30"/>
    <x v="1"/>
    <x v="0"/>
    <n v="652.84169999999995"/>
    <n v="163.21042499999999"/>
  </r>
  <r>
    <n v="1880"/>
    <s v="Nicholas Evans"/>
    <x v="3"/>
    <x v="21"/>
    <x v="1"/>
    <n v="772.97"/>
    <n v="0.9"/>
    <x v="542"/>
    <x v="99"/>
    <x v="5"/>
    <x v="1"/>
    <n v="77.296999999999983"/>
    <n v="19.324249999999996"/>
  </r>
  <r>
    <n v="1881"/>
    <s v="Patricia Brooks"/>
    <x v="2"/>
    <x v="13"/>
    <x v="3"/>
    <n v="1772.6"/>
    <n v="0.51"/>
    <x v="543"/>
    <x v="45"/>
    <x v="3"/>
    <x v="1"/>
    <n v="2605.7219999999998"/>
    <n v="993.92"/>
  </r>
  <r>
    <n v="1882"/>
    <s v="Kristin Gonzalez"/>
    <x v="1"/>
    <x v="18"/>
    <x v="3"/>
    <n v="1622.79"/>
    <n v="0.51"/>
    <x v="544"/>
    <x v="279"/>
    <x v="0"/>
    <x v="0"/>
    <n v="2385.5012999999999"/>
    <n v="1020.63"/>
  </r>
  <r>
    <n v="1883"/>
    <s v="Jessica Mckenzie"/>
    <x v="0"/>
    <x v="9"/>
    <x v="0"/>
    <n v="4350.8599999999997"/>
    <n v="0.51"/>
    <x v="545"/>
    <x v="4"/>
    <x v="5"/>
    <x v="1"/>
    <n v="8527.6855999999989"/>
    <n v="2845.42"/>
  </r>
  <r>
    <n v="1884"/>
    <s v="Katherine Berry"/>
    <x v="2"/>
    <x v="13"/>
    <x v="5"/>
    <n v="2538.0450000000001"/>
    <n v="0.51"/>
    <x v="174"/>
    <x v="242"/>
    <x v="0"/>
    <x v="0"/>
    <n v="7461.8523000000005"/>
    <n v="-856.25"/>
  </r>
  <r>
    <n v="1885"/>
    <s v="Mrs. Deborah Boone"/>
    <x v="4"/>
    <x v="14"/>
    <x v="0"/>
    <n v="2765.79"/>
    <n v="0.51"/>
    <x v="25"/>
    <x v="294"/>
    <x v="0"/>
    <x v="1"/>
    <n v="5420.9484000000002"/>
    <n v="-571.28"/>
  </r>
  <r>
    <n v="1886"/>
    <s v="Sonya Mendoza"/>
    <x v="3"/>
    <x v="7"/>
    <x v="5"/>
    <n v="1229.0999999999999"/>
    <n v="0.51"/>
    <x v="546"/>
    <x v="4"/>
    <x v="4"/>
    <x v="0"/>
    <n v="3613.5539999999996"/>
    <n v="1005.96"/>
  </r>
  <r>
    <n v="1887"/>
    <s v="Jennifer Sullivan"/>
    <x v="4"/>
    <x v="14"/>
    <x v="3"/>
    <n v="2765.79"/>
    <n v="0.51"/>
    <x v="281"/>
    <x v="385"/>
    <x v="1"/>
    <x v="1"/>
    <n v="4065.7112999999995"/>
    <n v="111.88"/>
  </r>
  <r>
    <n v="1888"/>
    <s v="Jessica Jones"/>
    <x v="2"/>
    <x v="10"/>
    <x v="5"/>
    <n v="2666.2200000000003"/>
    <n v="0.39"/>
    <x v="14"/>
    <x v="4"/>
    <x v="2"/>
    <x v="1"/>
    <n v="9758.3652000000002"/>
    <n v="-80.61"/>
  </r>
  <r>
    <n v="1889"/>
    <s v="Denise Mcconnell"/>
    <x v="5"/>
    <x v="11"/>
    <x v="3"/>
    <n v="3948.83"/>
    <n v="0.51"/>
    <x v="547"/>
    <x v="277"/>
    <x v="5"/>
    <x v="1"/>
    <n v="5804.7800999999999"/>
    <n v="1935.77"/>
  </r>
  <r>
    <n v="1890"/>
    <s v="Madison Joseph"/>
    <x v="3"/>
    <x v="3"/>
    <x v="2"/>
    <n v="3772.51"/>
    <n v="0.51"/>
    <x v="548"/>
    <x v="4"/>
    <x v="3"/>
    <x v="1"/>
    <n v="3697.0598"/>
    <n v="792.89"/>
  </r>
  <r>
    <n v="1891"/>
    <s v="Michael Bradshaw"/>
    <x v="4"/>
    <x v="4"/>
    <x v="0"/>
    <n v="2727.86"/>
    <n v="0.51"/>
    <x v="549"/>
    <x v="369"/>
    <x v="1"/>
    <x v="0"/>
    <n v="5346.6055999999999"/>
    <n v="849.07"/>
  </r>
  <r>
    <n v="1892"/>
    <s v="David Powers"/>
    <x v="0"/>
    <x v="0"/>
    <x v="0"/>
    <n v="2366.6149999999998"/>
    <n v="0.51"/>
    <x v="81"/>
    <x v="4"/>
    <x v="0"/>
    <x v="1"/>
    <n v="4638.5653999999995"/>
    <n v="330.14"/>
  </r>
  <r>
    <n v="1893"/>
    <s v="Ricardo Davis"/>
    <x v="3"/>
    <x v="21"/>
    <x v="0"/>
    <n v="4456.45"/>
    <n v="0.51"/>
    <x v="550"/>
    <x v="4"/>
    <x v="0"/>
    <x v="1"/>
    <n v="8734.6419999999998"/>
    <n v="870.63"/>
  </r>
  <r>
    <n v="1894"/>
    <s v="Maurice Reynolds"/>
    <x v="1"/>
    <x v="22"/>
    <x v="2"/>
    <n v="2793.89"/>
    <n v="0.51"/>
    <x v="551"/>
    <x v="386"/>
    <x v="4"/>
    <x v="1"/>
    <n v="2738.0121999999997"/>
    <n v="-512.73"/>
  </r>
  <r>
    <n v="1003"/>
    <s v="Mark Williams"/>
    <x v="0"/>
    <x v="20"/>
    <x v="4"/>
    <n v="2750.33"/>
    <n v="0.51"/>
    <x v="52"/>
    <x v="156"/>
    <x v="5"/>
    <x v="1"/>
    <n v="6738.3085000000001"/>
    <n v="2368.6999999999998"/>
  </r>
  <r>
    <n v="1896"/>
    <s v="Mr. Daniel Knox"/>
    <x v="4"/>
    <x v="8"/>
    <x v="4"/>
    <n v="4829.8500000000004"/>
    <n v="0.51"/>
    <x v="552"/>
    <x v="4"/>
    <x v="4"/>
    <x v="1"/>
    <n v="11833.1325"/>
    <n v="2993.71"/>
  </r>
  <r>
    <n v="1897"/>
    <s v="Mary Diaz"/>
    <x v="0"/>
    <x v="9"/>
    <x v="0"/>
    <n v="2891.64"/>
    <n v="0.34"/>
    <x v="12"/>
    <x v="126"/>
    <x v="4"/>
    <x v="0"/>
    <n v="7633.9295999999986"/>
    <n v="499.61"/>
  </r>
  <r>
    <n v="1898"/>
    <s v="Tonya Kirby"/>
    <x v="4"/>
    <x v="14"/>
    <x v="4"/>
    <n v="776.98"/>
    <n v="0.51"/>
    <x v="553"/>
    <x v="387"/>
    <x v="2"/>
    <x v="0"/>
    <n v="1903.6010000000001"/>
    <n v="475.90025000000003"/>
  </r>
  <r>
    <n v="1899"/>
    <s v="Amanda Holmes"/>
    <x v="2"/>
    <x v="10"/>
    <x v="0"/>
    <n v="2666.2200000000003"/>
    <n v="0.51"/>
    <x v="142"/>
    <x v="4"/>
    <x v="0"/>
    <x v="0"/>
    <n v="5225.7912000000006"/>
    <n v="500.04"/>
  </r>
  <r>
    <n v="1900"/>
    <s v="Kyle Wright II"/>
    <x v="4"/>
    <x v="8"/>
    <x v="3"/>
    <n v="3027.66"/>
    <n v="0.51"/>
    <x v="94"/>
    <x v="308"/>
    <x v="0"/>
    <x v="1"/>
    <n v="4450.6601999999993"/>
    <n v="959.32"/>
  </r>
  <r>
    <n v="1901"/>
    <s v="Brenda Rasmussen"/>
    <x v="3"/>
    <x v="3"/>
    <x v="0"/>
    <n v="781.91"/>
    <n v="0.51"/>
    <x v="554"/>
    <x v="35"/>
    <x v="5"/>
    <x v="1"/>
    <n v="1532.5436"/>
    <n v="1002.98"/>
  </r>
  <r>
    <n v="1007"/>
    <s v="Brian Wilson"/>
    <x v="3"/>
    <x v="23"/>
    <x v="6"/>
    <n v="3402.85"/>
    <n v="0.63"/>
    <x v="555"/>
    <x v="4"/>
    <x v="5"/>
    <x v="1"/>
    <n v="4406.6907499999998"/>
    <n v="1333.09"/>
  </r>
  <r>
    <n v="1903"/>
    <s v="Ross Wilson"/>
    <x v="5"/>
    <x v="11"/>
    <x v="3"/>
    <n v="2731.6350000000002"/>
    <n v="0.08"/>
    <x v="60"/>
    <x v="120"/>
    <x v="2"/>
    <x v="1"/>
    <n v="7539.3126000000011"/>
    <n v="1264.02"/>
  </r>
  <r>
    <n v="1904"/>
    <s v="Dr. Meredith Murphy"/>
    <x v="0"/>
    <x v="20"/>
    <x v="4"/>
    <n v="1339.18"/>
    <n v="0.51"/>
    <x v="556"/>
    <x v="22"/>
    <x v="3"/>
    <x v="0"/>
    <n v="3280.991"/>
    <n v="554.92999999999995"/>
  </r>
  <r>
    <n v="1905"/>
    <s v="John Wade"/>
    <x v="5"/>
    <x v="19"/>
    <x v="0"/>
    <n v="759.78"/>
    <n v="0.51"/>
    <x v="557"/>
    <x v="4"/>
    <x v="5"/>
    <x v="1"/>
    <n v="1489.1687999999999"/>
    <n v="372.29219999999998"/>
  </r>
  <r>
    <n v="1906"/>
    <s v="Paula Pineda"/>
    <x v="5"/>
    <x v="19"/>
    <x v="0"/>
    <n v="2889.5349999999999"/>
    <n v="0.51"/>
    <x v="36"/>
    <x v="1"/>
    <x v="3"/>
    <x v="1"/>
    <n v="5663.4885999999997"/>
    <n v="406.55"/>
  </r>
  <r>
    <n v="1907"/>
    <s v="Meagan Johnson"/>
    <x v="1"/>
    <x v="1"/>
    <x v="0"/>
    <n v="2579.8000000000002"/>
    <n v="0.51"/>
    <x v="22"/>
    <x v="210"/>
    <x v="4"/>
    <x v="1"/>
    <n v="5056.4080000000004"/>
    <n v="305.87"/>
  </r>
  <r>
    <n v="1908"/>
    <s v="Nathan Garcia"/>
    <x v="0"/>
    <x v="5"/>
    <x v="3"/>
    <n v="3008.6549999999997"/>
    <n v="0.51"/>
    <x v="44"/>
    <x v="4"/>
    <x v="4"/>
    <x v="1"/>
    <n v="4422.7228500000001"/>
    <n v="205.56"/>
  </r>
  <r>
    <n v="1909"/>
    <s v="Christopher Burgess"/>
    <x v="3"/>
    <x v="7"/>
    <x v="1"/>
    <n v="3114.13"/>
    <n v="0.51"/>
    <x v="558"/>
    <x v="388"/>
    <x v="5"/>
    <x v="1"/>
    <n v="1525.9237000000001"/>
    <n v="381.48092500000001"/>
  </r>
  <r>
    <n v="1910"/>
    <s v="Bryce Hooper"/>
    <x v="4"/>
    <x v="8"/>
    <x v="3"/>
    <n v="2155.16"/>
    <n v="0.51"/>
    <x v="559"/>
    <x v="58"/>
    <x v="1"/>
    <x v="1"/>
    <n v="3168.0851999999995"/>
    <n v="425.89"/>
  </r>
  <r>
    <n v="1911"/>
    <s v="Bruce Brown"/>
    <x v="0"/>
    <x v="20"/>
    <x v="5"/>
    <n v="2357.6999999999998"/>
    <n v="0.51"/>
    <x v="560"/>
    <x v="369"/>
    <x v="1"/>
    <x v="1"/>
    <n v="6931.637999999999"/>
    <n v="1901.07"/>
  </r>
  <r>
    <n v="1912"/>
    <s v="Deborah James"/>
    <x v="3"/>
    <x v="3"/>
    <x v="3"/>
    <n v="2515.415"/>
    <n v="0.51"/>
    <x v="11"/>
    <x v="4"/>
    <x v="5"/>
    <x v="0"/>
    <n v="3697.66005"/>
    <n v="2721.15"/>
  </r>
  <r>
    <n v="1913"/>
    <s v="Andrew Espinoza"/>
    <x v="3"/>
    <x v="21"/>
    <x v="4"/>
    <n v="2785.79"/>
    <n v="0.51"/>
    <x v="456"/>
    <x v="4"/>
    <x v="2"/>
    <x v="0"/>
    <n v="6825.1855000000005"/>
    <n v="1490.96"/>
  </r>
  <r>
    <n v="1914"/>
    <s v="Rodney Lee"/>
    <x v="0"/>
    <x v="5"/>
    <x v="5"/>
    <n v="3661.49"/>
    <n v="0.11"/>
    <x v="561"/>
    <x v="389"/>
    <x v="5"/>
    <x v="1"/>
    <n v="19552.356599999999"/>
    <n v="-527.32000000000005"/>
  </r>
  <r>
    <n v="1915"/>
    <s v="Stephanie Callahan"/>
    <x v="3"/>
    <x v="7"/>
    <x v="3"/>
    <n v="2577.6350000000002"/>
    <n v="0.51"/>
    <x v="8"/>
    <x v="390"/>
    <x v="0"/>
    <x v="1"/>
    <n v="3789.12345"/>
    <n v="944.36"/>
  </r>
  <r>
    <n v="1916"/>
    <s v="Adam Sanchez"/>
    <x v="5"/>
    <x v="11"/>
    <x v="3"/>
    <n v="2117.0700000000002"/>
    <n v="0.13"/>
    <x v="562"/>
    <x v="349"/>
    <x v="0"/>
    <x v="1"/>
    <n v="5525.5527000000011"/>
    <n v="2423.2399999999998"/>
  </r>
  <r>
    <n v="1917"/>
    <s v="Benjamin Garrett"/>
    <x v="2"/>
    <x v="13"/>
    <x v="2"/>
    <n v="2538.0450000000001"/>
    <n v="0.51"/>
    <x v="254"/>
    <x v="129"/>
    <x v="1"/>
    <x v="1"/>
    <n v="2487.2840999999999"/>
    <n v="1173.48"/>
  </r>
  <r>
    <n v="1918"/>
    <s v="Christopher Lloyd"/>
    <x v="5"/>
    <x v="19"/>
    <x v="0"/>
    <n v="581.49"/>
    <n v="0.51"/>
    <x v="563"/>
    <x v="391"/>
    <x v="1"/>
    <x v="1"/>
    <n v="1139.7203999999999"/>
    <n v="-714.88"/>
  </r>
  <r>
    <n v="1919"/>
    <s v="Darren Pittman"/>
    <x v="5"/>
    <x v="11"/>
    <x v="3"/>
    <n v="1460.71"/>
    <n v="0.51"/>
    <x v="564"/>
    <x v="4"/>
    <x v="1"/>
    <x v="0"/>
    <n v="2147.2437"/>
    <n v="536.810925"/>
  </r>
  <r>
    <n v="1920"/>
    <s v="Brandon Lawrence"/>
    <x v="1"/>
    <x v="18"/>
    <x v="3"/>
    <n v="4141.2299999999996"/>
    <n v="0.51"/>
    <x v="565"/>
    <x v="308"/>
    <x v="2"/>
    <x v="1"/>
    <n v="6087.6080999999995"/>
    <n v="1455.81"/>
  </r>
  <r>
    <n v="1921"/>
    <s v="Corey Padilla"/>
    <x v="3"/>
    <x v="21"/>
    <x v="0"/>
    <n v="4224.3100000000004"/>
    <n v="0.51"/>
    <x v="566"/>
    <x v="4"/>
    <x v="4"/>
    <x v="1"/>
    <n v="8279.6476000000002"/>
    <n v="2660.84"/>
  </r>
  <r>
    <n v="1922"/>
    <s v="Kimberly Bowers"/>
    <x v="5"/>
    <x v="12"/>
    <x v="3"/>
    <n v="2765.26"/>
    <n v="0.51"/>
    <x v="19"/>
    <x v="203"/>
    <x v="0"/>
    <x v="1"/>
    <n v="4064.9322000000002"/>
    <n v="-616.36"/>
  </r>
  <r>
    <n v="1923"/>
    <s v="Ruth King"/>
    <x v="1"/>
    <x v="1"/>
    <x v="0"/>
    <n v="3865.62"/>
    <n v="0.51"/>
    <x v="567"/>
    <x v="392"/>
    <x v="3"/>
    <x v="1"/>
    <n v="7576.6151999999993"/>
    <n v="-56.4"/>
  </r>
  <r>
    <n v="1924"/>
    <s v="Bethany Gallagher"/>
    <x v="0"/>
    <x v="5"/>
    <x v="3"/>
    <n v="2999.49"/>
    <n v="0.51"/>
    <x v="568"/>
    <x v="351"/>
    <x v="1"/>
    <x v="1"/>
    <n v="4409.2502999999997"/>
    <n v="-988.45"/>
  </r>
  <r>
    <n v="1925"/>
    <s v="Patrick Benson"/>
    <x v="3"/>
    <x v="23"/>
    <x v="6"/>
    <n v="1429.24"/>
    <n v="0.51"/>
    <x v="569"/>
    <x v="100"/>
    <x v="0"/>
    <x v="1"/>
    <n v="2451.1466"/>
    <n v="2081.7800000000002"/>
  </r>
  <r>
    <n v="1926"/>
    <s v="Connie Wilson"/>
    <x v="2"/>
    <x v="13"/>
    <x v="0"/>
    <n v="2533.37"/>
    <n v="0.51"/>
    <x v="570"/>
    <x v="187"/>
    <x v="3"/>
    <x v="0"/>
    <n v="4965.4052000000001"/>
    <n v="-490.96"/>
  </r>
  <r>
    <n v="1927"/>
    <s v="Anthony Rich"/>
    <x v="4"/>
    <x v="14"/>
    <x v="4"/>
    <n v="2765.79"/>
    <n v="0.51"/>
    <x v="96"/>
    <x v="280"/>
    <x v="4"/>
    <x v="1"/>
    <n v="6776.1855000000005"/>
    <n v="1844.54"/>
  </r>
  <r>
    <n v="1928"/>
    <s v="Anthony Sandoval"/>
    <x v="5"/>
    <x v="6"/>
    <x v="0"/>
    <n v="2975.64"/>
    <n v="0.51"/>
    <x v="61"/>
    <x v="393"/>
    <x v="0"/>
    <x v="1"/>
    <n v="5832.2543999999998"/>
    <n v="2676.77"/>
  </r>
  <r>
    <n v="1929"/>
    <s v="Regina Allen"/>
    <x v="3"/>
    <x v="21"/>
    <x v="0"/>
    <n v="3618.48"/>
    <n v="0.51"/>
    <x v="571"/>
    <x v="4"/>
    <x v="0"/>
    <x v="1"/>
    <n v="7092.2208000000001"/>
    <n v="1383.46"/>
  </r>
  <r>
    <n v="1930"/>
    <s v="Jesse Carter"/>
    <x v="0"/>
    <x v="5"/>
    <x v="3"/>
    <n v="3017.82"/>
    <n v="0.51"/>
    <x v="572"/>
    <x v="4"/>
    <x v="1"/>
    <x v="1"/>
    <n v="4436.1954000000005"/>
    <n v="1257.0999999999999"/>
  </r>
  <r>
    <n v="1931"/>
    <s v="Tim Alvarez"/>
    <x v="0"/>
    <x v="5"/>
    <x v="3"/>
    <n v="3008.6549999999997"/>
    <n v="0.51"/>
    <x v="44"/>
    <x v="4"/>
    <x v="5"/>
    <x v="1"/>
    <n v="4422.7228500000001"/>
    <n v="1820.4"/>
  </r>
  <r>
    <n v="1932"/>
    <s v="Lisa Perez"/>
    <x v="4"/>
    <x v="4"/>
    <x v="0"/>
    <n v="436.31"/>
    <n v="0.51"/>
    <x v="573"/>
    <x v="327"/>
    <x v="5"/>
    <x v="1"/>
    <n v="855.16759999999999"/>
    <n v="213.7919"/>
  </r>
  <r>
    <n v="1933"/>
    <s v="Vincent Torres"/>
    <x v="1"/>
    <x v="22"/>
    <x v="6"/>
    <n v="1403.41"/>
    <n v="0.51"/>
    <x v="574"/>
    <x v="4"/>
    <x v="5"/>
    <x v="1"/>
    <n v="2406.8481500000003"/>
    <n v="635.85"/>
  </r>
  <r>
    <n v="1934"/>
    <s v="Sean Warren DDS"/>
    <x v="0"/>
    <x v="9"/>
    <x v="0"/>
    <n v="3369.03"/>
    <n v="0.51"/>
    <x v="575"/>
    <x v="308"/>
    <x v="4"/>
    <x v="1"/>
    <n v="6603.2988000000005"/>
    <n v="-144.96"/>
  </r>
  <r>
    <n v="1935"/>
    <s v="Mary Allen"/>
    <x v="1"/>
    <x v="1"/>
    <x v="5"/>
    <n v="2579.8000000000002"/>
    <n v="0.51"/>
    <x v="297"/>
    <x v="331"/>
    <x v="2"/>
    <x v="1"/>
    <n v="7584.6120000000001"/>
    <n v="2390.71"/>
  </r>
  <r>
    <n v="1936"/>
    <s v="Michelle Walsh"/>
    <x v="0"/>
    <x v="20"/>
    <x v="4"/>
    <n v="804.78"/>
    <n v="0.51"/>
    <x v="576"/>
    <x v="122"/>
    <x v="1"/>
    <x v="1"/>
    <n v="1971.7109999999998"/>
    <n v="1109.21"/>
  </r>
  <r>
    <n v="1937"/>
    <s v="Tim Dean"/>
    <x v="3"/>
    <x v="21"/>
    <x v="0"/>
    <n v="643.24"/>
    <n v="0.51"/>
    <x v="577"/>
    <x v="269"/>
    <x v="1"/>
    <x v="0"/>
    <n v="1260.7503999999999"/>
    <n v="315.18759999999997"/>
  </r>
  <r>
    <n v="1938"/>
    <s v="Kristen Mahoney"/>
    <x v="1"/>
    <x v="1"/>
    <x v="0"/>
    <n v="2579.8000000000002"/>
    <n v="0.34"/>
    <x v="22"/>
    <x v="182"/>
    <x v="4"/>
    <x v="0"/>
    <n v="6810.6719999999996"/>
    <n v="-528.58000000000004"/>
  </r>
  <r>
    <n v="1939"/>
    <s v="Destiny Harris"/>
    <x v="1"/>
    <x v="22"/>
    <x v="6"/>
    <n v="2752.99"/>
    <n v="0.99"/>
    <x v="201"/>
    <x v="320"/>
    <x v="3"/>
    <x v="1"/>
    <n v="96.354650000000092"/>
    <n v="24.088662500000023"/>
  </r>
  <r>
    <n v="1940"/>
    <s v="Martin Miller"/>
    <x v="5"/>
    <x v="19"/>
    <x v="0"/>
    <n v="3428.02"/>
    <n v="0.51"/>
    <x v="578"/>
    <x v="97"/>
    <x v="2"/>
    <x v="1"/>
    <n v="6718.9192000000003"/>
    <n v="-881.03"/>
  </r>
  <r>
    <n v="1941"/>
    <s v="Kyle Lopez"/>
    <x v="2"/>
    <x v="2"/>
    <x v="0"/>
    <n v="2933.45"/>
    <n v="0.51"/>
    <x v="13"/>
    <x v="106"/>
    <x v="1"/>
    <x v="1"/>
    <n v="5749.5619999999999"/>
    <n v="-298.48"/>
  </r>
  <r>
    <n v="1942"/>
    <s v="Madison Gonzales"/>
    <x v="1"/>
    <x v="1"/>
    <x v="0"/>
    <n v="3710.07"/>
    <n v="0.83"/>
    <x v="579"/>
    <x v="394"/>
    <x v="2"/>
    <x v="0"/>
    <n v="2522.8476000000005"/>
    <n v="630.71190000000013"/>
  </r>
  <r>
    <n v="1943"/>
    <s v="William Hudson"/>
    <x v="2"/>
    <x v="10"/>
    <x v="0"/>
    <n v="3153.49"/>
    <n v="0.51"/>
    <x v="580"/>
    <x v="4"/>
    <x v="1"/>
    <x v="1"/>
    <n v="6180.8403999999991"/>
    <n v="763.19"/>
  </r>
  <r>
    <n v="1944"/>
    <s v="Steven Huynh"/>
    <x v="0"/>
    <x v="5"/>
    <x v="3"/>
    <n v="3227.22"/>
    <n v="0.51"/>
    <x v="581"/>
    <x v="4"/>
    <x v="2"/>
    <x v="1"/>
    <n v="4744.0133999999998"/>
    <n v="597.80999999999995"/>
  </r>
  <r>
    <n v="1945"/>
    <s v="Richard Nichols"/>
    <x v="0"/>
    <x v="20"/>
    <x v="4"/>
    <n v="2803.56"/>
    <n v="0.51"/>
    <x v="582"/>
    <x v="395"/>
    <x v="0"/>
    <x v="1"/>
    <n v="6868.7219999999998"/>
    <n v="-624.79"/>
  </r>
  <r>
    <n v="1946"/>
    <s v="William Martinez"/>
    <x v="0"/>
    <x v="20"/>
    <x v="4"/>
    <n v="2355.36"/>
    <n v="0.51"/>
    <x v="583"/>
    <x v="235"/>
    <x v="0"/>
    <x v="1"/>
    <n v="5770.6320000000005"/>
    <n v="2397.33"/>
  </r>
  <r>
    <n v="1947"/>
    <s v="Devin Monroe"/>
    <x v="0"/>
    <x v="9"/>
    <x v="0"/>
    <n v="2891.64"/>
    <n v="0.2"/>
    <x v="12"/>
    <x v="72"/>
    <x v="2"/>
    <x v="0"/>
    <n v="9253.2479999999996"/>
    <n v="1608.36"/>
  </r>
  <r>
    <n v="1948"/>
    <s v="Craig Matthews"/>
    <x v="0"/>
    <x v="0"/>
    <x v="0"/>
    <n v="2755.59"/>
    <n v="0.51"/>
    <x v="584"/>
    <x v="356"/>
    <x v="1"/>
    <x v="0"/>
    <n v="5400.9564"/>
    <n v="1058.83"/>
  </r>
  <r>
    <n v="1949"/>
    <s v="Michelle Bennett"/>
    <x v="2"/>
    <x v="13"/>
    <x v="0"/>
    <n v="4000.18"/>
    <n v="0.89"/>
    <x v="585"/>
    <x v="4"/>
    <x v="2"/>
    <x v="1"/>
    <n v="1760.0791999999997"/>
    <n v="713.58"/>
  </r>
  <r>
    <n v="1950"/>
    <s v="Justin Forbes"/>
    <x v="5"/>
    <x v="11"/>
    <x v="3"/>
    <n v="2270.65"/>
    <n v="0"/>
    <x v="586"/>
    <x v="396"/>
    <x v="1"/>
    <x v="0"/>
    <n v="6811.9500000000007"/>
    <n v="2324.34"/>
  </r>
  <r>
    <n v="1951"/>
    <s v="Anna Rogers"/>
    <x v="2"/>
    <x v="2"/>
    <x v="2"/>
    <n v="2390.4299999999998"/>
    <n v="0.35"/>
    <x v="587"/>
    <x v="94"/>
    <x v="0"/>
    <x v="1"/>
    <n v="3107.5589999999997"/>
    <n v="-634.86"/>
  </r>
  <r>
    <n v="1952"/>
    <s v="Aaron Woods"/>
    <x v="0"/>
    <x v="20"/>
    <x v="4"/>
    <n v="2750.33"/>
    <n v="0.51"/>
    <x v="52"/>
    <x v="397"/>
    <x v="5"/>
    <x v="0"/>
    <n v="6738.3085000000001"/>
    <n v="2835.63"/>
  </r>
  <r>
    <n v="1953"/>
    <s v="Lisa Lewis"/>
    <x v="1"/>
    <x v="15"/>
    <x v="3"/>
    <n v="2229.4899999999998"/>
    <n v="0.51"/>
    <x v="30"/>
    <x v="72"/>
    <x v="2"/>
    <x v="1"/>
    <n v="3277.3502999999996"/>
    <n v="1996.25"/>
  </r>
  <r>
    <n v="1954"/>
    <s v="Miss Angela Webb"/>
    <x v="0"/>
    <x v="20"/>
    <x v="4"/>
    <n v="2315.7800000000002"/>
    <n v="0.51"/>
    <x v="588"/>
    <x v="128"/>
    <x v="1"/>
    <x v="1"/>
    <n v="5673.661000000001"/>
    <n v="2501.64"/>
  </r>
  <r>
    <n v="1955"/>
    <s v="Sean Smith"/>
    <x v="2"/>
    <x v="10"/>
    <x v="1"/>
    <n v="2787.46"/>
    <n v="0.92"/>
    <x v="589"/>
    <x v="296"/>
    <x v="2"/>
    <x v="1"/>
    <n v="222.99679999999989"/>
    <n v="55.749199999999973"/>
  </r>
  <r>
    <n v="1956"/>
    <s v="James Brown"/>
    <x v="1"/>
    <x v="1"/>
    <x v="0"/>
    <n v="2579.8000000000002"/>
    <n v="0.51"/>
    <x v="22"/>
    <x v="62"/>
    <x v="3"/>
    <x v="1"/>
    <n v="5056.4080000000004"/>
    <n v="-850.76"/>
  </r>
  <r>
    <n v="1957"/>
    <s v="Paula Robinson"/>
    <x v="3"/>
    <x v="21"/>
    <x v="0"/>
    <n v="494.81"/>
    <n v="0.51"/>
    <x v="590"/>
    <x v="398"/>
    <x v="4"/>
    <x v="1"/>
    <n v="969.82759999999996"/>
    <n v="-35.32"/>
  </r>
  <r>
    <n v="1958"/>
    <s v="Jonathan Melton"/>
    <x v="4"/>
    <x v="4"/>
    <x v="0"/>
    <n v="3068.38"/>
    <n v="0.51"/>
    <x v="591"/>
    <x v="336"/>
    <x v="3"/>
    <x v="1"/>
    <n v="6014.0248000000001"/>
    <n v="2376.6799999999998"/>
  </r>
  <r>
    <n v="1959"/>
    <s v="Deanna Ortiz"/>
    <x v="1"/>
    <x v="18"/>
    <x v="3"/>
    <n v="3805.09"/>
    <n v="0.51"/>
    <x v="592"/>
    <x v="4"/>
    <x v="1"/>
    <x v="1"/>
    <n v="5593.4822999999997"/>
    <n v="-476"/>
  </r>
  <r>
    <n v="1960"/>
    <s v="Janet Murray MD"/>
    <x v="2"/>
    <x v="13"/>
    <x v="2"/>
    <n v="1369.81"/>
    <n v="0.67"/>
    <x v="593"/>
    <x v="363"/>
    <x v="5"/>
    <x v="1"/>
    <n v="904.0745999999998"/>
    <n v="226.01864999999995"/>
  </r>
  <r>
    <n v="1961"/>
    <s v="Megan Scott"/>
    <x v="1"/>
    <x v="18"/>
    <x v="3"/>
    <n v="2204.39"/>
    <n v="0.51"/>
    <x v="594"/>
    <x v="399"/>
    <x v="5"/>
    <x v="1"/>
    <n v="3240.4533000000001"/>
    <n v="-546.19000000000005"/>
  </r>
  <r>
    <n v="1962"/>
    <s v="Spencer Jacobs"/>
    <x v="2"/>
    <x v="10"/>
    <x v="0"/>
    <n v="2666.2200000000003"/>
    <n v="0.51"/>
    <x v="142"/>
    <x v="400"/>
    <x v="0"/>
    <x v="1"/>
    <n v="5225.7912000000006"/>
    <n v="1408.3"/>
  </r>
  <r>
    <n v="1963"/>
    <s v="Isaac Montgomery"/>
    <x v="2"/>
    <x v="17"/>
    <x v="3"/>
    <n v="1935.29"/>
    <n v="0.51"/>
    <x v="595"/>
    <x v="168"/>
    <x v="2"/>
    <x v="1"/>
    <n v="2844.8762999999999"/>
    <n v="-114.47"/>
  </r>
  <r>
    <n v="1964"/>
    <s v="Johnny Walker"/>
    <x v="4"/>
    <x v="8"/>
    <x v="3"/>
    <n v="3027.66"/>
    <n v="0.51"/>
    <x v="94"/>
    <x v="4"/>
    <x v="3"/>
    <x v="1"/>
    <n v="4450.6601999999993"/>
    <n v="2202.2800000000002"/>
  </r>
  <r>
    <n v="1965"/>
    <s v="Dawn Thompson"/>
    <x v="5"/>
    <x v="19"/>
    <x v="0"/>
    <n v="2889.5349999999999"/>
    <n v="0.51"/>
    <x v="36"/>
    <x v="401"/>
    <x v="5"/>
    <x v="1"/>
    <n v="5663.4885999999997"/>
    <n v="2663.36"/>
  </r>
  <r>
    <n v="1966"/>
    <s v="Amber Fernandez"/>
    <x v="2"/>
    <x v="2"/>
    <x v="0"/>
    <n v="2933.45"/>
    <n v="0.51"/>
    <x v="13"/>
    <x v="4"/>
    <x v="5"/>
    <x v="1"/>
    <n v="5749.5619999999999"/>
    <n v="2887.5"/>
  </r>
  <r>
    <n v="1967"/>
    <s v="Lisa Hernandez"/>
    <x v="4"/>
    <x v="16"/>
    <x v="0"/>
    <n v="2599.75"/>
    <n v="0.51"/>
    <x v="42"/>
    <x v="4"/>
    <x v="1"/>
    <x v="1"/>
    <n v="5095.51"/>
    <n v="1310.86"/>
  </r>
  <r>
    <n v="1968"/>
    <s v="Luis Vazquez"/>
    <x v="1"/>
    <x v="1"/>
    <x v="4"/>
    <n v="2579.8000000000002"/>
    <n v="0.51"/>
    <x v="596"/>
    <x v="96"/>
    <x v="3"/>
    <x v="1"/>
    <n v="6320.51"/>
    <n v="-168.76"/>
  </r>
  <r>
    <n v="1969"/>
    <s v="Angelica Hansen"/>
    <x v="0"/>
    <x v="0"/>
    <x v="0"/>
    <n v="2153.5700000000002"/>
    <n v="0.51"/>
    <x v="597"/>
    <x v="363"/>
    <x v="2"/>
    <x v="0"/>
    <n v="4220.9971999999998"/>
    <n v="1200.02"/>
  </r>
  <r>
    <n v="1970"/>
    <s v="Tracey Taylor"/>
    <x v="1"/>
    <x v="18"/>
    <x v="5"/>
    <n v="2537.59"/>
    <n v="0.51"/>
    <x v="345"/>
    <x v="4"/>
    <x v="5"/>
    <x v="1"/>
    <n v="7460.5146000000004"/>
    <n v="1016.11"/>
  </r>
  <r>
    <n v="1971"/>
    <s v="Stephanie Wolfe"/>
    <x v="3"/>
    <x v="7"/>
    <x v="3"/>
    <n v="4746.5200000000004"/>
    <n v="0.51"/>
    <x v="598"/>
    <x v="61"/>
    <x v="2"/>
    <x v="1"/>
    <n v="6977.3844000000008"/>
    <n v="1981.22"/>
  </r>
  <r>
    <n v="1972"/>
    <s v="Melissa Weaver"/>
    <x v="1"/>
    <x v="15"/>
    <x v="3"/>
    <n v="2229.4899999999998"/>
    <n v="0.51"/>
    <x v="30"/>
    <x v="168"/>
    <x v="0"/>
    <x v="0"/>
    <n v="3277.3502999999996"/>
    <n v="-161.86000000000001"/>
  </r>
  <r>
    <n v="1973"/>
    <s v="Sarah Gonzalez"/>
    <x v="3"/>
    <x v="23"/>
    <x v="6"/>
    <n v="2338.04"/>
    <n v="0.51"/>
    <x v="171"/>
    <x v="291"/>
    <x v="5"/>
    <x v="0"/>
    <n v="4009.7385999999997"/>
    <n v="838.06"/>
  </r>
  <r>
    <n v="1974"/>
    <s v="Gregory Munoz"/>
    <x v="0"/>
    <x v="20"/>
    <x v="4"/>
    <n v="3286.66"/>
    <n v="0.51"/>
    <x v="599"/>
    <x v="4"/>
    <x v="1"/>
    <x v="1"/>
    <n v="8052.3169999999991"/>
    <n v="1019.91"/>
  </r>
  <r>
    <n v="1975"/>
    <s v="Gregory Wilson"/>
    <x v="4"/>
    <x v="14"/>
    <x v="0"/>
    <n v="3853.49"/>
    <n v="0.51"/>
    <x v="600"/>
    <x v="4"/>
    <x v="2"/>
    <x v="1"/>
    <n v="7552.8403999999991"/>
    <n v="77.2"/>
  </r>
  <r>
    <n v="1976"/>
    <s v="Carla Mcneil"/>
    <x v="0"/>
    <x v="20"/>
    <x v="4"/>
    <n v="4363.08"/>
    <n v="0.51"/>
    <x v="601"/>
    <x v="128"/>
    <x v="0"/>
    <x v="0"/>
    <n v="10689.546"/>
    <n v="-16.09"/>
  </r>
  <r>
    <n v="1977"/>
    <s v="Michael Gray"/>
    <x v="4"/>
    <x v="8"/>
    <x v="2"/>
    <n v="4126.29"/>
    <n v="0.51"/>
    <x v="602"/>
    <x v="4"/>
    <x v="2"/>
    <x v="1"/>
    <n v="4043.7642000000001"/>
    <n v="-578.63"/>
  </r>
  <r>
    <n v="1978"/>
    <s v="Cody Atkins"/>
    <x v="4"/>
    <x v="14"/>
    <x v="0"/>
    <n v="2765.79"/>
    <n v="0.51"/>
    <x v="25"/>
    <x v="402"/>
    <x v="2"/>
    <x v="1"/>
    <n v="5420.9484000000002"/>
    <n v="-120.11"/>
  </r>
  <r>
    <n v="1979"/>
    <s v="Thomas Shepard"/>
    <x v="5"/>
    <x v="19"/>
    <x v="0"/>
    <n v="4375.7"/>
    <n v="0.91"/>
    <x v="603"/>
    <x v="271"/>
    <x v="3"/>
    <x v="1"/>
    <n v="1575.2519999999995"/>
    <n v="250.46"/>
  </r>
  <r>
    <n v="1980"/>
    <s v="Mary Hill"/>
    <x v="3"/>
    <x v="23"/>
    <x v="1"/>
    <n v="1426.73"/>
    <n v="0.51"/>
    <x v="604"/>
    <x v="309"/>
    <x v="5"/>
    <x v="0"/>
    <n v="699.09770000000003"/>
    <n v="174.77442500000001"/>
  </r>
  <r>
    <n v="1981"/>
    <s v="Donna Fisher"/>
    <x v="5"/>
    <x v="11"/>
    <x v="3"/>
    <n v="2731.6350000000002"/>
    <n v="0.51"/>
    <x v="60"/>
    <x v="4"/>
    <x v="0"/>
    <x v="1"/>
    <n v="4015.5034500000002"/>
    <n v="1171.6500000000001"/>
  </r>
  <r>
    <n v="1982"/>
    <s v="Christian Johnson"/>
    <x v="5"/>
    <x v="12"/>
    <x v="3"/>
    <n v="3701.72"/>
    <n v="0.51"/>
    <x v="605"/>
    <x v="4"/>
    <x v="1"/>
    <x v="1"/>
    <n v="5441.5284000000001"/>
    <n v="1936.33"/>
  </r>
  <r>
    <n v="1983"/>
    <s v="Janet Evans"/>
    <x v="1"/>
    <x v="15"/>
    <x v="3"/>
    <n v="2348.2600000000002"/>
    <n v="0.51"/>
    <x v="606"/>
    <x v="403"/>
    <x v="3"/>
    <x v="1"/>
    <n v="3451.9422000000004"/>
    <n v="358.59"/>
  </r>
  <r>
    <n v="1984"/>
    <s v="Christopher Martin"/>
    <x v="5"/>
    <x v="11"/>
    <x v="3"/>
    <n v="2731.6350000000002"/>
    <n v="0.51"/>
    <x v="60"/>
    <x v="52"/>
    <x v="3"/>
    <x v="1"/>
    <n v="4015.5034500000002"/>
    <n v="881.47"/>
  </r>
  <r>
    <n v="1985"/>
    <s v="Melanie Noble"/>
    <x v="2"/>
    <x v="17"/>
    <x v="3"/>
    <n v="1668.18"/>
    <n v="0.63"/>
    <x v="607"/>
    <x v="191"/>
    <x v="0"/>
    <x v="1"/>
    <n v="1851.6797999999999"/>
    <n v="-553.53"/>
  </r>
  <r>
    <n v="1986"/>
    <s v="Leslie White"/>
    <x v="5"/>
    <x v="6"/>
    <x v="0"/>
    <n v="2975.64"/>
    <n v="0.06"/>
    <x v="61"/>
    <x v="47"/>
    <x v="4"/>
    <x v="1"/>
    <n v="11188.406399999998"/>
    <n v="2806.51"/>
  </r>
  <r>
    <n v="1987"/>
    <s v="Carolyn Nicholson"/>
    <x v="3"/>
    <x v="3"/>
    <x v="3"/>
    <n v="2515.415"/>
    <n v="0.8"/>
    <x v="11"/>
    <x v="122"/>
    <x v="4"/>
    <x v="1"/>
    <n v="1509.2489999999996"/>
    <n v="377.31224999999989"/>
  </r>
  <r>
    <n v="1988"/>
    <s v="Victor Hill"/>
    <x v="2"/>
    <x v="17"/>
    <x v="3"/>
    <n v="2385.5749999999998"/>
    <n v="0.51"/>
    <x v="91"/>
    <x v="156"/>
    <x v="3"/>
    <x v="1"/>
    <n v="3506.7952499999997"/>
    <n v="-298.07"/>
  </r>
  <r>
    <n v="1989"/>
    <s v="Dillon Cruz"/>
    <x v="4"/>
    <x v="4"/>
    <x v="0"/>
    <n v="2001.5500000000002"/>
    <n v="0.51"/>
    <x v="5"/>
    <x v="159"/>
    <x v="1"/>
    <x v="1"/>
    <n v="3923.0380000000005"/>
    <n v="2646.08"/>
  </r>
  <r>
    <n v="1990"/>
    <s v="Danny Ayers"/>
    <x v="0"/>
    <x v="5"/>
    <x v="3"/>
    <n v="1203.45"/>
    <n v="0.51"/>
    <x v="608"/>
    <x v="265"/>
    <x v="0"/>
    <x v="0"/>
    <n v="1769.0715000000002"/>
    <n v="1184.3599999999999"/>
  </r>
  <r>
    <n v="1991"/>
    <s v="Marcia Moore"/>
    <x v="1"/>
    <x v="22"/>
    <x v="6"/>
    <n v="2808.46"/>
    <n v="0.67"/>
    <x v="609"/>
    <x v="4"/>
    <x v="2"/>
    <x v="0"/>
    <n v="3243.7712999999999"/>
    <n v="1592.37"/>
  </r>
  <r>
    <n v="1992"/>
    <s v="Lori Williams"/>
    <x v="4"/>
    <x v="14"/>
    <x v="0"/>
    <n v="2765.79"/>
    <n v="0.72"/>
    <x v="25"/>
    <x v="4"/>
    <x v="3"/>
    <x v="1"/>
    <n v="3097.6848000000005"/>
    <n v="2416.37"/>
  </r>
  <r>
    <n v="1993"/>
    <s v="Joanne Mitchell"/>
    <x v="2"/>
    <x v="17"/>
    <x v="3"/>
    <n v="2385.5749999999998"/>
    <n v="0.51"/>
    <x v="91"/>
    <x v="404"/>
    <x v="5"/>
    <x v="0"/>
    <n v="3506.7952499999997"/>
    <n v="937.22"/>
  </r>
  <r>
    <n v="1994"/>
    <s v="Manuel Carter"/>
    <x v="0"/>
    <x v="20"/>
    <x v="4"/>
    <n v="1010.48"/>
    <n v="0.51"/>
    <x v="610"/>
    <x v="175"/>
    <x v="4"/>
    <x v="0"/>
    <n v="2475.6759999999999"/>
    <n v="2321.5300000000002"/>
  </r>
  <r>
    <n v="1995"/>
    <s v="Heather Gardner"/>
    <x v="1"/>
    <x v="22"/>
    <x v="0"/>
    <n v="2752.99"/>
    <n v="0.51"/>
    <x v="366"/>
    <x v="305"/>
    <x v="0"/>
    <x v="0"/>
    <n v="5395.8603999999996"/>
    <n v="1815.94"/>
  </r>
  <r>
    <n v="1996"/>
    <s v="Julia Crawford"/>
    <x v="3"/>
    <x v="21"/>
    <x v="0"/>
    <n v="2785.79"/>
    <n v="0.51"/>
    <x v="110"/>
    <x v="280"/>
    <x v="2"/>
    <x v="1"/>
    <n v="5460.1484"/>
    <n v="1145.05"/>
  </r>
  <r>
    <n v="1997"/>
    <s v="Vicki Kennedy"/>
    <x v="1"/>
    <x v="1"/>
    <x v="0"/>
    <n v="2579.8000000000002"/>
    <n v="0.53"/>
    <x v="22"/>
    <x v="235"/>
    <x v="0"/>
    <x v="0"/>
    <n v="4850.0240000000003"/>
    <n v="141.76"/>
  </r>
  <r>
    <n v="1998"/>
    <s v="Thomas Howard"/>
    <x v="4"/>
    <x v="14"/>
    <x v="4"/>
    <n v="2567.59"/>
    <n v="0.51"/>
    <x v="611"/>
    <x v="405"/>
    <x v="0"/>
    <x v="0"/>
    <n v="6290.5955000000004"/>
    <n v="-702.7"/>
  </r>
  <r>
    <n v="1999"/>
    <s v="Glenn Blackwell"/>
    <x v="2"/>
    <x v="13"/>
    <x v="0"/>
    <n v="2538.0450000000001"/>
    <n v="0.81"/>
    <x v="21"/>
    <x v="35"/>
    <x v="4"/>
    <x v="0"/>
    <n v="1928.9141999999995"/>
    <n v="938.71"/>
  </r>
  <r>
    <n v="2000"/>
    <s v="Christopher Ortiz"/>
    <x v="1"/>
    <x v="22"/>
    <x v="6"/>
    <n v="1966.21"/>
    <n v="0.51"/>
    <x v="612"/>
    <x v="319"/>
    <x v="3"/>
    <x v="1"/>
    <n v="3372.05015"/>
    <n v="2035.1"/>
  </r>
  <r>
    <n v="2001"/>
    <s v="Adam Larson"/>
    <x v="5"/>
    <x v="12"/>
    <x v="1"/>
    <n v="2765.26"/>
    <n v="0.51"/>
    <x v="255"/>
    <x v="4"/>
    <x v="2"/>
    <x v="0"/>
    <n v="1354.9774"/>
    <n v="338.74435"/>
  </r>
  <r>
    <n v="2002"/>
    <s v="Jeffrey Hess"/>
    <x v="4"/>
    <x v="4"/>
    <x v="0"/>
    <n v="1335.29"/>
    <n v="0.51"/>
    <x v="613"/>
    <x v="371"/>
    <x v="1"/>
    <x v="0"/>
    <n v="2617.1684"/>
    <n v="1372.9"/>
  </r>
  <r>
    <n v="2003"/>
    <s v="Megan Carter"/>
    <x v="1"/>
    <x v="18"/>
    <x v="3"/>
    <n v="2910.84"/>
    <n v="0.51"/>
    <x v="614"/>
    <x v="252"/>
    <x v="1"/>
    <x v="0"/>
    <n v="4278.9348"/>
    <n v="-304.63"/>
  </r>
  <r>
    <n v="2004"/>
    <s v="Ryan Schultz"/>
    <x v="1"/>
    <x v="15"/>
    <x v="3"/>
    <n v="2229.4899999999998"/>
    <n v="0.51"/>
    <x v="30"/>
    <x v="59"/>
    <x v="2"/>
    <x v="1"/>
    <n v="3277.3502999999996"/>
    <n v="1452.85"/>
  </r>
  <r>
    <n v="2005"/>
    <s v="Jennifer Ruiz"/>
    <x v="0"/>
    <x v="9"/>
    <x v="0"/>
    <n v="2891.64"/>
    <n v="0.51"/>
    <x v="12"/>
    <x v="321"/>
    <x v="0"/>
    <x v="1"/>
    <n v="5667.6143999999995"/>
    <n v="559.6"/>
  </r>
  <r>
    <n v="2006"/>
    <s v="Justin Harvey"/>
    <x v="3"/>
    <x v="23"/>
    <x v="6"/>
    <n v="1283.6199999999999"/>
    <n v="0.51"/>
    <x v="615"/>
    <x v="4"/>
    <x v="1"/>
    <x v="0"/>
    <n v="2201.4083000000001"/>
    <n v="541.27"/>
  </r>
  <r>
    <n v="2007"/>
    <s v="Kristen Martin"/>
    <x v="1"/>
    <x v="22"/>
    <x v="3"/>
    <n v="3413.11"/>
    <n v="0.9"/>
    <x v="616"/>
    <x v="4"/>
    <x v="4"/>
    <x v="1"/>
    <n v="1023.9329999999998"/>
    <n v="-440.8"/>
  </r>
  <r>
    <n v="2008"/>
    <s v="Carlos Bishop"/>
    <x v="5"/>
    <x v="11"/>
    <x v="3"/>
    <n v="1284.3599999999999"/>
    <n v="0.51"/>
    <x v="617"/>
    <x v="4"/>
    <x v="1"/>
    <x v="0"/>
    <n v="1888.0092"/>
    <n v="108.58"/>
  </r>
  <r>
    <n v="2009"/>
    <s v="Brian Garner"/>
    <x v="0"/>
    <x v="9"/>
    <x v="0"/>
    <n v="3385.59"/>
    <n v="0.02"/>
    <x v="618"/>
    <x v="319"/>
    <x v="3"/>
    <x v="1"/>
    <n v="13271.5128"/>
    <n v="-927.71"/>
  </r>
  <r>
    <n v="2010"/>
    <s v="Casey Mathews"/>
    <x v="4"/>
    <x v="16"/>
    <x v="0"/>
    <n v="3630.24"/>
    <n v="0.51"/>
    <x v="619"/>
    <x v="95"/>
    <x v="1"/>
    <x v="1"/>
    <n v="7115.2703999999994"/>
    <n v="-194.42"/>
  </r>
  <r>
    <n v="2011"/>
    <s v="Heidi Ward"/>
    <x v="2"/>
    <x v="13"/>
    <x v="1"/>
    <n v="3989.68"/>
    <n v="0.51"/>
    <x v="620"/>
    <x v="126"/>
    <x v="2"/>
    <x v="0"/>
    <n v="1954.9431999999999"/>
    <n v="999.35"/>
  </r>
  <r>
    <n v="2012"/>
    <s v="Kayla Andersen"/>
    <x v="4"/>
    <x v="8"/>
    <x v="3"/>
    <n v="2674.79"/>
    <n v="0.8"/>
    <x v="621"/>
    <x v="135"/>
    <x v="1"/>
    <x v="0"/>
    <n v="1604.8739999999996"/>
    <n v="537.29999999999995"/>
  </r>
  <r>
    <n v="2013"/>
    <s v="Alexandra Park"/>
    <x v="2"/>
    <x v="10"/>
    <x v="0"/>
    <n v="2666.2200000000003"/>
    <n v="0.51"/>
    <x v="142"/>
    <x v="341"/>
    <x v="2"/>
    <x v="0"/>
    <n v="5225.7912000000006"/>
    <n v="644.41999999999996"/>
  </r>
  <r>
    <n v="2014"/>
    <s v="Dennis Morales"/>
    <x v="1"/>
    <x v="22"/>
    <x v="2"/>
    <n v="2752.99"/>
    <n v="0.51"/>
    <x v="622"/>
    <x v="4"/>
    <x v="0"/>
    <x v="1"/>
    <n v="2697.9301999999998"/>
    <n v="763.62"/>
  </r>
  <r>
    <n v="2015"/>
    <s v="Emma Chavez"/>
    <x v="5"/>
    <x v="6"/>
    <x v="0"/>
    <n v="2975.64"/>
    <n v="0.51"/>
    <x v="61"/>
    <x v="14"/>
    <x v="0"/>
    <x v="1"/>
    <n v="5832.2543999999998"/>
    <n v="182.23"/>
  </r>
  <r>
    <n v="2016"/>
    <s v="Susan Davis"/>
    <x v="2"/>
    <x v="17"/>
    <x v="3"/>
    <n v="1435.85"/>
    <n v="0.51"/>
    <x v="623"/>
    <x v="406"/>
    <x v="4"/>
    <x v="1"/>
    <n v="2110.6994999999997"/>
    <n v="317.58"/>
  </r>
  <r>
    <n v="2017"/>
    <s v="Stephanie Baker"/>
    <x v="0"/>
    <x v="20"/>
    <x v="4"/>
    <n v="3549.93"/>
    <n v="0.51"/>
    <x v="624"/>
    <x v="4"/>
    <x v="1"/>
    <x v="0"/>
    <n v="8697.3284999999996"/>
    <n v="652.09"/>
  </r>
  <r>
    <n v="2018"/>
    <s v="Robert Mcgrath PhD"/>
    <x v="0"/>
    <x v="20"/>
    <x v="4"/>
    <n v="2750.33"/>
    <n v="0.91"/>
    <x v="52"/>
    <x v="268"/>
    <x v="2"/>
    <x v="0"/>
    <n v="1237.6484999999996"/>
    <n v="-730.39"/>
  </r>
  <r>
    <n v="2019"/>
    <s v="Matthew Gibson"/>
    <x v="0"/>
    <x v="9"/>
    <x v="2"/>
    <n v="1797.91"/>
    <n v="0.51"/>
    <x v="625"/>
    <x v="93"/>
    <x v="1"/>
    <x v="0"/>
    <n v="1761.9518"/>
    <n v="440.48795000000001"/>
  </r>
  <r>
    <n v="2020"/>
    <s v="Laura Anderson"/>
    <x v="0"/>
    <x v="9"/>
    <x v="0"/>
    <n v="3954.73"/>
    <n v="0.3"/>
    <x v="626"/>
    <x v="195"/>
    <x v="3"/>
    <x v="1"/>
    <n v="11073.243999999999"/>
    <n v="-78.22"/>
  </r>
  <r>
    <n v="2021"/>
    <s v="David Perry"/>
    <x v="2"/>
    <x v="10"/>
    <x v="0"/>
    <n v="4178.18"/>
    <n v="0.51"/>
    <x v="627"/>
    <x v="258"/>
    <x v="2"/>
    <x v="1"/>
    <n v="8189.2328000000007"/>
    <n v="2952.52"/>
  </r>
  <r>
    <n v="2022"/>
    <s v="Gabriel Brooks"/>
    <x v="2"/>
    <x v="2"/>
    <x v="0"/>
    <n v="3094.77"/>
    <n v="0.51"/>
    <x v="628"/>
    <x v="142"/>
    <x v="5"/>
    <x v="1"/>
    <n v="6065.7492000000002"/>
    <n v="2340.79"/>
  </r>
  <r>
    <n v="2023"/>
    <s v="Adam Villarreal"/>
    <x v="2"/>
    <x v="17"/>
    <x v="3"/>
    <n v="618.17999999999995"/>
    <n v="0.51"/>
    <x v="629"/>
    <x v="4"/>
    <x v="1"/>
    <x v="0"/>
    <n v="908.72460000000001"/>
    <n v="404.9"/>
  </r>
  <r>
    <n v="2024"/>
    <s v="Todd Edwards"/>
    <x v="5"/>
    <x v="6"/>
    <x v="0"/>
    <n v="4220.2"/>
    <n v="0.51"/>
    <x v="630"/>
    <x v="407"/>
    <x v="0"/>
    <x v="0"/>
    <n v="8271.5919999999987"/>
    <n v="2488.92"/>
  </r>
  <r>
    <n v="2025"/>
    <s v="David Hanson"/>
    <x v="3"/>
    <x v="21"/>
    <x v="0"/>
    <n v="2785.79"/>
    <n v="0.51"/>
    <x v="110"/>
    <x v="306"/>
    <x v="0"/>
    <x v="1"/>
    <n v="5460.1484"/>
    <n v="1259.95"/>
  </r>
  <r>
    <n v="2026"/>
    <s v="Tracy Thomas"/>
    <x v="2"/>
    <x v="10"/>
    <x v="0"/>
    <n v="2666.2200000000003"/>
    <n v="0.51"/>
    <x v="142"/>
    <x v="231"/>
    <x v="1"/>
    <x v="1"/>
    <n v="5225.7912000000006"/>
    <n v="83.33"/>
  </r>
  <r>
    <n v="2027"/>
    <s v="Vanessa Hale"/>
    <x v="2"/>
    <x v="13"/>
    <x v="4"/>
    <n v="2734.95"/>
    <n v="0.17"/>
    <x v="631"/>
    <x v="62"/>
    <x v="2"/>
    <x v="0"/>
    <n v="11350.0425"/>
    <n v="-657.03"/>
  </r>
  <r>
    <n v="2028"/>
    <s v="Kelly Scott"/>
    <x v="1"/>
    <x v="22"/>
    <x v="2"/>
    <n v="2752.99"/>
    <n v="0.51"/>
    <x v="622"/>
    <x v="219"/>
    <x v="3"/>
    <x v="1"/>
    <n v="2697.9301999999998"/>
    <n v="2393.48"/>
  </r>
  <r>
    <n v="2029"/>
    <s v="Nicole Adkins"/>
    <x v="1"/>
    <x v="15"/>
    <x v="5"/>
    <n v="2229.4899999999998"/>
    <n v="0.51"/>
    <x v="261"/>
    <x v="408"/>
    <x v="3"/>
    <x v="1"/>
    <n v="6554.7005999999992"/>
    <n v="2374.9"/>
  </r>
  <r>
    <n v="2030"/>
    <s v="Larry Kent"/>
    <x v="5"/>
    <x v="12"/>
    <x v="1"/>
    <n v="1354.69"/>
    <n v="0.51"/>
    <x v="632"/>
    <x v="287"/>
    <x v="4"/>
    <x v="0"/>
    <n v="663.79809999999998"/>
    <n v="-710.56"/>
  </r>
  <r>
    <n v="2031"/>
    <s v="Nicole Munoz MD"/>
    <x v="5"/>
    <x v="11"/>
    <x v="3"/>
    <n v="2731.6350000000002"/>
    <n v="0.51"/>
    <x v="60"/>
    <x v="140"/>
    <x v="0"/>
    <x v="1"/>
    <n v="4015.5034500000002"/>
    <n v="2655.01"/>
  </r>
  <r>
    <n v="2032"/>
    <s v="Anna Nguyen"/>
    <x v="3"/>
    <x v="7"/>
    <x v="3"/>
    <n v="4910.91"/>
    <n v="0.51"/>
    <x v="633"/>
    <x v="258"/>
    <x v="4"/>
    <x v="1"/>
    <n v="7219.0376999999999"/>
    <n v="1419.21"/>
  </r>
  <r>
    <n v="2033"/>
    <s v="Christopher Martinez"/>
    <x v="5"/>
    <x v="6"/>
    <x v="5"/>
    <n v="2975.64"/>
    <n v="0.51"/>
    <x v="634"/>
    <x v="4"/>
    <x v="4"/>
    <x v="1"/>
    <n v="8748.3816000000006"/>
    <n v="63.41"/>
  </r>
  <r>
    <n v="2034"/>
    <s v="Amanda Jones"/>
    <x v="3"/>
    <x v="7"/>
    <x v="5"/>
    <n v="3080.12"/>
    <n v="0.26"/>
    <x v="635"/>
    <x v="279"/>
    <x v="4"/>
    <x v="0"/>
    <n v="13675.732800000002"/>
    <n v="-678.89"/>
  </r>
  <r>
    <n v="2035"/>
    <s v="Ronald Black"/>
    <x v="5"/>
    <x v="11"/>
    <x v="3"/>
    <n v="2516.6"/>
    <n v="0.51"/>
    <x v="636"/>
    <x v="186"/>
    <x v="1"/>
    <x v="0"/>
    <n v="3699.4019999999996"/>
    <n v="2860.05"/>
  </r>
  <r>
    <n v="2036"/>
    <s v="John White"/>
    <x v="4"/>
    <x v="16"/>
    <x v="0"/>
    <n v="2599.75"/>
    <n v="0.72"/>
    <x v="42"/>
    <x v="4"/>
    <x v="1"/>
    <x v="1"/>
    <n v="2911.7200000000003"/>
    <n v="106.67"/>
  </r>
  <r>
    <n v="2037"/>
    <s v="Robert Fletcher"/>
    <x v="2"/>
    <x v="17"/>
    <x v="1"/>
    <n v="1120.52"/>
    <n v="0.51"/>
    <x v="637"/>
    <x v="40"/>
    <x v="4"/>
    <x v="1"/>
    <n v="549.0548"/>
    <n v="-523.32000000000005"/>
  </r>
  <r>
    <n v="2038"/>
    <s v="Johnny Powell"/>
    <x v="4"/>
    <x v="8"/>
    <x v="3"/>
    <n v="3027.66"/>
    <n v="0.51"/>
    <x v="94"/>
    <x v="390"/>
    <x v="4"/>
    <x v="1"/>
    <n v="4450.6601999999993"/>
    <n v="2548.6"/>
  </r>
  <r>
    <n v="2039"/>
    <s v="Abigail Wilson"/>
    <x v="1"/>
    <x v="1"/>
    <x v="0"/>
    <n v="1802.43"/>
    <n v="0.51"/>
    <x v="638"/>
    <x v="4"/>
    <x v="4"/>
    <x v="1"/>
    <n v="3532.7628"/>
    <n v="644.27"/>
  </r>
  <r>
    <n v="2040"/>
    <s v="Lisa Scott"/>
    <x v="5"/>
    <x v="19"/>
    <x v="0"/>
    <n v="2889.5349999999999"/>
    <n v="0.34"/>
    <x v="36"/>
    <x v="116"/>
    <x v="4"/>
    <x v="0"/>
    <n v="7628.3723999999984"/>
    <n v="-838.24"/>
  </r>
  <r>
    <n v="2041"/>
    <s v="Brandon Rodriguez"/>
    <x v="5"/>
    <x v="19"/>
    <x v="0"/>
    <n v="854.8"/>
    <n v="0.51"/>
    <x v="639"/>
    <x v="409"/>
    <x v="0"/>
    <x v="0"/>
    <n v="1675.4079999999999"/>
    <n v="400.41"/>
  </r>
  <r>
    <n v="2042"/>
    <s v="Amanda Evans"/>
    <x v="4"/>
    <x v="14"/>
    <x v="3"/>
    <n v="2765.79"/>
    <n v="0.51"/>
    <x v="281"/>
    <x v="4"/>
    <x v="2"/>
    <x v="0"/>
    <n v="4065.7112999999995"/>
    <n v="80.86"/>
  </r>
  <r>
    <n v="2043"/>
    <s v="Amy Gibson"/>
    <x v="4"/>
    <x v="4"/>
    <x v="0"/>
    <n v="2001.5500000000002"/>
    <n v="0.74"/>
    <x v="5"/>
    <x v="250"/>
    <x v="3"/>
    <x v="0"/>
    <n v="2081.6120000000001"/>
    <n v="647.80999999999995"/>
  </r>
  <r>
    <n v="2044"/>
    <s v="Jessica Stafford"/>
    <x v="3"/>
    <x v="3"/>
    <x v="3"/>
    <n v="2912.48"/>
    <n v="0.39"/>
    <x v="640"/>
    <x v="406"/>
    <x v="2"/>
    <x v="0"/>
    <n v="5329.8384000000005"/>
    <n v="565.53"/>
  </r>
  <r>
    <n v="2045"/>
    <s v="Bryan Jarvis"/>
    <x v="1"/>
    <x v="1"/>
    <x v="0"/>
    <n v="473.68"/>
    <n v="0.51"/>
    <x v="641"/>
    <x v="4"/>
    <x v="4"/>
    <x v="0"/>
    <n v="928.41279999999995"/>
    <n v="-108.72"/>
  </r>
  <r>
    <n v="2046"/>
    <s v="Dylan Salas"/>
    <x v="3"/>
    <x v="21"/>
    <x v="5"/>
    <n v="2785.79"/>
    <n v="0.6"/>
    <x v="642"/>
    <x v="410"/>
    <x v="2"/>
    <x v="0"/>
    <n v="6685.8959999999997"/>
    <n v="1657.74"/>
  </r>
  <r>
    <n v="2047"/>
    <s v="Blake Holland"/>
    <x v="0"/>
    <x v="5"/>
    <x v="3"/>
    <n v="3008.6549999999997"/>
    <n v="0.51"/>
    <x v="44"/>
    <x v="411"/>
    <x v="2"/>
    <x v="0"/>
    <n v="4422.7228500000001"/>
    <n v="238.33"/>
  </r>
  <r>
    <n v="2048"/>
    <s v="George Nelson"/>
    <x v="2"/>
    <x v="13"/>
    <x v="0"/>
    <n v="1469.13"/>
    <n v="0.11"/>
    <x v="643"/>
    <x v="107"/>
    <x v="1"/>
    <x v="0"/>
    <n v="5230.1028000000006"/>
    <n v="665.1"/>
  </r>
  <r>
    <n v="2049"/>
    <s v="Victoria Lee"/>
    <x v="2"/>
    <x v="2"/>
    <x v="0"/>
    <n v="2462.92"/>
    <n v="0.51"/>
    <x v="644"/>
    <x v="4"/>
    <x v="0"/>
    <x v="1"/>
    <n v="4827.3231999999998"/>
    <n v="825.06"/>
  </r>
  <r>
    <n v="2050"/>
    <s v="Garrett Dudley"/>
    <x v="4"/>
    <x v="8"/>
    <x v="1"/>
    <n v="4234.28"/>
    <n v="0.51"/>
    <x v="645"/>
    <x v="412"/>
    <x v="2"/>
    <x v="1"/>
    <n v="2074.7972"/>
    <n v="518.69929999999999"/>
  </r>
  <r>
    <n v="2051"/>
    <s v="Eric Armstrong"/>
    <x v="3"/>
    <x v="7"/>
    <x v="2"/>
    <n v="1234.27"/>
    <n v="0.51"/>
    <x v="646"/>
    <x v="413"/>
    <x v="5"/>
    <x v="1"/>
    <n v="1209.5845999999999"/>
    <n v="-911.71"/>
  </r>
  <r>
    <n v="2052"/>
    <s v="Mr. John Carroll Jr."/>
    <x v="5"/>
    <x v="11"/>
    <x v="3"/>
    <n v="4971.74"/>
    <n v="0.51"/>
    <x v="647"/>
    <x v="414"/>
    <x v="3"/>
    <x v="1"/>
    <n v="7308.4577999999992"/>
    <n v="1386.13"/>
  </r>
  <r>
    <n v="2053"/>
    <s v="Amy Khan"/>
    <x v="3"/>
    <x v="3"/>
    <x v="3"/>
    <n v="2515.415"/>
    <n v="0.51"/>
    <x v="11"/>
    <x v="415"/>
    <x v="5"/>
    <x v="1"/>
    <n v="3697.66005"/>
    <n v="-940.51"/>
  </r>
  <r>
    <n v="2054"/>
    <s v="Carla Hernandez"/>
    <x v="0"/>
    <x v="5"/>
    <x v="1"/>
    <n v="1254.77"/>
    <n v="0.62"/>
    <x v="648"/>
    <x v="4"/>
    <x v="4"/>
    <x v="1"/>
    <n v="476.81259999999997"/>
    <n v="119.20314999999999"/>
  </r>
  <r>
    <n v="2055"/>
    <s v="Charles Brown"/>
    <x v="0"/>
    <x v="0"/>
    <x v="0"/>
    <n v="677.9"/>
    <n v="0.15"/>
    <x v="649"/>
    <x v="4"/>
    <x v="4"/>
    <x v="1"/>
    <n v="2304.8599999999997"/>
    <n v="-503.02"/>
  </r>
  <r>
    <n v="2056"/>
    <s v="Samuel Schroeder"/>
    <x v="5"/>
    <x v="12"/>
    <x v="3"/>
    <n v="2765.26"/>
    <n v="0.7"/>
    <x v="19"/>
    <x v="378"/>
    <x v="1"/>
    <x v="1"/>
    <n v="2488.7340000000004"/>
    <n v="622.18350000000009"/>
  </r>
  <r>
    <n v="2057"/>
    <s v="Matthew Hester"/>
    <x v="0"/>
    <x v="20"/>
    <x v="4"/>
    <n v="2750.33"/>
    <n v="0.51"/>
    <x v="52"/>
    <x v="225"/>
    <x v="2"/>
    <x v="1"/>
    <n v="6738.3085000000001"/>
    <n v="17.96"/>
  </r>
  <r>
    <n v="2058"/>
    <s v="Adam Barnes"/>
    <x v="4"/>
    <x v="14"/>
    <x v="5"/>
    <n v="2765.79"/>
    <n v="0.51"/>
    <x v="153"/>
    <x v="362"/>
    <x v="1"/>
    <x v="1"/>
    <n v="8131.422599999999"/>
    <n v="-248.49"/>
  </r>
  <r>
    <n v="2059"/>
    <s v="Christopher Taylor"/>
    <x v="3"/>
    <x v="7"/>
    <x v="3"/>
    <n v="1193.03"/>
    <n v="0.51"/>
    <x v="650"/>
    <x v="27"/>
    <x v="2"/>
    <x v="1"/>
    <n v="1753.7541000000001"/>
    <n v="-876.83"/>
  </r>
  <r>
    <n v="2060"/>
    <s v="Samuel Jordan"/>
    <x v="4"/>
    <x v="8"/>
    <x v="3"/>
    <n v="3725.58"/>
    <n v="0.51"/>
    <x v="651"/>
    <x v="33"/>
    <x v="5"/>
    <x v="1"/>
    <n v="5476.6026000000002"/>
    <n v="2544.5500000000002"/>
  </r>
  <r>
    <n v="2061"/>
    <s v="Desiree Jacobs"/>
    <x v="2"/>
    <x v="17"/>
    <x v="3"/>
    <n v="2077.8200000000002"/>
    <n v="0.51"/>
    <x v="652"/>
    <x v="356"/>
    <x v="5"/>
    <x v="1"/>
    <n v="3054.3954000000003"/>
    <n v="2769.01"/>
  </r>
  <r>
    <n v="2062"/>
    <s v="John Sanchez"/>
    <x v="5"/>
    <x v="6"/>
    <x v="0"/>
    <n v="2975.64"/>
    <n v="0.51"/>
    <x v="61"/>
    <x v="336"/>
    <x v="4"/>
    <x v="1"/>
    <n v="5832.2543999999998"/>
    <n v="-644.20000000000005"/>
  </r>
  <r>
    <n v="2063"/>
    <s v="Rebecca Flowers"/>
    <x v="4"/>
    <x v="8"/>
    <x v="4"/>
    <n v="3027.66"/>
    <n v="0.51"/>
    <x v="9"/>
    <x v="13"/>
    <x v="5"/>
    <x v="1"/>
    <n v="7417.7669999999998"/>
    <n v="2549.09"/>
  </r>
  <r>
    <n v="2064"/>
    <s v="Tracy Santana"/>
    <x v="3"/>
    <x v="7"/>
    <x v="3"/>
    <n v="702.86"/>
    <n v="0.51"/>
    <x v="653"/>
    <x v="225"/>
    <x v="5"/>
    <x v="0"/>
    <n v="1033.2041999999999"/>
    <n v="577.70000000000005"/>
  </r>
  <r>
    <n v="2065"/>
    <s v="Andrea Jones"/>
    <x v="4"/>
    <x v="4"/>
    <x v="0"/>
    <n v="3590.4"/>
    <n v="0.51"/>
    <x v="654"/>
    <x v="9"/>
    <x v="3"/>
    <x v="1"/>
    <n v="7037.1840000000002"/>
    <n v="-86.57"/>
  </r>
  <r>
    <n v="2066"/>
    <s v="Patricia Robinson"/>
    <x v="0"/>
    <x v="9"/>
    <x v="0"/>
    <n v="2891.64"/>
    <n v="0.51"/>
    <x v="12"/>
    <x v="4"/>
    <x v="2"/>
    <x v="0"/>
    <n v="5667.6143999999995"/>
    <n v="2532.65"/>
  </r>
  <r>
    <n v="2067"/>
    <s v="Michael Smith"/>
    <x v="5"/>
    <x v="12"/>
    <x v="3"/>
    <n v="2975.33"/>
    <n v="0.51"/>
    <x v="655"/>
    <x v="152"/>
    <x v="4"/>
    <x v="1"/>
    <n v="4373.7350999999999"/>
    <n v="1035.45"/>
  </r>
  <r>
    <n v="2068"/>
    <s v="Amanda Gray"/>
    <x v="2"/>
    <x v="13"/>
    <x v="0"/>
    <n v="2538.0450000000001"/>
    <n v="1"/>
    <x v="21"/>
    <x v="416"/>
    <x v="0"/>
    <x v="1"/>
    <n v="0"/>
    <n v="0"/>
  </r>
  <r>
    <n v="2069"/>
    <s v="Bruce Chavez"/>
    <x v="4"/>
    <x v="16"/>
    <x v="0"/>
    <n v="3266.05"/>
    <n v="0.51"/>
    <x v="656"/>
    <x v="215"/>
    <x v="2"/>
    <x v="0"/>
    <n v="6401.4580000000005"/>
    <n v="1188.8900000000001"/>
  </r>
  <r>
    <n v="2070"/>
    <s v="Michelle Palmer"/>
    <x v="3"/>
    <x v="7"/>
    <x v="3"/>
    <n v="2577.6350000000002"/>
    <n v="0.51"/>
    <x v="8"/>
    <x v="235"/>
    <x v="2"/>
    <x v="1"/>
    <n v="3789.12345"/>
    <n v="614.38"/>
  </r>
  <r>
    <n v="2071"/>
    <s v="Zachary Bowers"/>
    <x v="2"/>
    <x v="13"/>
    <x v="0"/>
    <n v="2538.0450000000001"/>
    <n v="0.98"/>
    <x v="21"/>
    <x v="74"/>
    <x v="2"/>
    <x v="0"/>
    <n v="203.0436000000002"/>
    <n v="50.760900000000049"/>
  </r>
  <r>
    <n v="2072"/>
    <s v="Lisa Sanders"/>
    <x v="5"/>
    <x v="6"/>
    <x v="0"/>
    <n v="2975.64"/>
    <n v="0.51"/>
    <x v="61"/>
    <x v="77"/>
    <x v="4"/>
    <x v="1"/>
    <n v="5832.2543999999998"/>
    <n v="-670.22"/>
  </r>
  <r>
    <n v="2073"/>
    <s v="Joseph Carney"/>
    <x v="2"/>
    <x v="13"/>
    <x v="3"/>
    <n v="1596.02"/>
    <n v="0.51"/>
    <x v="657"/>
    <x v="4"/>
    <x v="1"/>
    <x v="0"/>
    <n v="2346.1493999999998"/>
    <n v="-217.87"/>
  </r>
  <r>
    <n v="2074"/>
    <s v="Crystal Ferguson"/>
    <x v="3"/>
    <x v="23"/>
    <x v="0"/>
    <n v="2338.04"/>
    <n v="0.51"/>
    <x v="658"/>
    <x v="362"/>
    <x v="3"/>
    <x v="0"/>
    <n v="4582.5583999999999"/>
    <n v="2628.09"/>
  </r>
  <r>
    <n v="2075"/>
    <s v="James Keller"/>
    <x v="1"/>
    <x v="1"/>
    <x v="0"/>
    <n v="2579.8000000000002"/>
    <n v="0.51"/>
    <x v="22"/>
    <x v="4"/>
    <x v="3"/>
    <x v="1"/>
    <n v="5056.4080000000004"/>
    <n v="1501.9"/>
  </r>
  <r>
    <n v="2076"/>
    <s v="Taylor Martin"/>
    <x v="2"/>
    <x v="10"/>
    <x v="0"/>
    <n v="1151.07"/>
    <n v="0.51"/>
    <x v="659"/>
    <x v="417"/>
    <x v="3"/>
    <x v="1"/>
    <n v="2256.0971999999997"/>
    <n v="854.02"/>
  </r>
  <r>
    <n v="2077"/>
    <s v="Joshua Roberts"/>
    <x v="4"/>
    <x v="8"/>
    <x v="3"/>
    <n v="3027.66"/>
    <n v="0.51"/>
    <x v="94"/>
    <x v="4"/>
    <x v="5"/>
    <x v="0"/>
    <n v="4450.6601999999993"/>
    <n v="1082.3599999999999"/>
  </r>
  <r>
    <n v="2078"/>
    <s v="Charles Warner"/>
    <x v="4"/>
    <x v="14"/>
    <x v="0"/>
    <n v="1760.85"/>
    <n v="0.51"/>
    <x v="660"/>
    <x v="304"/>
    <x v="5"/>
    <x v="1"/>
    <n v="3451.2659999999996"/>
    <n v="-542.71"/>
  </r>
  <r>
    <n v="2079"/>
    <s v="Debra Gibson"/>
    <x v="3"/>
    <x v="3"/>
    <x v="2"/>
    <n v="2778.14"/>
    <n v="0.51"/>
    <x v="661"/>
    <x v="4"/>
    <x v="1"/>
    <x v="1"/>
    <n v="2722.5771999999997"/>
    <n v="516.66"/>
  </r>
  <r>
    <n v="2080"/>
    <s v="Jeff Gordon"/>
    <x v="3"/>
    <x v="21"/>
    <x v="3"/>
    <n v="4672.3500000000004"/>
    <n v="0.51"/>
    <x v="662"/>
    <x v="4"/>
    <x v="0"/>
    <x v="1"/>
    <n v="6868.3545000000004"/>
    <n v="991.5"/>
  </r>
  <r>
    <n v="2081"/>
    <s v="Jesus Swanson"/>
    <x v="4"/>
    <x v="4"/>
    <x v="0"/>
    <n v="2809.88"/>
    <n v="0.51"/>
    <x v="663"/>
    <x v="333"/>
    <x v="1"/>
    <x v="1"/>
    <n v="5507.3648000000003"/>
    <n v="1063.07"/>
  </r>
  <r>
    <n v="2082"/>
    <s v="David Hodges"/>
    <x v="1"/>
    <x v="22"/>
    <x v="4"/>
    <n v="2752.99"/>
    <n v="0.51"/>
    <x v="58"/>
    <x v="418"/>
    <x v="2"/>
    <x v="1"/>
    <n v="6744.825499999999"/>
    <n v="-208.43"/>
  </r>
  <r>
    <n v="2083"/>
    <s v="Daniel Mills"/>
    <x v="2"/>
    <x v="13"/>
    <x v="0"/>
    <n v="2105.7399999999998"/>
    <n v="0.34"/>
    <x v="664"/>
    <x v="58"/>
    <x v="0"/>
    <x v="0"/>
    <n v="5559.1535999999987"/>
    <n v="-907.84"/>
  </r>
  <r>
    <n v="2084"/>
    <s v="Frank Garcia MD"/>
    <x v="1"/>
    <x v="1"/>
    <x v="5"/>
    <n v="4068.82"/>
    <n v="0.51"/>
    <x v="665"/>
    <x v="306"/>
    <x v="1"/>
    <x v="1"/>
    <n v="11962.330800000002"/>
    <n v="719.55"/>
  </r>
  <r>
    <n v="2085"/>
    <s v="Steven Gutierrez"/>
    <x v="1"/>
    <x v="18"/>
    <x v="3"/>
    <n v="2537.59"/>
    <n v="0.51"/>
    <x v="35"/>
    <x v="419"/>
    <x v="4"/>
    <x v="1"/>
    <n v="3730.2573000000002"/>
    <n v="212.87"/>
  </r>
  <r>
    <n v="1015"/>
    <s v="Amy Ramsey"/>
    <x v="4"/>
    <x v="14"/>
    <x v="0"/>
    <n v="2765.79"/>
    <n v="0.51"/>
    <x v="25"/>
    <x v="4"/>
    <x v="5"/>
    <x v="0"/>
    <n v="5420.9484000000002"/>
    <n v="2811.88"/>
  </r>
  <r>
    <n v="2087"/>
    <s v="Kimberly Morgan"/>
    <x v="5"/>
    <x v="12"/>
    <x v="3"/>
    <n v="2610.84"/>
    <n v="0.51"/>
    <x v="666"/>
    <x v="415"/>
    <x v="3"/>
    <x v="0"/>
    <n v="3837.9348"/>
    <n v="-904.51"/>
  </r>
  <r>
    <n v="2088"/>
    <s v="Matthew Mcgee"/>
    <x v="2"/>
    <x v="10"/>
    <x v="0"/>
    <n v="2666.2200000000003"/>
    <n v="0.51"/>
    <x v="142"/>
    <x v="394"/>
    <x v="2"/>
    <x v="0"/>
    <n v="5225.7912000000006"/>
    <n v="1353.01"/>
  </r>
  <r>
    <n v="2089"/>
    <s v="Monica Jackson"/>
    <x v="3"/>
    <x v="23"/>
    <x v="6"/>
    <n v="1571.58"/>
    <n v="0.51"/>
    <x v="667"/>
    <x v="420"/>
    <x v="4"/>
    <x v="1"/>
    <n v="2695.2596999999996"/>
    <n v="1195.3399999999999"/>
  </r>
  <r>
    <n v="2090"/>
    <s v="Richard Chandler"/>
    <x v="3"/>
    <x v="23"/>
    <x v="6"/>
    <n v="940.71"/>
    <n v="0.51"/>
    <x v="668"/>
    <x v="421"/>
    <x v="0"/>
    <x v="1"/>
    <n v="1613.31765"/>
    <n v="1317.26"/>
  </r>
  <r>
    <n v="2091"/>
    <s v="Ricardo Jordan"/>
    <x v="5"/>
    <x v="6"/>
    <x v="0"/>
    <n v="1323.61"/>
    <n v="0.51"/>
    <x v="669"/>
    <x v="275"/>
    <x v="0"/>
    <x v="0"/>
    <n v="2594.2755999999999"/>
    <n v="-63.42"/>
  </r>
  <r>
    <n v="2092"/>
    <s v="Ashley Nielsen"/>
    <x v="2"/>
    <x v="17"/>
    <x v="3"/>
    <n v="4459.2"/>
    <n v="0.51"/>
    <x v="670"/>
    <x v="123"/>
    <x v="0"/>
    <x v="1"/>
    <n v="6555.0239999999994"/>
    <n v="1008.2"/>
  </r>
  <r>
    <n v="2093"/>
    <s v="Stephen Lynn"/>
    <x v="4"/>
    <x v="14"/>
    <x v="0"/>
    <n v="3163.95"/>
    <n v="0.51"/>
    <x v="671"/>
    <x v="422"/>
    <x v="2"/>
    <x v="1"/>
    <n v="6201.3419999999996"/>
    <n v="1267.01"/>
  </r>
  <r>
    <n v="2094"/>
    <s v="Mr. Anthony Williams MD"/>
    <x v="5"/>
    <x v="19"/>
    <x v="4"/>
    <n v="2889.5349999999999"/>
    <n v="0.51"/>
    <x v="372"/>
    <x v="4"/>
    <x v="2"/>
    <x v="0"/>
    <n v="7079.3607499999998"/>
    <n v="-769.25"/>
  </r>
  <r>
    <n v="2095"/>
    <s v="Heather Zimmerman"/>
    <x v="4"/>
    <x v="14"/>
    <x v="0"/>
    <n v="3809.95"/>
    <n v="0.51"/>
    <x v="672"/>
    <x v="423"/>
    <x v="3"/>
    <x v="1"/>
    <n v="7467.5019999999995"/>
    <n v="1252.0999999999999"/>
  </r>
  <r>
    <n v="2096"/>
    <s v="Amy Cook"/>
    <x v="0"/>
    <x v="20"/>
    <x v="4"/>
    <n v="3906.15"/>
    <n v="0.51"/>
    <x v="673"/>
    <x v="4"/>
    <x v="3"/>
    <x v="1"/>
    <n v="9570.0674999999992"/>
    <n v="2500.02"/>
  </r>
  <r>
    <n v="2097"/>
    <s v="Courtney Brown"/>
    <x v="4"/>
    <x v="14"/>
    <x v="3"/>
    <n v="2765.79"/>
    <n v="0.64"/>
    <x v="281"/>
    <x v="403"/>
    <x v="2"/>
    <x v="0"/>
    <n v="2987.0531999999994"/>
    <n v="2870.13"/>
  </r>
  <r>
    <n v="2098"/>
    <s v="Willie Barron"/>
    <x v="1"/>
    <x v="15"/>
    <x v="3"/>
    <n v="431.18"/>
    <n v="0.51"/>
    <x v="674"/>
    <x v="256"/>
    <x v="5"/>
    <x v="1"/>
    <n v="633.83460000000002"/>
    <n v="-183.75"/>
  </r>
  <r>
    <n v="2099"/>
    <s v="Dr. Joseph Guzman MD"/>
    <x v="4"/>
    <x v="4"/>
    <x v="0"/>
    <n v="1806.81"/>
    <n v="0.51"/>
    <x v="675"/>
    <x v="33"/>
    <x v="1"/>
    <x v="1"/>
    <n v="3541.3475999999996"/>
    <n v="591.13"/>
  </r>
  <r>
    <n v="2100"/>
    <s v="Amy Parker"/>
    <x v="2"/>
    <x v="13"/>
    <x v="0"/>
    <n v="1528.94"/>
    <n v="0.67"/>
    <x v="676"/>
    <x v="368"/>
    <x v="0"/>
    <x v="1"/>
    <n v="2018.2007999999998"/>
    <n v="504.55019999999996"/>
  </r>
  <r>
    <n v="2101"/>
    <s v="Justin Dougherty"/>
    <x v="0"/>
    <x v="5"/>
    <x v="3"/>
    <n v="1020.85"/>
    <n v="0.51"/>
    <x v="677"/>
    <x v="145"/>
    <x v="1"/>
    <x v="1"/>
    <n v="1500.6495"/>
    <n v="-881.4"/>
  </r>
  <r>
    <n v="2102"/>
    <s v="Luis Turner"/>
    <x v="5"/>
    <x v="11"/>
    <x v="3"/>
    <n v="2581.29"/>
    <n v="0.51"/>
    <x v="678"/>
    <x v="198"/>
    <x v="4"/>
    <x v="1"/>
    <n v="3794.4962999999998"/>
    <n v="2300.14"/>
  </r>
  <r>
    <n v="2103"/>
    <s v="Cindy Marsh"/>
    <x v="0"/>
    <x v="0"/>
    <x v="3"/>
    <n v="2366.6149999999998"/>
    <n v="0.56000000000000005"/>
    <x v="679"/>
    <x v="4"/>
    <x v="1"/>
    <x v="1"/>
    <n v="3123.9317999999994"/>
    <n v="-244.29"/>
  </r>
  <r>
    <n v="2104"/>
    <s v="Eduardo Hardy"/>
    <x v="4"/>
    <x v="16"/>
    <x v="0"/>
    <n v="2211.06"/>
    <n v="0.26"/>
    <x v="680"/>
    <x v="162"/>
    <x v="4"/>
    <x v="1"/>
    <n v="6544.7375999999995"/>
    <n v="2143.54"/>
  </r>
  <r>
    <n v="2105"/>
    <s v="Brandon Mccormick"/>
    <x v="2"/>
    <x v="13"/>
    <x v="0"/>
    <n v="3643.63"/>
    <n v="0.19"/>
    <x v="681"/>
    <x v="424"/>
    <x v="2"/>
    <x v="0"/>
    <n v="11805.361200000001"/>
    <n v="375.4"/>
  </r>
  <r>
    <n v="2106"/>
    <s v="Brenda Graham"/>
    <x v="5"/>
    <x v="12"/>
    <x v="0"/>
    <n v="4312.21"/>
    <n v="0.51"/>
    <x v="682"/>
    <x v="425"/>
    <x v="0"/>
    <x v="0"/>
    <n v="8451.9315999999999"/>
    <n v="552.97"/>
  </r>
  <r>
    <n v="2107"/>
    <s v="Rhonda Patterson"/>
    <x v="5"/>
    <x v="12"/>
    <x v="3"/>
    <n v="2686.05"/>
    <n v="0.51"/>
    <x v="683"/>
    <x v="62"/>
    <x v="4"/>
    <x v="0"/>
    <n v="3948.4935"/>
    <n v="2643.46"/>
  </r>
  <r>
    <n v="2108"/>
    <s v="Cassandra Wright"/>
    <x v="0"/>
    <x v="9"/>
    <x v="0"/>
    <n v="2538.3000000000002"/>
    <n v="0.51"/>
    <x v="684"/>
    <x v="269"/>
    <x v="2"/>
    <x v="1"/>
    <n v="4975.0680000000002"/>
    <n v="-820.5"/>
  </r>
  <r>
    <n v="2109"/>
    <s v="Andre Jefferson"/>
    <x v="0"/>
    <x v="5"/>
    <x v="3"/>
    <n v="1901.86"/>
    <n v="0.51"/>
    <x v="685"/>
    <x v="4"/>
    <x v="5"/>
    <x v="0"/>
    <n v="2795.7341999999999"/>
    <n v="-906.34"/>
  </r>
  <r>
    <n v="2110"/>
    <s v="Chelsey Morales DVM"/>
    <x v="4"/>
    <x v="14"/>
    <x v="0"/>
    <n v="2765.79"/>
    <n v="0.51"/>
    <x v="25"/>
    <x v="4"/>
    <x v="2"/>
    <x v="1"/>
    <n v="5420.9484000000002"/>
    <n v="2891.52"/>
  </r>
  <r>
    <n v="2111"/>
    <s v="Jennifer Ayala"/>
    <x v="2"/>
    <x v="17"/>
    <x v="3"/>
    <n v="1934.02"/>
    <n v="0.51"/>
    <x v="686"/>
    <x v="426"/>
    <x v="0"/>
    <x v="1"/>
    <n v="2843.0093999999999"/>
    <n v="897.11"/>
  </r>
  <r>
    <n v="2112"/>
    <s v="Lisa Gomez"/>
    <x v="0"/>
    <x v="20"/>
    <x v="4"/>
    <n v="3248.14"/>
    <n v="0.18"/>
    <x v="687"/>
    <x v="4"/>
    <x v="5"/>
    <x v="1"/>
    <n v="13317.374"/>
    <n v="1536.06"/>
  </r>
  <r>
    <n v="2113"/>
    <s v="Michael Dillon"/>
    <x v="5"/>
    <x v="6"/>
    <x v="0"/>
    <n v="2975.64"/>
    <n v="0.51"/>
    <x v="61"/>
    <x v="4"/>
    <x v="0"/>
    <x v="1"/>
    <n v="5832.2543999999998"/>
    <n v="2500.56"/>
  </r>
  <r>
    <n v="2114"/>
    <s v="Thomas Robertson"/>
    <x v="5"/>
    <x v="11"/>
    <x v="3"/>
    <n v="2731.6350000000002"/>
    <n v="0.51"/>
    <x v="60"/>
    <x v="91"/>
    <x v="2"/>
    <x v="1"/>
    <n v="4015.5034500000002"/>
    <n v="1393.12"/>
  </r>
  <r>
    <n v="2115"/>
    <s v="Colleen Wallace"/>
    <x v="0"/>
    <x v="9"/>
    <x v="0"/>
    <n v="2891.64"/>
    <n v="0.51"/>
    <x v="12"/>
    <x v="58"/>
    <x v="1"/>
    <x v="0"/>
    <n v="5667.6143999999995"/>
    <n v="2100.4"/>
  </r>
  <r>
    <n v="2116"/>
    <s v="Jordan Hamilton"/>
    <x v="3"/>
    <x v="23"/>
    <x v="2"/>
    <n v="2338.04"/>
    <n v="0.51"/>
    <x v="688"/>
    <x v="427"/>
    <x v="1"/>
    <x v="1"/>
    <n v="2291.2791999999999"/>
    <n v="87.1"/>
  </r>
  <r>
    <n v="2117"/>
    <s v="Kevin Flores"/>
    <x v="5"/>
    <x v="11"/>
    <x v="3"/>
    <n v="4767.37"/>
    <n v="0.51"/>
    <x v="689"/>
    <x v="428"/>
    <x v="0"/>
    <x v="1"/>
    <n v="7008.0339000000004"/>
    <n v="2319.14"/>
  </r>
  <r>
    <n v="2118"/>
    <s v="Jacob Morris"/>
    <x v="5"/>
    <x v="12"/>
    <x v="3"/>
    <n v="3952.46"/>
    <n v="0.82"/>
    <x v="690"/>
    <x v="411"/>
    <x v="3"/>
    <x v="0"/>
    <n v="2134.3284000000008"/>
    <n v="836.99"/>
  </r>
  <r>
    <n v="2119"/>
    <s v="Mikayla Smith"/>
    <x v="2"/>
    <x v="2"/>
    <x v="0"/>
    <n v="537.77"/>
    <n v="0.05"/>
    <x v="691"/>
    <x v="363"/>
    <x v="3"/>
    <x v="0"/>
    <n v="2043.5259999999998"/>
    <n v="510.88149999999996"/>
  </r>
  <r>
    <n v="2120"/>
    <s v="Angela Wheeler"/>
    <x v="3"/>
    <x v="21"/>
    <x v="0"/>
    <n v="3321.05"/>
    <n v="0.51"/>
    <x v="692"/>
    <x v="381"/>
    <x v="4"/>
    <x v="1"/>
    <n v="6509.2579999999998"/>
    <n v="-196.89"/>
  </r>
  <r>
    <n v="2121"/>
    <s v="Kristen Gutierrez"/>
    <x v="0"/>
    <x v="5"/>
    <x v="2"/>
    <n v="1209.8"/>
    <n v="0.51"/>
    <x v="693"/>
    <x v="429"/>
    <x v="3"/>
    <x v="1"/>
    <n v="1185.604"/>
    <n v="959.68"/>
  </r>
  <r>
    <n v="2122"/>
    <s v="Michael Kennedy"/>
    <x v="0"/>
    <x v="9"/>
    <x v="0"/>
    <n v="2891.64"/>
    <n v="0.17"/>
    <x v="12"/>
    <x v="4"/>
    <x v="0"/>
    <x v="0"/>
    <n v="9600.2447999999986"/>
    <n v="1823.39"/>
  </r>
  <r>
    <n v="2123"/>
    <s v="Andrea Ryan"/>
    <x v="1"/>
    <x v="15"/>
    <x v="3"/>
    <n v="2229.4899999999998"/>
    <n v="0.51"/>
    <x v="30"/>
    <x v="256"/>
    <x v="0"/>
    <x v="0"/>
    <n v="3277.3502999999996"/>
    <n v="36.15"/>
  </r>
  <r>
    <n v="2124"/>
    <s v="Stephanie Mccormick"/>
    <x v="4"/>
    <x v="16"/>
    <x v="0"/>
    <n v="3881.17"/>
    <n v="0.51"/>
    <x v="694"/>
    <x v="183"/>
    <x v="2"/>
    <x v="1"/>
    <n v="7607.0932000000003"/>
    <n v="339.88"/>
  </r>
  <r>
    <n v="2125"/>
    <s v="Jennifer Rich"/>
    <x v="0"/>
    <x v="0"/>
    <x v="0"/>
    <n v="2366.6149999999998"/>
    <n v="0.93"/>
    <x v="81"/>
    <x v="252"/>
    <x v="4"/>
    <x v="1"/>
    <n v="662.65219999999943"/>
    <n v="301.27999999999997"/>
  </r>
  <r>
    <n v="2126"/>
    <s v="George Bonilla"/>
    <x v="3"/>
    <x v="7"/>
    <x v="3"/>
    <n v="820.88"/>
    <n v="0.01"/>
    <x v="695"/>
    <x v="4"/>
    <x v="1"/>
    <x v="0"/>
    <n v="2438.0135999999998"/>
    <n v="597.78"/>
  </r>
  <r>
    <n v="2127"/>
    <s v="Laurie Stephens"/>
    <x v="3"/>
    <x v="7"/>
    <x v="5"/>
    <n v="2577.6350000000002"/>
    <n v="0.94"/>
    <x v="47"/>
    <x v="4"/>
    <x v="0"/>
    <x v="1"/>
    <n v="927.94860000000085"/>
    <n v="231.98715000000021"/>
  </r>
  <r>
    <n v="2128"/>
    <s v="Randall Chapman"/>
    <x v="3"/>
    <x v="21"/>
    <x v="0"/>
    <n v="2785.79"/>
    <n v="0.08"/>
    <x v="110"/>
    <x v="334"/>
    <x v="3"/>
    <x v="0"/>
    <n v="10251.707200000001"/>
    <n v="-237.66"/>
  </r>
  <r>
    <n v="1003"/>
    <s v="Tammy Jennings"/>
    <x v="1"/>
    <x v="1"/>
    <x v="0"/>
    <n v="1685.85"/>
    <n v="0.51"/>
    <x v="696"/>
    <x v="4"/>
    <x v="4"/>
    <x v="0"/>
    <n v="3304.2659999999996"/>
    <n v="-298.61"/>
  </r>
  <r>
    <n v="2130"/>
    <s v="Amanda Williams"/>
    <x v="1"/>
    <x v="15"/>
    <x v="3"/>
    <n v="2229.4899999999998"/>
    <n v="0.36"/>
    <x v="30"/>
    <x v="179"/>
    <x v="5"/>
    <x v="0"/>
    <n v="4280.6207999999997"/>
    <n v="1132.58"/>
  </r>
  <r>
    <n v="2131"/>
    <s v="Michael Logan"/>
    <x v="2"/>
    <x v="13"/>
    <x v="1"/>
    <n v="2538.0450000000001"/>
    <n v="0.51"/>
    <x v="108"/>
    <x v="69"/>
    <x v="5"/>
    <x v="1"/>
    <n v="1243.6420499999999"/>
    <n v="1004.43"/>
  </r>
  <r>
    <n v="2132"/>
    <s v="James Gilbert"/>
    <x v="0"/>
    <x v="0"/>
    <x v="0"/>
    <n v="2366.6149999999998"/>
    <n v="0.51"/>
    <x v="81"/>
    <x v="299"/>
    <x v="2"/>
    <x v="1"/>
    <n v="4638.5653999999995"/>
    <n v="680.91"/>
  </r>
  <r>
    <n v="2133"/>
    <s v="Cynthia Hopkins"/>
    <x v="4"/>
    <x v="14"/>
    <x v="4"/>
    <n v="2765.79"/>
    <n v="0.51"/>
    <x v="96"/>
    <x v="4"/>
    <x v="5"/>
    <x v="1"/>
    <n v="6776.1855000000005"/>
    <n v="1700.16"/>
  </r>
  <r>
    <n v="2134"/>
    <s v="Sandra Simmons"/>
    <x v="3"/>
    <x v="7"/>
    <x v="2"/>
    <n v="2577.6350000000002"/>
    <n v="0.28999999999999998"/>
    <x v="32"/>
    <x v="66"/>
    <x v="3"/>
    <x v="0"/>
    <n v="3660.2417"/>
    <n v="-986.66"/>
  </r>
  <r>
    <n v="2135"/>
    <s v="Lori Bush"/>
    <x v="5"/>
    <x v="6"/>
    <x v="0"/>
    <n v="857.22"/>
    <n v="0.51"/>
    <x v="697"/>
    <x v="430"/>
    <x v="0"/>
    <x v="1"/>
    <n v="1680.1512"/>
    <n v="-806.63"/>
  </r>
  <r>
    <n v="2136"/>
    <s v="Sarah Ortiz"/>
    <x v="4"/>
    <x v="16"/>
    <x v="0"/>
    <n v="2599.75"/>
    <n v="0.51"/>
    <x v="42"/>
    <x v="140"/>
    <x v="4"/>
    <x v="1"/>
    <n v="5095.51"/>
    <n v="1627.8"/>
  </r>
  <r>
    <n v="2137"/>
    <s v="Sheila Miller"/>
    <x v="4"/>
    <x v="14"/>
    <x v="0"/>
    <n v="2765.79"/>
    <n v="0.51"/>
    <x v="25"/>
    <x v="139"/>
    <x v="5"/>
    <x v="1"/>
    <n v="5420.9484000000002"/>
    <n v="1626.26"/>
  </r>
  <r>
    <n v="2138"/>
    <s v="Sara Dillon"/>
    <x v="2"/>
    <x v="17"/>
    <x v="3"/>
    <n v="2426.77"/>
    <n v="0.51"/>
    <x v="698"/>
    <x v="4"/>
    <x v="0"/>
    <x v="1"/>
    <n v="3567.3518999999997"/>
    <n v="1446.08"/>
  </r>
  <r>
    <n v="1028"/>
    <s v="Nancy Wood"/>
    <x v="3"/>
    <x v="3"/>
    <x v="3"/>
    <n v="4142.54"/>
    <n v="0.51"/>
    <x v="699"/>
    <x v="356"/>
    <x v="1"/>
    <x v="1"/>
    <n v="6089.5337999999992"/>
    <n v="2453.9899999999998"/>
  </r>
  <r>
    <n v="2140"/>
    <s v="Annette Campbell"/>
    <x v="2"/>
    <x v="2"/>
    <x v="0"/>
    <n v="2191.65"/>
    <n v="0.51"/>
    <x v="700"/>
    <x v="92"/>
    <x v="2"/>
    <x v="1"/>
    <n v="4295.634"/>
    <n v="2424.2399999999998"/>
  </r>
  <r>
    <n v="2141"/>
    <s v="Cheryl Roberts"/>
    <x v="1"/>
    <x v="22"/>
    <x v="6"/>
    <n v="1762.28"/>
    <n v="0.51"/>
    <x v="701"/>
    <x v="110"/>
    <x v="0"/>
    <x v="1"/>
    <n v="3022.3101999999999"/>
    <n v="2590.56"/>
  </r>
  <r>
    <n v="2142"/>
    <s v="Darlene Cervantes"/>
    <x v="5"/>
    <x v="12"/>
    <x v="3"/>
    <n v="2765.26"/>
    <n v="0.51"/>
    <x v="19"/>
    <x v="431"/>
    <x v="3"/>
    <x v="1"/>
    <n v="4064.9322000000002"/>
    <n v="-780.6"/>
  </r>
  <r>
    <n v="2143"/>
    <s v="Emily Chambers"/>
    <x v="5"/>
    <x v="12"/>
    <x v="3"/>
    <n v="662.52"/>
    <n v="0.96"/>
    <x v="702"/>
    <x v="93"/>
    <x v="3"/>
    <x v="1"/>
    <n v="79.502400000000065"/>
    <n v="19.875600000000016"/>
  </r>
  <r>
    <n v="2144"/>
    <s v="Jacob Curry"/>
    <x v="1"/>
    <x v="15"/>
    <x v="3"/>
    <n v="906.82"/>
    <n v="0.92"/>
    <x v="703"/>
    <x v="62"/>
    <x v="1"/>
    <x v="1"/>
    <n v="217.63679999999988"/>
    <n v="54.40919999999997"/>
  </r>
  <r>
    <n v="2145"/>
    <s v="Sandra Fernandez"/>
    <x v="4"/>
    <x v="8"/>
    <x v="3"/>
    <n v="3981.39"/>
    <n v="0.51"/>
    <x v="704"/>
    <x v="26"/>
    <x v="5"/>
    <x v="0"/>
    <n v="5852.6432999999997"/>
    <n v="1764.19"/>
  </r>
  <r>
    <n v="2146"/>
    <s v="Billy Smith"/>
    <x v="3"/>
    <x v="21"/>
    <x v="0"/>
    <n v="2785.79"/>
    <n v="0.65"/>
    <x v="110"/>
    <x v="132"/>
    <x v="2"/>
    <x v="1"/>
    <n v="3900.1059999999998"/>
    <n v="2062.9699999999998"/>
  </r>
  <r>
    <n v="2147"/>
    <s v="Douglas Rhodes"/>
    <x v="5"/>
    <x v="19"/>
    <x v="0"/>
    <n v="2889.5349999999999"/>
    <n v="0.27"/>
    <x v="36"/>
    <x v="432"/>
    <x v="1"/>
    <x v="0"/>
    <n v="8437.4421999999995"/>
    <n v="2299.86"/>
  </r>
  <r>
    <n v="2148"/>
    <s v="Paul Kennedy"/>
    <x v="4"/>
    <x v="8"/>
    <x v="3"/>
    <n v="3027.66"/>
    <n v="0.51"/>
    <x v="94"/>
    <x v="4"/>
    <x v="4"/>
    <x v="0"/>
    <n v="4450.6601999999993"/>
    <n v="-771.3"/>
  </r>
  <r>
    <n v="2149"/>
    <s v="James Spencer"/>
    <x v="1"/>
    <x v="22"/>
    <x v="6"/>
    <n v="2865.62"/>
    <n v="0.8"/>
    <x v="705"/>
    <x v="363"/>
    <x v="1"/>
    <x v="1"/>
    <n v="2005.9339999999995"/>
    <n v="-660.8"/>
  </r>
  <r>
    <n v="1033"/>
    <s v="John Mora Jr."/>
    <x v="4"/>
    <x v="4"/>
    <x v="0"/>
    <n v="2001.5500000000002"/>
    <n v="0.51"/>
    <x v="5"/>
    <x v="285"/>
    <x v="0"/>
    <x v="0"/>
    <n v="3923.0380000000005"/>
    <n v="-299.77999999999997"/>
  </r>
  <r>
    <n v="2151"/>
    <s v="Kayla Mclaughlin"/>
    <x v="5"/>
    <x v="11"/>
    <x v="3"/>
    <n v="927.64"/>
    <n v="0.51"/>
    <x v="706"/>
    <x v="118"/>
    <x v="5"/>
    <x v="1"/>
    <n v="1363.6307999999999"/>
    <n v="-742.69"/>
  </r>
  <r>
    <n v="2152"/>
    <s v="Kayla Marshall MD"/>
    <x v="2"/>
    <x v="2"/>
    <x v="0"/>
    <n v="2933.45"/>
    <n v="0.51"/>
    <x v="13"/>
    <x v="4"/>
    <x v="1"/>
    <x v="1"/>
    <n v="5749.5619999999999"/>
    <n v="-865.58"/>
  </r>
  <r>
    <n v="2153"/>
    <s v="Heather Mitchell"/>
    <x v="1"/>
    <x v="22"/>
    <x v="6"/>
    <n v="3131.57"/>
    <n v="0.51"/>
    <x v="707"/>
    <x v="154"/>
    <x v="1"/>
    <x v="0"/>
    <n v="5370.6425500000005"/>
    <n v="517.22"/>
  </r>
  <r>
    <n v="2154"/>
    <s v="Veronica Everett"/>
    <x v="3"/>
    <x v="3"/>
    <x v="3"/>
    <n v="2515.415"/>
    <n v="0.51"/>
    <x v="11"/>
    <x v="364"/>
    <x v="5"/>
    <x v="1"/>
    <n v="3697.66005"/>
    <n v="2141.81"/>
  </r>
  <r>
    <n v="2155"/>
    <s v="Samuel Mitchell"/>
    <x v="4"/>
    <x v="16"/>
    <x v="0"/>
    <n v="2599.75"/>
    <n v="0.51"/>
    <x v="42"/>
    <x v="346"/>
    <x v="3"/>
    <x v="0"/>
    <n v="5095.51"/>
    <n v="-972.74"/>
  </r>
  <r>
    <n v="2156"/>
    <s v="Lisa Saunders"/>
    <x v="2"/>
    <x v="13"/>
    <x v="0"/>
    <n v="2538.0450000000001"/>
    <n v="0.51"/>
    <x v="21"/>
    <x v="4"/>
    <x v="1"/>
    <x v="1"/>
    <n v="4974.5681999999997"/>
    <n v="1648.67"/>
  </r>
  <r>
    <n v="2157"/>
    <s v="Veronica Long"/>
    <x v="2"/>
    <x v="10"/>
    <x v="0"/>
    <n v="2830.24"/>
    <n v="0.97"/>
    <x v="708"/>
    <x v="4"/>
    <x v="2"/>
    <x v="1"/>
    <n v="339.6288000000003"/>
    <n v="84.907200000000074"/>
  </r>
  <r>
    <n v="2158"/>
    <s v="Donna Mendoza"/>
    <x v="2"/>
    <x v="10"/>
    <x v="0"/>
    <n v="3270.68"/>
    <n v="0.51"/>
    <x v="709"/>
    <x v="4"/>
    <x v="2"/>
    <x v="1"/>
    <n v="6410.5328"/>
    <n v="-437.06"/>
  </r>
  <r>
    <n v="2159"/>
    <s v="Dennis Harris"/>
    <x v="5"/>
    <x v="6"/>
    <x v="0"/>
    <n v="2975.64"/>
    <n v="0.51"/>
    <x v="61"/>
    <x v="148"/>
    <x v="2"/>
    <x v="1"/>
    <n v="5832.2543999999998"/>
    <n v="-420.95"/>
  </r>
  <r>
    <n v="2160"/>
    <s v="Angela Warren"/>
    <x v="2"/>
    <x v="17"/>
    <x v="3"/>
    <n v="2119.66"/>
    <n v="0.51"/>
    <x v="710"/>
    <x v="157"/>
    <x v="5"/>
    <x v="0"/>
    <n v="3115.9001999999996"/>
    <n v="-203.89"/>
  </r>
  <r>
    <n v="2161"/>
    <s v="Jeremy Phillips"/>
    <x v="3"/>
    <x v="21"/>
    <x v="0"/>
    <n v="4376.41"/>
    <n v="0.51"/>
    <x v="711"/>
    <x v="424"/>
    <x v="2"/>
    <x v="0"/>
    <n v="8577.7636000000002"/>
    <n v="1713.03"/>
  </r>
  <r>
    <n v="2162"/>
    <s v="Karen Patterson"/>
    <x v="3"/>
    <x v="21"/>
    <x v="1"/>
    <n v="2785.79"/>
    <n v="0.71"/>
    <x v="712"/>
    <x v="140"/>
    <x v="1"/>
    <x v="1"/>
    <n v="807.87910000000011"/>
    <n v="54.58"/>
  </r>
  <r>
    <n v="2163"/>
    <s v="Kristen Barnes"/>
    <x v="5"/>
    <x v="11"/>
    <x v="3"/>
    <n v="2731.6350000000002"/>
    <n v="0.51"/>
    <x v="60"/>
    <x v="321"/>
    <x v="2"/>
    <x v="0"/>
    <n v="4015.5034500000002"/>
    <n v="1205.3800000000001"/>
  </r>
  <r>
    <n v="2164"/>
    <s v="Bobby Brock"/>
    <x v="1"/>
    <x v="1"/>
    <x v="0"/>
    <n v="1498.8"/>
    <n v="0.51"/>
    <x v="713"/>
    <x v="297"/>
    <x v="0"/>
    <x v="1"/>
    <n v="2937.6479999999997"/>
    <n v="-548.47"/>
  </r>
  <r>
    <n v="2165"/>
    <s v="Jeffrey Lewis"/>
    <x v="2"/>
    <x v="13"/>
    <x v="0"/>
    <n v="2538.0450000000001"/>
    <n v="0.51"/>
    <x v="21"/>
    <x v="207"/>
    <x v="5"/>
    <x v="1"/>
    <n v="4974.5681999999997"/>
    <n v="-609.52"/>
  </r>
  <r>
    <n v="2166"/>
    <s v="Deborah Gordon"/>
    <x v="1"/>
    <x v="22"/>
    <x v="6"/>
    <n v="2752.99"/>
    <n v="0.51"/>
    <x v="201"/>
    <x v="4"/>
    <x v="2"/>
    <x v="1"/>
    <n v="4721.3778499999999"/>
    <n v="-845.69"/>
  </r>
  <r>
    <n v="2167"/>
    <s v="Heather Taylor"/>
    <x v="5"/>
    <x v="6"/>
    <x v="0"/>
    <n v="2975.64"/>
    <n v="0.51"/>
    <x v="61"/>
    <x v="4"/>
    <x v="2"/>
    <x v="0"/>
    <n v="5832.2543999999998"/>
    <n v="-258.89"/>
  </r>
  <r>
    <n v="2168"/>
    <s v="Brian Kim"/>
    <x v="3"/>
    <x v="23"/>
    <x v="6"/>
    <n v="4446.09"/>
    <n v="0.47"/>
    <x v="714"/>
    <x v="4"/>
    <x v="1"/>
    <x v="1"/>
    <n v="8247.4969500000007"/>
    <n v="784.1"/>
  </r>
  <r>
    <n v="2169"/>
    <s v="Wendy Rodriguez"/>
    <x v="0"/>
    <x v="9"/>
    <x v="2"/>
    <n v="2891.64"/>
    <n v="0.51"/>
    <x v="715"/>
    <x v="13"/>
    <x v="1"/>
    <x v="0"/>
    <n v="2833.8071999999997"/>
    <n v="1870.24"/>
  </r>
  <r>
    <n v="2170"/>
    <s v="Jade Dawson"/>
    <x v="3"/>
    <x v="3"/>
    <x v="3"/>
    <n v="826.11"/>
    <n v="0.99"/>
    <x v="716"/>
    <x v="4"/>
    <x v="0"/>
    <x v="1"/>
    <n v="24.783300000000022"/>
    <n v="6.1958250000000055"/>
  </r>
  <r>
    <n v="2171"/>
    <s v="Crystal Mcneil"/>
    <x v="4"/>
    <x v="14"/>
    <x v="0"/>
    <n v="630.28"/>
    <n v="0.51"/>
    <x v="717"/>
    <x v="242"/>
    <x v="0"/>
    <x v="1"/>
    <n v="1235.3488"/>
    <n v="308.8372"/>
  </r>
  <r>
    <n v="2172"/>
    <s v="Matthew Gross"/>
    <x v="4"/>
    <x v="14"/>
    <x v="0"/>
    <n v="2765.79"/>
    <n v="0.51"/>
    <x v="25"/>
    <x v="4"/>
    <x v="0"/>
    <x v="0"/>
    <n v="5420.9484000000002"/>
    <n v="2497.36"/>
  </r>
  <r>
    <n v="2173"/>
    <s v="Dennis Brown"/>
    <x v="2"/>
    <x v="2"/>
    <x v="0"/>
    <n v="2679.07"/>
    <n v="0.51"/>
    <x v="718"/>
    <x v="4"/>
    <x v="2"/>
    <x v="1"/>
    <n v="5250.9772000000003"/>
    <n v="2156.1"/>
  </r>
  <r>
    <n v="2174"/>
    <s v="Stephanie Williams"/>
    <x v="3"/>
    <x v="3"/>
    <x v="3"/>
    <n v="810.62"/>
    <n v="0.51"/>
    <x v="719"/>
    <x v="41"/>
    <x v="3"/>
    <x v="0"/>
    <n v="1191.6114"/>
    <n v="-69.8"/>
  </r>
  <r>
    <n v="2175"/>
    <s v="Paul Estrada"/>
    <x v="2"/>
    <x v="2"/>
    <x v="0"/>
    <n v="2933.45"/>
    <n v="0.51"/>
    <x v="13"/>
    <x v="433"/>
    <x v="4"/>
    <x v="0"/>
    <n v="5749.5619999999999"/>
    <n v="1022.04"/>
  </r>
  <r>
    <n v="2176"/>
    <s v="Michelle Anderson"/>
    <x v="1"/>
    <x v="1"/>
    <x v="5"/>
    <n v="4954.67"/>
    <n v="0.51"/>
    <x v="720"/>
    <x v="43"/>
    <x v="4"/>
    <x v="1"/>
    <n v="14566.729799999999"/>
    <n v="2176.54"/>
  </r>
  <r>
    <n v="2177"/>
    <s v="Steven Kelly"/>
    <x v="2"/>
    <x v="17"/>
    <x v="3"/>
    <n v="2385.5749999999998"/>
    <n v="0.51"/>
    <x v="91"/>
    <x v="47"/>
    <x v="1"/>
    <x v="1"/>
    <n v="3506.7952499999997"/>
    <n v="-723.01"/>
  </r>
  <r>
    <n v="2178"/>
    <s v="Matthew Hicks"/>
    <x v="2"/>
    <x v="10"/>
    <x v="0"/>
    <n v="2666.2200000000003"/>
    <n v="0.89"/>
    <x v="142"/>
    <x v="4"/>
    <x v="3"/>
    <x v="0"/>
    <n v="1173.1368"/>
    <n v="293.2842"/>
  </r>
  <r>
    <n v="2179"/>
    <s v="Natalie Adams"/>
    <x v="3"/>
    <x v="3"/>
    <x v="3"/>
    <n v="466.37"/>
    <n v="0.51"/>
    <x v="721"/>
    <x v="4"/>
    <x v="4"/>
    <x v="1"/>
    <n v="685.5639000000001"/>
    <n v="171.39097500000003"/>
  </r>
  <r>
    <n v="2180"/>
    <s v="Jacob Kline"/>
    <x v="2"/>
    <x v="2"/>
    <x v="5"/>
    <n v="2933.45"/>
    <n v="0.51"/>
    <x v="722"/>
    <x v="174"/>
    <x v="0"/>
    <x v="1"/>
    <n v="8624.3429999999989"/>
    <n v="28.77"/>
  </r>
  <r>
    <n v="2181"/>
    <s v="David Brown"/>
    <x v="4"/>
    <x v="16"/>
    <x v="0"/>
    <n v="2599.75"/>
    <n v="0.51"/>
    <x v="42"/>
    <x v="216"/>
    <x v="2"/>
    <x v="1"/>
    <n v="5095.51"/>
    <n v="-24.93"/>
  </r>
  <r>
    <n v="2182"/>
    <s v="Kristopher Gregory"/>
    <x v="3"/>
    <x v="23"/>
    <x v="2"/>
    <n v="2338.04"/>
    <n v="0.53"/>
    <x v="688"/>
    <x v="279"/>
    <x v="4"/>
    <x v="1"/>
    <n v="2197.7575999999999"/>
    <n v="2192.44"/>
  </r>
  <r>
    <n v="2183"/>
    <s v="Barry Ali"/>
    <x v="0"/>
    <x v="5"/>
    <x v="3"/>
    <n v="1332.39"/>
    <n v="0.51"/>
    <x v="723"/>
    <x v="127"/>
    <x v="3"/>
    <x v="1"/>
    <n v="1958.6133"/>
    <n v="707.79"/>
  </r>
  <r>
    <n v="2184"/>
    <s v="Kenneth Bryant"/>
    <x v="2"/>
    <x v="10"/>
    <x v="0"/>
    <n v="1001.57"/>
    <n v="0.51"/>
    <x v="724"/>
    <x v="34"/>
    <x v="4"/>
    <x v="0"/>
    <n v="1963.0772000000002"/>
    <n v="490.76930000000004"/>
  </r>
  <r>
    <n v="2185"/>
    <s v="Lindsey Walker"/>
    <x v="1"/>
    <x v="18"/>
    <x v="3"/>
    <n v="2537.59"/>
    <n v="0.14000000000000001"/>
    <x v="35"/>
    <x v="4"/>
    <x v="5"/>
    <x v="1"/>
    <n v="6546.9822000000004"/>
    <n v="-810.97"/>
  </r>
  <r>
    <n v="2186"/>
    <s v="Joel Wright"/>
    <x v="3"/>
    <x v="3"/>
    <x v="3"/>
    <n v="2036.71"/>
    <n v="0.51"/>
    <x v="725"/>
    <x v="4"/>
    <x v="0"/>
    <x v="1"/>
    <n v="2993.9636999999998"/>
    <n v="1586.84"/>
  </r>
  <r>
    <n v="2187"/>
    <s v="Judith Graves"/>
    <x v="3"/>
    <x v="21"/>
    <x v="0"/>
    <n v="2709.1"/>
    <n v="0.82"/>
    <x v="726"/>
    <x v="434"/>
    <x v="0"/>
    <x v="1"/>
    <n v="1950.5520000000004"/>
    <n v="1386.25"/>
  </r>
  <r>
    <n v="2188"/>
    <s v="Shannon White"/>
    <x v="4"/>
    <x v="8"/>
    <x v="3"/>
    <n v="3027.66"/>
    <n v="0.51"/>
    <x v="94"/>
    <x v="245"/>
    <x v="1"/>
    <x v="1"/>
    <n v="4450.6601999999993"/>
    <n v="1971.23"/>
  </r>
  <r>
    <n v="2189"/>
    <s v="Ronnie Perry"/>
    <x v="1"/>
    <x v="18"/>
    <x v="3"/>
    <n v="968.53"/>
    <n v="0.3"/>
    <x v="727"/>
    <x v="32"/>
    <x v="0"/>
    <x v="0"/>
    <n v="2033.913"/>
    <n v="-39.14"/>
  </r>
  <r>
    <n v="2190"/>
    <s v="Courtney Wright"/>
    <x v="0"/>
    <x v="5"/>
    <x v="3"/>
    <n v="3887.5"/>
    <n v="0.51"/>
    <x v="728"/>
    <x v="210"/>
    <x v="0"/>
    <x v="1"/>
    <n v="5714.625"/>
    <n v="1787.25"/>
  </r>
  <r>
    <n v="2191"/>
    <s v="Martin Alvarez"/>
    <x v="1"/>
    <x v="22"/>
    <x v="6"/>
    <n v="2267.7199999999998"/>
    <n v="0.51"/>
    <x v="729"/>
    <x v="2"/>
    <x v="2"/>
    <x v="0"/>
    <n v="3889.1397999999999"/>
    <n v="-459.62"/>
  </r>
  <r>
    <n v="2192"/>
    <s v="Jennifer Sullivan"/>
    <x v="3"/>
    <x v="3"/>
    <x v="3"/>
    <n v="4218.96"/>
    <n v="0.01"/>
    <x v="730"/>
    <x v="435"/>
    <x v="5"/>
    <x v="1"/>
    <n v="12530.3112"/>
    <n v="1483.9"/>
  </r>
  <r>
    <n v="2193"/>
    <s v="Amanda Hester"/>
    <x v="1"/>
    <x v="22"/>
    <x v="6"/>
    <n v="2712.09"/>
    <n v="0.51"/>
    <x v="731"/>
    <x v="9"/>
    <x v="4"/>
    <x v="0"/>
    <n v="4651.2343499999997"/>
    <n v="2585.79"/>
  </r>
  <r>
    <n v="2194"/>
    <s v="Jasmine Torres"/>
    <x v="1"/>
    <x v="22"/>
    <x v="6"/>
    <n v="3862.58"/>
    <n v="0.51"/>
    <x v="732"/>
    <x v="96"/>
    <x v="1"/>
    <x v="1"/>
    <n v="6624.3246999999992"/>
    <n v="794.8"/>
  </r>
  <r>
    <n v="2195"/>
    <s v="John Melton"/>
    <x v="2"/>
    <x v="17"/>
    <x v="0"/>
    <n v="3491.26"/>
    <n v="0.51"/>
    <x v="733"/>
    <x v="4"/>
    <x v="4"/>
    <x v="0"/>
    <n v="6842.8696"/>
    <n v="-165.48"/>
  </r>
  <r>
    <n v="2196"/>
    <s v="Brandon Rojas"/>
    <x v="5"/>
    <x v="6"/>
    <x v="0"/>
    <n v="3655.37"/>
    <n v="0.51"/>
    <x v="734"/>
    <x v="396"/>
    <x v="4"/>
    <x v="0"/>
    <n v="7164.5252"/>
    <n v="-844.23"/>
  </r>
  <r>
    <n v="2197"/>
    <s v="Michael Mccormick"/>
    <x v="5"/>
    <x v="19"/>
    <x v="0"/>
    <n v="2889.5349999999999"/>
    <n v="0.51"/>
    <x v="36"/>
    <x v="157"/>
    <x v="1"/>
    <x v="0"/>
    <n v="5663.4885999999997"/>
    <n v="24.78"/>
  </r>
  <r>
    <n v="1004"/>
    <s v="Raymond Hernandez"/>
    <x v="2"/>
    <x v="2"/>
    <x v="0"/>
    <n v="2933.45"/>
    <n v="0.64"/>
    <x v="13"/>
    <x v="350"/>
    <x v="5"/>
    <x v="1"/>
    <n v="4224.1679999999997"/>
    <n v="968.3"/>
  </r>
  <r>
    <n v="2199"/>
    <s v="Kristine Anderson"/>
    <x v="4"/>
    <x v="4"/>
    <x v="5"/>
    <n v="2001.5500000000002"/>
    <n v="0.51"/>
    <x v="512"/>
    <x v="436"/>
    <x v="4"/>
    <x v="1"/>
    <n v="5884.5570000000007"/>
    <n v="595.51"/>
  </r>
  <r>
    <n v="2200"/>
    <s v="Tina Castillo"/>
    <x v="4"/>
    <x v="8"/>
    <x v="3"/>
    <n v="1346.11"/>
    <n v="0.72"/>
    <x v="735"/>
    <x v="4"/>
    <x v="2"/>
    <x v="1"/>
    <n v="1130.7324000000001"/>
    <n v="-763.62"/>
  </r>
  <r>
    <n v="2201"/>
    <s v="Troy Smith"/>
    <x v="5"/>
    <x v="12"/>
    <x v="3"/>
    <n v="2765.26"/>
    <n v="0.51"/>
    <x v="19"/>
    <x v="4"/>
    <x v="3"/>
    <x v="1"/>
    <n v="4064.9322000000002"/>
    <n v="1897.16"/>
  </r>
  <r>
    <n v="2202"/>
    <s v="Aaron Kaiser"/>
    <x v="0"/>
    <x v="9"/>
    <x v="0"/>
    <n v="2891.64"/>
    <n v="0.92"/>
    <x v="12"/>
    <x v="437"/>
    <x v="1"/>
    <x v="0"/>
    <n v="925.32479999999953"/>
    <n v="231.33119999999988"/>
  </r>
  <r>
    <n v="2203"/>
    <s v="Shawn Santiago"/>
    <x v="5"/>
    <x v="11"/>
    <x v="3"/>
    <n v="1611.02"/>
    <n v="0.51"/>
    <x v="736"/>
    <x v="178"/>
    <x v="5"/>
    <x v="0"/>
    <n v="2368.1993999999995"/>
    <n v="592.04984999999988"/>
  </r>
  <r>
    <n v="2204"/>
    <s v="Elizabeth Ramirez"/>
    <x v="2"/>
    <x v="10"/>
    <x v="2"/>
    <n v="2666.2200000000003"/>
    <n v="0.51"/>
    <x v="737"/>
    <x v="4"/>
    <x v="3"/>
    <x v="1"/>
    <n v="2612.8956000000003"/>
    <n v="-875.95"/>
  </r>
  <r>
    <n v="2205"/>
    <s v="Danielle Hill"/>
    <x v="4"/>
    <x v="16"/>
    <x v="0"/>
    <n v="2599.75"/>
    <n v="0.14000000000000001"/>
    <x v="42"/>
    <x v="438"/>
    <x v="4"/>
    <x v="0"/>
    <n v="8943.14"/>
    <n v="-512.13"/>
  </r>
  <r>
    <n v="2206"/>
    <s v="Kelly Garcia"/>
    <x v="3"/>
    <x v="21"/>
    <x v="0"/>
    <n v="2349.3000000000002"/>
    <n v="0.18"/>
    <x v="738"/>
    <x v="201"/>
    <x v="0"/>
    <x v="1"/>
    <n v="7705.7040000000015"/>
    <n v="2503.67"/>
  </r>
  <r>
    <n v="2207"/>
    <s v="Virginia Murphy"/>
    <x v="3"/>
    <x v="21"/>
    <x v="3"/>
    <n v="2146.0700000000002"/>
    <n v="0.51"/>
    <x v="739"/>
    <x v="4"/>
    <x v="5"/>
    <x v="0"/>
    <n v="3154.7229000000002"/>
    <n v="199.99"/>
  </r>
  <r>
    <n v="2208"/>
    <s v="Bobby Morrison"/>
    <x v="3"/>
    <x v="7"/>
    <x v="3"/>
    <n v="2577.6350000000002"/>
    <n v="0.51"/>
    <x v="8"/>
    <x v="240"/>
    <x v="5"/>
    <x v="1"/>
    <n v="3789.12345"/>
    <n v="2347.0500000000002"/>
  </r>
  <r>
    <n v="2209"/>
    <s v="Daniel Martin"/>
    <x v="4"/>
    <x v="4"/>
    <x v="0"/>
    <n v="2001.5500000000002"/>
    <n v="0.95"/>
    <x v="5"/>
    <x v="4"/>
    <x v="5"/>
    <x v="1"/>
    <n v="400.3100000000004"/>
    <n v="100.0775000000001"/>
  </r>
  <r>
    <n v="2210"/>
    <s v="Kevin Carpenter"/>
    <x v="1"/>
    <x v="15"/>
    <x v="3"/>
    <n v="4368.12"/>
    <n v="0.51"/>
    <x v="740"/>
    <x v="73"/>
    <x v="0"/>
    <x v="0"/>
    <n v="6421.1364000000003"/>
    <n v="2434.6"/>
  </r>
  <r>
    <n v="2211"/>
    <s v="Michele Hicks"/>
    <x v="1"/>
    <x v="18"/>
    <x v="2"/>
    <n v="2537.59"/>
    <n v="0.51"/>
    <x v="741"/>
    <x v="439"/>
    <x v="2"/>
    <x v="1"/>
    <n v="2486.8382000000001"/>
    <n v="902.93"/>
  </r>
  <r>
    <n v="1031"/>
    <s v="Samantha Richards"/>
    <x v="4"/>
    <x v="8"/>
    <x v="3"/>
    <n v="3027.66"/>
    <n v="0.57999999999999996"/>
    <x v="94"/>
    <x v="4"/>
    <x v="0"/>
    <x v="0"/>
    <n v="3814.8516"/>
    <n v="652.37"/>
  </r>
  <r>
    <n v="2213"/>
    <s v="Zachary Macdonald"/>
    <x v="0"/>
    <x v="5"/>
    <x v="3"/>
    <n v="2543.9299999999998"/>
    <n v="0.51"/>
    <x v="742"/>
    <x v="109"/>
    <x v="1"/>
    <x v="0"/>
    <n v="3739.5770999999995"/>
    <n v="2177.8200000000002"/>
  </r>
  <r>
    <n v="2214"/>
    <s v="Regina Rodriguez"/>
    <x v="5"/>
    <x v="6"/>
    <x v="0"/>
    <n v="4854.03"/>
    <n v="0.51"/>
    <x v="743"/>
    <x v="252"/>
    <x v="1"/>
    <x v="1"/>
    <n v="9513.898799999999"/>
    <n v="864.66"/>
  </r>
  <r>
    <n v="2215"/>
    <s v="Nathan Hendrix"/>
    <x v="1"/>
    <x v="22"/>
    <x v="6"/>
    <n v="442.41"/>
    <n v="0.51"/>
    <x v="744"/>
    <x v="4"/>
    <x v="0"/>
    <x v="0"/>
    <n v="758.73315000000002"/>
    <n v="189.68328750000001"/>
  </r>
  <r>
    <n v="2216"/>
    <s v="Joshua Blake"/>
    <x v="1"/>
    <x v="18"/>
    <x v="3"/>
    <n v="2537.59"/>
    <n v="0.05"/>
    <x v="35"/>
    <x v="269"/>
    <x v="5"/>
    <x v="1"/>
    <n v="7232.1315000000004"/>
    <n v="-823.2"/>
  </r>
  <r>
    <n v="2217"/>
    <s v="Kelly Juarez"/>
    <x v="0"/>
    <x v="20"/>
    <x v="4"/>
    <n v="1540.5"/>
    <n v="0.51"/>
    <x v="745"/>
    <x v="148"/>
    <x v="2"/>
    <x v="1"/>
    <n v="3774.2249999999999"/>
    <n v="1385.44"/>
  </r>
  <r>
    <n v="2218"/>
    <s v="David Wood"/>
    <x v="0"/>
    <x v="20"/>
    <x v="4"/>
    <n v="2750.33"/>
    <n v="0.51"/>
    <x v="52"/>
    <x v="93"/>
    <x v="4"/>
    <x v="1"/>
    <n v="6738.3085000000001"/>
    <n v="2077.4899999999998"/>
  </r>
  <r>
    <n v="2219"/>
    <s v="Lisa Ford"/>
    <x v="4"/>
    <x v="16"/>
    <x v="0"/>
    <n v="2403.9499999999998"/>
    <n v="0.51"/>
    <x v="746"/>
    <x v="84"/>
    <x v="2"/>
    <x v="0"/>
    <n v="4711.7419999999993"/>
    <n v="858.23"/>
  </r>
  <r>
    <n v="2220"/>
    <s v="Robert Cline"/>
    <x v="3"/>
    <x v="3"/>
    <x v="3"/>
    <n v="2170.71"/>
    <n v="0.57999999999999996"/>
    <x v="747"/>
    <x v="179"/>
    <x v="3"/>
    <x v="1"/>
    <n v="2735.0946000000004"/>
    <n v="1689.68"/>
  </r>
  <r>
    <n v="2221"/>
    <s v="Joshua Johnson"/>
    <x v="4"/>
    <x v="4"/>
    <x v="0"/>
    <n v="1762.23"/>
    <n v="0.51"/>
    <x v="748"/>
    <x v="272"/>
    <x v="3"/>
    <x v="0"/>
    <n v="3453.9708000000001"/>
    <n v="-736.69"/>
  </r>
  <r>
    <n v="2222"/>
    <s v="Louis Holt"/>
    <x v="5"/>
    <x v="12"/>
    <x v="3"/>
    <n v="2161.8000000000002"/>
    <n v="0.51"/>
    <x v="749"/>
    <x v="4"/>
    <x v="1"/>
    <x v="1"/>
    <n v="3177.846"/>
    <n v="1722.2"/>
  </r>
  <r>
    <n v="2223"/>
    <s v="Mr. Alexander Costa Jr."/>
    <x v="0"/>
    <x v="9"/>
    <x v="0"/>
    <n v="3445.9"/>
    <n v="0.81"/>
    <x v="750"/>
    <x v="331"/>
    <x v="2"/>
    <x v="1"/>
    <n v="2618.8839999999996"/>
    <n v="2374.1799999999998"/>
  </r>
  <r>
    <n v="2224"/>
    <s v="Natalie Bernard"/>
    <x v="2"/>
    <x v="13"/>
    <x v="0"/>
    <n v="2538.0450000000001"/>
    <n v="0.51"/>
    <x v="21"/>
    <x v="105"/>
    <x v="1"/>
    <x v="1"/>
    <n v="4974.5681999999997"/>
    <n v="691.31"/>
  </r>
  <r>
    <n v="2225"/>
    <s v="Kelsey Hampton"/>
    <x v="3"/>
    <x v="23"/>
    <x v="6"/>
    <n v="2338.04"/>
    <n v="0.51"/>
    <x v="171"/>
    <x v="4"/>
    <x v="4"/>
    <x v="1"/>
    <n v="4009.7385999999997"/>
    <n v="2362.63"/>
  </r>
  <r>
    <n v="2226"/>
    <s v="Anthony Daniels"/>
    <x v="4"/>
    <x v="16"/>
    <x v="0"/>
    <n v="4484.13"/>
    <n v="0.79"/>
    <x v="751"/>
    <x v="4"/>
    <x v="4"/>
    <x v="1"/>
    <n v="3766.6691999999994"/>
    <n v="821.13"/>
  </r>
  <r>
    <n v="2227"/>
    <s v="April Davis MD"/>
    <x v="5"/>
    <x v="12"/>
    <x v="3"/>
    <n v="2765.26"/>
    <n v="0.51"/>
    <x v="19"/>
    <x v="34"/>
    <x v="5"/>
    <x v="1"/>
    <n v="4064.9322000000002"/>
    <n v="2766.36"/>
  </r>
  <r>
    <n v="2228"/>
    <s v="April Jones"/>
    <x v="3"/>
    <x v="7"/>
    <x v="3"/>
    <n v="2577.6350000000002"/>
    <n v="0.93"/>
    <x v="8"/>
    <x v="63"/>
    <x v="4"/>
    <x v="0"/>
    <n v="541.30334999999968"/>
    <n v="-980.89"/>
  </r>
  <r>
    <n v="2229"/>
    <s v="Logan Russell"/>
    <x v="1"/>
    <x v="1"/>
    <x v="1"/>
    <n v="2579.8000000000002"/>
    <n v="0.51"/>
    <x v="90"/>
    <x v="131"/>
    <x v="2"/>
    <x v="1"/>
    <n v="1264.1020000000001"/>
    <n v="623.39"/>
  </r>
  <r>
    <n v="2230"/>
    <s v="Jessica Lee"/>
    <x v="5"/>
    <x v="12"/>
    <x v="3"/>
    <n v="4524.6400000000003"/>
    <n v="0.51"/>
    <x v="752"/>
    <x v="182"/>
    <x v="5"/>
    <x v="0"/>
    <n v="6651.220800000001"/>
    <n v="1906"/>
  </r>
  <r>
    <n v="2231"/>
    <s v="Aaron Miller"/>
    <x v="2"/>
    <x v="2"/>
    <x v="0"/>
    <n v="2933.45"/>
    <n v="0.51"/>
    <x v="13"/>
    <x v="357"/>
    <x v="1"/>
    <x v="0"/>
    <n v="5749.5619999999999"/>
    <n v="1342.52"/>
  </r>
  <r>
    <n v="2232"/>
    <s v="Melissa Rodriguez"/>
    <x v="5"/>
    <x v="6"/>
    <x v="0"/>
    <n v="2975.64"/>
    <n v="0.51"/>
    <x v="61"/>
    <x v="440"/>
    <x v="0"/>
    <x v="1"/>
    <n v="5832.2543999999998"/>
    <n v="2915.25"/>
  </r>
  <r>
    <n v="2233"/>
    <s v="Debra Wilcox"/>
    <x v="5"/>
    <x v="6"/>
    <x v="1"/>
    <n v="4604.8500000000004"/>
    <n v="0.14000000000000001"/>
    <x v="753"/>
    <x v="426"/>
    <x v="4"/>
    <x v="1"/>
    <n v="3960.1710000000003"/>
    <n v="-627.16999999999996"/>
  </r>
  <r>
    <n v="2234"/>
    <s v="Mary Ruiz"/>
    <x v="3"/>
    <x v="23"/>
    <x v="6"/>
    <n v="2338.04"/>
    <n v="0.51"/>
    <x v="171"/>
    <x v="441"/>
    <x v="2"/>
    <x v="0"/>
    <n v="4009.7385999999997"/>
    <n v="-345.61"/>
  </r>
  <r>
    <n v="2235"/>
    <s v="Mary Fletcher"/>
    <x v="0"/>
    <x v="9"/>
    <x v="0"/>
    <n v="2891.64"/>
    <n v="0.51"/>
    <x v="12"/>
    <x v="365"/>
    <x v="2"/>
    <x v="1"/>
    <n v="5667.6143999999995"/>
    <n v="-758.81"/>
  </r>
  <r>
    <n v="2236"/>
    <s v="Jonathan Caldwell"/>
    <x v="2"/>
    <x v="13"/>
    <x v="0"/>
    <n v="2420.16"/>
    <n v="0.51"/>
    <x v="754"/>
    <x v="440"/>
    <x v="0"/>
    <x v="0"/>
    <n v="4743.5135999999993"/>
    <n v="2707.96"/>
  </r>
  <r>
    <n v="2237"/>
    <s v="Matthew Johnson"/>
    <x v="5"/>
    <x v="6"/>
    <x v="1"/>
    <n v="2496.17"/>
    <n v="0.51"/>
    <x v="755"/>
    <x v="294"/>
    <x v="5"/>
    <x v="0"/>
    <n v="1223.1233"/>
    <n v="810.82"/>
  </r>
  <r>
    <n v="2238"/>
    <s v="Marcus Harris"/>
    <x v="4"/>
    <x v="14"/>
    <x v="0"/>
    <n v="4808.3500000000004"/>
    <n v="0.51"/>
    <x v="756"/>
    <x v="224"/>
    <x v="1"/>
    <x v="1"/>
    <n v="9424.366"/>
    <n v="-282.61"/>
  </r>
  <r>
    <n v="2239"/>
    <s v="Devin Gallagher"/>
    <x v="3"/>
    <x v="21"/>
    <x v="0"/>
    <n v="3427.66"/>
    <n v="0.51"/>
    <x v="757"/>
    <x v="298"/>
    <x v="2"/>
    <x v="0"/>
    <n v="6718.2136"/>
    <n v="1441.3"/>
  </r>
  <r>
    <n v="2240"/>
    <s v="Diana Campbell"/>
    <x v="4"/>
    <x v="8"/>
    <x v="3"/>
    <n v="4205.29"/>
    <n v="0.51"/>
    <x v="758"/>
    <x v="335"/>
    <x v="4"/>
    <x v="1"/>
    <n v="6181.7762999999995"/>
    <n v="2223.0300000000002"/>
  </r>
  <r>
    <n v="2241"/>
    <s v="Sharon Decker"/>
    <x v="4"/>
    <x v="8"/>
    <x v="2"/>
    <n v="1600.21"/>
    <n v="0.51"/>
    <x v="759"/>
    <x v="4"/>
    <x v="5"/>
    <x v="1"/>
    <n v="1568.2058"/>
    <n v="392.05144999999999"/>
  </r>
  <r>
    <n v="2242"/>
    <s v="Andrew Trevino"/>
    <x v="2"/>
    <x v="2"/>
    <x v="5"/>
    <n v="4450.17"/>
    <n v="0.51"/>
    <x v="760"/>
    <x v="373"/>
    <x v="1"/>
    <x v="1"/>
    <n v="13083.4998"/>
    <n v="-96.55"/>
  </r>
  <r>
    <n v="2243"/>
    <s v="Julie Arnold"/>
    <x v="3"/>
    <x v="23"/>
    <x v="2"/>
    <n v="2338.04"/>
    <n v="0.51"/>
    <x v="688"/>
    <x v="197"/>
    <x v="1"/>
    <x v="0"/>
    <n v="2291.2791999999999"/>
    <n v="773.71"/>
  </r>
  <r>
    <n v="2244"/>
    <s v="Taylor Aguirre"/>
    <x v="5"/>
    <x v="11"/>
    <x v="3"/>
    <n v="2731.6350000000002"/>
    <n v="0.62"/>
    <x v="60"/>
    <x v="236"/>
    <x v="3"/>
    <x v="0"/>
    <n v="3114.0639000000001"/>
    <n v="-835.44"/>
  </r>
  <r>
    <n v="2245"/>
    <s v="Terry Estrada"/>
    <x v="4"/>
    <x v="16"/>
    <x v="0"/>
    <n v="2599.75"/>
    <n v="0.51"/>
    <x v="42"/>
    <x v="4"/>
    <x v="3"/>
    <x v="1"/>
    <n v="5095.51"/>
    <n v="1929.41"/>
  </r>
  <r>
    <n v="2246"/>
    <s v="Alyssa Carter"/>
    <x v="2"/>
    <x v="13"/>
    <x v="0"/>
    <n v="2538.0450000000001"/>
    <n v="0.51"/>
    <x v="21"/>
    <x v="442"/>
    <x v="5"/>
    <x v="1"/>
    <n v="4974.5681999999997"/>
    <n v="311.56"/>
  </r>
  <r>
    <n v="2247"/>
    <s v="John Case Jr."/>
    <x v="5"/>
    <x v="12"/>
    <x v="3"/>
    <n v="2209.4899999999998"/>
    <n v="0.51"/>
    <x v="761"/>
    <x v="186"/>
    <x v="4"/>
    <x v="0"/>
    <n v="3247.9502999999995"/>
    <n v="1944.57"/>
  </r>
  <r>
    <n v="2248"/>
    <s v="Danielle Stevenson"/>
    <x v="0"/>
    <x v="9"/>
    <x v="0"/>
    <n v="2891.64"/>
    <n v="0.51"/>
    <x v="12"/>
    <x v="40"/>
    <x v="4"/>
    <x v="0"/>
    <n v="5667.6143999999995"/>
    <n v="-306.57"/>
  </r>
  <r>
    <n v="2249"/>
    <s v="Richard Santos"/>
    <x v="5"/>
    <x v="11"/>
    <x v="1"/>
    <n v="2731.6350000000002"/>
    <n v="0.51"/>
    <x v="271"/>
    <x v="443"/>
    <x v="2"/>
    <x v="1"/>
    <n v="1338.5011500000001"/>
    <n v="-132.08000000000001"/>
  </r>
  <r>
    <n v="2250"/>
    <s v="Clifford Deleon"/>
    <x v="1"/>
    <x v="1"/>
    <x v="0"/>
    <n v="2579.8000000000002"/>
    <n v="0.51"/>
    <x v="22"/>
    <x v="4"/>
    <x v="2"/>
    <x v="1"/>
    <n v="5056.4080000000004"/>
    <n v="2594.9"/>
  </r>
  <r>
    <n v="2251"/>
    <s v="John Wu"/>
    <x v="5"/>
    <x v="6"/>
    <x v="0"/>
    <n v="1438.68"/>
    <n v="0.51"/>
    <x v="762"/>
    <x v="356"/>
    <x v="1"/>
    <x v="0"/>
    <n v="2819.8128000000002"/>
    <n v="2726.72"/>
  </r>
  <r>
    <n v="2252"/>
    <s v="Lauren Cook"/>
    <x v="2"/>
    <x v="10"/>
    <x v="5"/>
    <n v="2755.37"/>
    <n v="0.51"/>
    <x v="763"/>
    <x v="364"/>
    <x v="0"/>
    <x v="0"/>
    <n v="8100.7878000000001"/>
    <n v="613.59"/>
  </r>
  <r>
    <n v="2253"/>
    <s v="Susan Mejia PhD"/>
    <x v="1"/>
    <x v="22"/>
    <x v="6"/>
    <n v="2752.99"/>
    <n v="0.51"/>
    <x v="201"/>
    <x v="38"/>
    <x v="3"/>
    <x v="1"/>
    <n v="4721.3778499999999"/>
    <n v="716.99"/>
  </r>
  <r>
    <n v="2254"/>
    <s v="Tyler Clark"/>
    <x v="4"/>
    <x v="14"/>
    <x v="0"/>
    <n v="4998.91"/>
    <n v="0.51"/>
    <x v="764"/>
    <x v="4"/>
    <x v="2"/>
    <x v="1"/>
    <n v="9797.8635999999988"/>
    <n v="-396.07"/>
  </r>
  <r>
    <n v="2255"/>
    <s v="Julian Nielsen"/>
    <x v="3"/>
    <x v="3"/>
    <x v="3"/>
    <n v="4478.08"/>
    <n v="0.51"/>
    <x v="765"/>
    <x v="79"/>
    <x v="5"/>
    <x v="1"/>
    <n v="6582.7775999999994"/>
    <n v="2090.38"/>
  </r>
  <r>
    <n v="2256"/>
    <s v="Jennifer Jordan"/>
    <x v="5"/>
    <x v="6"/>
    <x v="0"/>
    <n v="535.27"/>
    <n v="0.51"/>
    <x v="766"/>
    <x v="159"/>
    <x v="1"/>
    <x v="1"/>
    <n v="1049.1291999999999"/>
    <n v="262.28229999999996"/>
  </r>
  <r>
    <n v="2257"/>
    <s v="Alan Carpenter"/>
    <x v="5"/>
    <x v="19"/>
    <x v="0"/>
    <n v="2889.5349999999999"/>
    <n v="0.51"/>
    <x v="36"/>
    <x v="207"/>
    <x v="2"/>
    <x v="0"/>
    <n v="5663.4885999999997"/>
    <n v="980.52"/>
  </r>
  <r>
    <n v="2258"/>
    <s v="Shirley Fuller"/>
    <x v="2"/>
    <x v="17"/>
    <x v="3"/>
    <n v="2385.5749999999998"/>
    <n v="0.51"/>
    <x v="91"/>
    <x v="179"/>
    <x v="3"/>
    <x v="1"/>
    <n v="3506.7952499999997"/>
    <n v="1444.24"/>
  </r>
  <r>
    <n v="2259"/>
    <s v="Johnny Doyle"/>
    <x v="2"/>
    <x v="10"/>
    <x v="1"/>
    <n v="2854.4"/>
    <n v="0.51"/>
    <x v="767"/>
    <x v="187"/>
    <x v="3"/>
    <x v="0"/>
    <n v="1398.6559999999999"/>
    <n v="542.9"/>
  </r>
  <r>
    <n v="2260"/>
    <s v="Jennifer Ware"/>
    <x v="0"/>
    <x v="20"/>
    <x v="4"/>
    <n v="2750.33"/>
    <n v="0.51"/>
    <x v="52"/>
    <x v="4"/>
    <x v="4"/>
    <x v="1"/>
    <n v="6738.3085000000001"/>
    <n v="2697.38"/>
  </r>
  <r>
    <n v="1039"/>
    <s v="Susan Morris"/>
    <x v="4"/>
    <x v="4"/>
    <x v="0"/>
    <n v="633.23"/>
    <n v="0.51"/>
    <x v="768"/>
    <x v="229"/>
    <x v="2"/>
    <x v="0"/>
    <n v="1241.1307999999999"/>
    <n v="232.2"/>
  </r>
  <r>
    <n v="2262"/>
    <s v="Leslie Clark"/>
    <x v="5"/>
    <x v="11"/>
    <x v="3"/>
    <n v="2957.48"/>
    <n v="0.51"/>
    <x v="769"/>
    <x v="444"/>
    <x v="4"/>
    <x v="1"/>
    <n v="4347.4956000000002"/>
    <n v="2744.25"/>
  </r>
  <r>
    <n v="2263"/>
    <s v="Christian Green"/>
    <x v="2"/>
    <x v="17"/>
    <x v="3"/>
    <n v="4252.05"/>
    <n v="0.51"/>
    <x v="770"/>
    <x v="4"/>
    <x v="2"/>
    <x v="0"/>
    <n v="6250.5135000000009"/>
    <n v="-396.3"/>
  </r>
  <r>
    <n v="2264"/>
    <s v="Patricia Henderson"/>
    <x v="0"/>
    <x v="9"/>
    <x v="0"/>
    <n v="3541.13"/>
    <n v="0.51"/>
    <x v="771"/>
    <x v="4"/>
    <x v="4"/>
    <x v="1"/>
    <n v="6940.6148000000003"/>
    <n v="1711.99"/>
  </r>
  <r>
    <n v="2265"/>
    <s v="Scott Sweeney"/>
    <x v="4"/>
    <x v="16"/>
    <x v="0"/>
    <n v="2599.75"/>
    <n v="0.5"/>
    <x v="42"/>
    <x v="421"/>
    <x v="3"/>
    <x v="0"/>
    <n v="5199.5"/>
    <n v="399.62"/>
  </r>
  <r>
    <n v="1036"/>
    <s v="Carmen Cline"/>
    <x v="2"/>
    <x v="17"/>
    <x v="5"/>
    <n v="4437.4399999999996"/>
    <n v="0.51"/>
    <x v="772"/>
    <x v="229"/>
    <x v="5"/>
    <x v="0"/>
    <n v="13046.0736"/>
    <n v="493.76"/>
  </r>
  <r>
    <n v="2267"/>
    <s v="Adam Hopkins"/>
    <x v="5"/>
    <x v="6"/>
    <x v="0"/>
    <n v="2975.64"/>
    <n v="0.51"/>
    <x v="61"/>
    <x v="4"/>
    <x v="3"/>
    <x v="1"/>
    <n v="5832.2543999999998"/>
    <n v="1989.07"/>
  </r>
  <r>
    <n v="2268"/>
    <s v="Valerie King"/>
    <x v="2"/>
    <x v="2"/>
    <x v="0"/>
    <n v="4300.05"/>
    <n v="0.51"/>
    <x v="773"/>
    <x v="445"/>
    <x v="3"/>
    <x v="1"/>
    <n v="8428.098"/>
    <n v="-589.26"/>
  </r>
  <r>
    <n v="2269"/>
    <s v="John Romero"/>
    <x v="2"/>
    <x v="17"/>
    <x v="3"/>
    <n v="2385.5749999999998"/>
    <n v="0.51"/>
    <x v="91"/>
    <x v="74"/>
    <x v="4"/>
    <x v="1"/>
    <n v="3506.7952499999997"/>
    <n v="742.42"/>
  </r>
  <r>
    <n v="2270"/>
    <s v="Thomas Murillo"/>
    <x v="5"/>
    <x v="11"/>
    <x v="1"/>
    <n v="2710.56"/>
    <n v="0.51"/>
    <x v="774"/>
    <x v="255"/>
    <x v="0"/>
    <x v="1"/>
    <n v="1328.1743999999999"/>
    <n v="332.04359999999997"/>
  </r>
  <r>
    <n v="2271"/>
    <s v="Susan Buck"/>
    <x v="3"/>
    <x v="7"/>
    <x v="3"/>
    <n v="2577.6350000000002"/>
    <n v="0.36"/>
    <x v="8"/>
    <x v="4"/>
    <x v="3"/>
    <x v="0"/>
    <n v="4949.0592000000006"/>
    <n v="999.24"/>
  </r>
  <r>
    <n v="2272"/>
    <s v="Martin Lynch"/>
    <x v="1"/>
    <x v="22"/>
    <x v="0"/>
    <n v="2540.1"/>
    <n v="0.69"/>
    <x v="775"/>
    <x v="128"/>
    <x v="2"/>
    <x v="0"/>
    <n v="3149.7240000000006"/>
    <n v="733.06"/>
  </r>
  <r>
    <n v="2273"/>
    <s v="Laura Perez"/>
    <x v="0"/>
    <x v="20"/>
    <x v="5"/>
    <n v="3064.21"/>
    <n v="0.51"/>
    <x v="776"/>
    <x v="446"/>
    <x v="0"/>
    <x v="0"/>
    <n v="9008.7774000000009"/>
    <n v="1569.81"/>
  </r>
  <r>
    <n v="2274"/>
    <s v="Larry Mills"/>
    <x v="5"/>
    <x v="12"/>
    <x v="3"/>
    <n v="4456.6499999999996"/>
    <n v="0.51"/>
    <x v="777"/>
    <x v="423"/>
    <x v="0"/>
    <x v="0"/>
    <n v="6551.2754999999997"/>
    <n v="9.1"/>
  </r>
  <r>
    <n v="2275"/>
    <s v="Jo Mckinney"/>
    <x v="3"/>
    <x v="7"/>
    <x v="3"/>
    <n v="3899.04"/>
    <n v="0.51"/>
    <x v="778"/>
    <x v="447"/>
    <x v="1"/>
    <x v="1"/>
    <n v="5731.5887999999995"/>
    <n v="2522.67"/>
  </r>
  <r>
    <n v="2276"/>
    <s v="Christina Martinez"/>
    <x v="1"/>
    <x v="22"/>
    <x v="3"/>
    <n v="2752.99"/>
    <n v="0.51"/>
    <x v="213"/>
    <x v="448"/>
    <x v="3"/>
    <x v="0"/>
    <n v="4046.8952999999997"/>
    <n v="2089.34"/>
  </r>
  <r>
    <n v="2277"/>
    <s v="Emma Sanchez"/>
    <x v="0"/>
    <x v="5"/>
    <x v="3"/>
    <n v="3008.6549999999997"/>
    <n v="0.51"/>
    <x v="44"/>
    <x v="340"/>
    <x v="2"/>
    <x v="1"/>
    <n v="4422.7228500000001"/>
    <n v="2814.36"/>
  </r>
  <r>
    <n v="2278"/>
    <s v="Susan Young"/>
    <x v="5"/>
    <x v="6"/>
    <x v="0"/>
    <n v="2975.64"/>
    <n v="0.95"/>
    <x v="61"/>
    <x v="204"/>
    <x v="2"/>
    <x v="1"/>
    <n v="595.1280000000005"/>
    <n v="148.78200000000012"/>
  </r>
  <r>
    <n v="2279"/>
    <s v="Mark Henderson"/>
    <x v="3"/>
    <x v="3"/>
    <x v="5"/>
    <n v="3294.21"/>
    <n v="0.89"/>
    <x v="779"/>
    <x v="423"/>
    <x v="5"/>
    <x v="0"/>
    <n v="2174.1786000000002"/>
    <n v="1874.46"/>
  </r>
  <r>
    <n v="2280"/>
    <s v="David Gutierrez"/>
    <x v="4"/>
    <x v="4"/>
    <x v="0"/>
    <n v="2001.5500000000002"/>
    <n v="0.51"/>
    <x v="5"/>
    <x v="242"/>
    <x v="1"/>
    <x v="1"/>
    <n v="3923.0380000000005"/>
    <n v="-230.98"/>
  </r>
  <r>
    <n v="2281"/>
    <s v="Ariel Velasquez"/>
    <x v="5"/>
    <x v="6"/>
    <x v="0"/>
    <n v="2975.64"/>
    <n v="0.51"/>
    <x v="61"/>
    <x v="4"/>
    <x v="5"/>
    <x v="0"/>
    <n v="5832.2543999999998"/>
    <n v="-308.93"/>
  </r>
  <r>
    <n v="2282"/>
    <s v="Omar Norman"/>
    <x v="1"/>
    <x v="1"/>
    <x v="0"/>
    <n v="491.36"/>
    <n v="0.42"/>
    <x v="780"/>
    <x v="282"/>
    <x v="0"/>
    <x v="1"/>
    <n v="1139.9552000000001"/>
    <n v="284.98880000000003"/>
  </r>
  <r>
    <n v="2283"/>
    <s v="Shannon Bell"/>
    <x v="1"/>
    <x v="18"/>
    <x v="5"/>
    <n v="2537.59"/>
    <n v="0.94"/>
    <x v="345"/>
    <x v="68"/>
    <x v="3"/>
    <x v="1"/>
    <n v="913.53240000000085"/>
    <n v="228.38310000000021"/>
  </r>
  <r>
    <n v="2284"/>
    <s v="Gary Ferrell"/>
    <x v="3"/>
    <x v="23"/>
    <x v="6"/>
    <n v="3736.2"/>
    <n v="0.51"/>
    <x v="781"/>
    <x v="137"/>
    <x v="0"/>
    <x v="0"/>
    <n v="6407.5829999999996"/>
    <n v="-440.98"/>
  </r>
  <r>
    <n v="2285"/>
    <s v="Martha Smith"/>
    <x v="2"/>
    <x v="2"/>
    <x v="0"/>
    <n v="2287.67"/>
    <n v="0.56000000000000005"/>
    <x v="782"/>
    <x v="449"/>
    <x v="4"/>
    <x v="1"/>
    <n v="4026.2991999999995"/>
    <n v="-827.66"/>
  </r>
  <r>
    <n v="2286"/>
    <s v="Justin Aguilar"/>
    <x v="1"/>
    <x v="18"/>
    <x v="1"/>
    <n v="2537.59"/>
    <n v="0.51"/>
    <x v="139"/>
    <x v="86"/>
    <x v="5"/>
    <x v="0"/>
    <n v="1243.4191000000001"/>
    <n v="-810.33"/>
  </r>
  <r>
    <n v="2287"/>
    <s v="James Ibarra"/>
    <x v="2"/>
    <x v="2"/>
    <x v="0"/>
    <n v="2933.45"/>
    <n v="0.51"/>
    <x v="13"/>
    <x v="4"/>
    <x v="3"/>
    <x v="1"/>
    <n v="5749.5619999999999"/>
    <n v="715.96"/>
  </r>
  <r>
    <n v="2288"/>
    <s v="Lacey Solis"/>
    <x v="5"/>
    <x v="12"/>
    <x v="0"/>
    <n v="2765.26"/>
    <n v="0.51"/>
    <x v="27"/>
    <x v="4"/>
    <x v="3"/>
    <x v="1"/>
    <n v="5419.9096"/>
    <n v="1167.1600000000001"/>
  </r>
  <r>
    <n v="2289"/>
    <s v="Linda Riley"/>
    <x v="5"/>
    <x v="6"/>
    <x v="0"/>
    <n v="3407.2"/>
    <n v="0.51"/>
    <x v="783"/>
    <x v="4"/>
    <x v="1"/>
    <x v="0"/>
    <n v="6678.1119999999992"/>
    <n v="2344.16"/>
  </r>
  <r>
    <n v="2290"/>
    <s v="Theresa Stone"/>
    <x v="5"/>
    <x v="6"/>
    <x v="0"/>
    <n v="1405.39"/>
    <n v="0.51"/>
    <x v="784"/>
    <x v="450"/>
    <x v="3"/>
    <x v="0"/>
    <n v="2754.5644000000002"/>
    <n v="712.37"/>
  </r>
  <r>
    <n v="2291"/>
    <s v="Christopher Brown Jr."/>
    <x v="5"/>
    <x v="19"/>
    <x v="0"/>
    <n v="3217.82"/>
    <n v="0.51"/>
    <x v="785"/>
    <x v="4"/>
    <x v="3"/>
    <x v="1"/>
    <n v="6306.9272000000001"/>
    <n v="2909.8"/>
  </r>
  <r>
    <n v="2292"/>
    <s v="Mary Miller"/>
    <x v="5"/>
    <x v="19"/>
    <x v="0"/>
    <n v="3974.58"/>
    <n v="0.51"/>
    <x v="786"/>
    <x v="235"/>
    <x v="4"/>
    <x v="1"/>
    <n v="7790.1767999999993"/>
    <n v="-0.12"/>
  </r>
  <r>
    <n v="2293"/>
    <s v="Nancy Chandler"/>
    <x v="2"/>
    <x v="2"/>
    <x v="0"/>
    <n v="3241.57"/>
    <n v="0.51"/>
    <x v="787"/>
    <x v="215"/>
    <x v="1"/>
    <x v="0"/>
    <n v="6353.4772000000003"/>
    <n v="2518.36"/>
  </r>
  <r>
    <n v="2294"/>
    <s v="Sheryl Brown"/>
    <x v="5"/>
    <x v="11"/>
    <x v="3"/>
    <n v="2731.6350000000002"/>
    <n v="0.16"/>
    <x v="60"/>
    <x v="451"/>
    <x v="0"/>
    <x v="1"/>
    <n v="6883.7202000000007"/>
    <n v="1019.45"/>
  </r>
  <r>
    <n v="2295"/>
    <s v="Amy Mcpherson"/>
    <x v="2"/>
    <x v="10"/>
    <x v="0"/>
    <n v="3189.35"/>
    <n v="0.51"/>
    <x v="788"/>
    <x v="107"/>
    <x v="3"/>
    <x v="1"/>
    <n v="6251.1259999999993"/>
    <n v="-683.11"/>
  </r>
  <r>
    <n v="1014"/>
    <s v="Robin Rios"/>
    <x v="4"/>
    <x v="16"/>
    <x v="5"/>
    <n v="2599.75"/>
    <n v="0.28999999999999998"/>
    <x v="381"/>
    <x v="320"/>
    <x v="5"/>
    <x v="0"/>
    <n v="11074.934999999999"/>
    <n v="-958.22"/>
  </r>
  <r>
    <n v="2297"/>
    <s v="Sheila Gutierrez"/>
    <x v="5"/>
    <x v="19"/>
    <x v="0"/>
    <n v="2889.5349999999999"/>
    <n v="0.28999999999999998"/>
    <x v="36"/>
    <x v="106"/>
    <x v="0"/>
    <x v="1"/>
    <n v="8206.2793999999994"/>
    <n v="2879.59"/>
  </r>
  <r>
    <n v="2298"/>
    <s v="Jennifer Delgado"/>
    <x v="4"/>
    <x v="16"/>
    <x v="0"/>
    <n v="2599.75"/>
    <n v="0.51"/>
    <x v="42"/>
    <x v="231"/>
    <x v="1"/>
    <x v="1"/>
    <n v="5095.51"/>
    <n v="-778.84"/>
  </r>
  <r>
    <n v="2299"/>
    <s v="Kelly Thomas"/>
    <x v="4"/>
    <x v="16"/>
    <x v="0"/>
    <n v="2599.75"/>
    <n v="0.51"/>
    <x v="42"/>
    <x v="86"/>
    <x v="2"/>
    <x v="0"/>
    <n v="5095.51"/>
    <n v="2892.16"/>
  </r>
  <r>
    <n v="2300"/>
    <s v="Gabriel Conley"/>
    <x v="3"/>
    <x v="7"/>
    <x v="3"/>
    <n v="2577.6350000000002"/>
    <n v="0.51"/>
    <x v="8"/>
    <x v="4"/>
    <x v="4"/>
    <x v="1"/>
    <n v="3789.12345"/>
    <n v="-59.16"/>
  </r>
  <r>
    <n v="2301"/>
    <s v="Kelsey Mcdonald"/>
    <x v="5"/>
    <x v="11"/>
    <x v="3"/>
    <n v="3335.27"/>
    <n v="0.51"/>
    <x v="789"/>
    <x v="184"/>
    <x v="2"/>
    <x v="1"/>
    <n v="4902.8468999999996"/>
    <n v="1415.8"/>
  </r>
  <r>
    <n v="2302"/>
    <s v="Mary Gilbert"/>
    <x v="5"/>
    <x v="19"/>
    <x v="1"/>
    <n v="2889.5349999999999"/>
    <n v="0.51"/>
    <x v="158"/>
    <x v="4"/>
    <x v="1"/>
    <x v="0"/>
    <n v="1415.8721499999999"/>
    <n v="353.96803749999998"/>
  </r>
  <r>
    <n v="2303"/>
    <s v="Tracy Knight"/>
    <x v="2"/>
    <x v="10"/>
    <x v="5"/>
    <n v="2201.87"/>
    <n v="0.51"/>
    <x v="790"/>
    <x v="4"/>
    <x v="4"/>
    <x v="1"/>
    <n v="6473.4977999999992"/>
    <n v="1919.35"/>
  </r>
  <r>
    <n v="2304"/>
    <s v="Stephanie Jones"/>
    <x v="3"/>
    <x v="23"/>
    <x v="6"/>
    <n v="2338.04"/>
    <n v="0.3"/>
    <x v="171"/>
    <x v="366"/>
    <x v="5"/>
    <x v="0"/>
    <n v="5728.1979999999994"/>
    <n v="2013.34"/>
  </r>
  <r>
    <n v="2305"/>
    <s v="David Rodriguez"/>
    <x v="1"/>
    <x v="15"/>
    <x v="3"/>
    <n v="3476.06"/>
    <n v="0.51"/>
    <x v="791"/>
    <x v="4"/>
    <x v="3"/>
    <x v="0"/>
    <n v="5109.8082000000004"/>
    <n v="1379.32"/>
  </r>
  <r>
    <n v="2306"/>
    <s v="Christine Riley"/>
    <x v="2"/>
    <x v="17"/>
    <x v="3"/>
    <n v="2385.5749999999998"/>
    <n v="0.51"/>
    <x v="91"/>
    <x v="452"/>
    <x v="1"/>
    <x v="0"/>
    <n v="3506.7952499999997"/>
    <n v="2166.71"/>
  </r>
  <r>
    <n v="2307"/>
    <s v="Justin Garza"/>
    <x v="2"/>
    <x v="17"/>
    <x v="3"/>
    <n v="2385.5749999999998"/>
    <n v="0.51"/>
    <x v="91"/>
    <x v="453"/>
    <x v="5"/>
    <x v="1"/>
    <n v="3506.7952499999997"/>
    <n v="1998.57"/>
  </r>
  <r>
    <n v="2308"/>
    <s v="Stephanie Cook MD"/>
    <x v="5"/>
    <x v="11"/>
    <x v="3"/>
    <n v="3978.48"/>
    <n v="0.51"/>
    <x v="792"/>
    <x v="92"/>
    <x v="0"/>
    <x v="1"/>
    <n v="5848.3656000000001"/>
    <n v="929.92"/>
  </r>
  <r>
    <n v="2309"/>
    <s v="Phillip Smith"/>
    <x v="0"/>
    <x v="5"/>
    <x v="1"/>
    <n v="3008.6549999999997"/>
    <n v="0.51"/>
    <x v="18"/>
    <x v="4"/>
    <x v="0"/>
    <x v="1"/>
    <n v="1474.2409499999999"/>
    <n v="-464.01"/>
  </r>
  <r>
    <n v="1003"/>
    <s v="Audrey Pittman"/>
    <x v="0"/>
    <x v="9"/>
    <x v="0"/>
    <n v="4426.82"/>
    <n v="0.51"/>
    <x v="793"/>
    <x v="303"/>
    <x v="4"/>
    <x v="0"/>
    <n v="8676.5671999999995"/>
    <n v="2095.4499999999998"/>
  </r>
  <r>
    <n v="1034"/>
    <s v="Jeremy Booth"/>
    <x v="1"/>
    <x v="22"/>
    <x v="6"/>
    <n v="3062.79"/>
    <n v="0.51"/>
    <x v="794"/>
    <x v="281"/>
    <x v="4"/>
    <x v="1"/>
    <n v="5252.6848499999996"/>
    <n v="1135.53"/>
  </r>
  <r>
    <n v="2312"/>
    <s v="Stephanie Ford"/>
    <x v="0"/>
    <x v="9"/>
    <x v="0"/>
    <n v="2688.08"/>
    <n v="0.51"/>
    <x v="795"/>
    <x v="369"/>
    <x v="5"/>
    <x v="1"/>
    <n v="5268.6367999999993"/>
    <n v="1913.21"/>
  </r>
  <r>
    <n v="2313"/>
    <s v="Shawn Martinez"/>
    <x v="5"/>
    <x v="6"/>
    <x v="2"/>
    <n v="2440.38"/>
    <n v="0.51"/>
    <x v="796"/>
    <x v="454"/>
    <x v="3"/>
    <x v="1"/>
    <n v="2391.5724"/>
    <n v="-899.53"/>
  </r>
  <r>
    <n v="2314"/>
    <s v="Alexa Davis"/>
    <x v="3"/>
    <x v="21"/>
    <x v="0"/>
    <n v="2785.79"/>
    <n v="0.51"/>
    <x v="110"/>
    <x v="72"/>
    <x v="5"/>
    <x v="1"/>
    <n v="5460.1484"/>
    <n v="949.17"/>
  </r>
  <r>
    <n v="2315"/>
    <s v="April Harrison"/>
    <x v="5"/>
    <x v="6"/>
    <x v="1"/>
    <n v="2975.64"/>
    <n v="0.51"/>
    <x v="352"/>
    <x v="58"/>
    <x v="5"/>
    <x v="1"/>
    <n v="1458.0636"/>
    <n v="261.63"/>
  </r>
  <r>
    <n v="2316"/>
    <s v="April Ward"/>
    <x v="0"/>
    <x v="20"/>
    <x v="0"/>
    <n v="1529.48"/>
    <n v="0.51"/>
    <x v="797"/>
    <x v="455"/>
    <x v="2"/>
    <x v="0"/>
    <n v="2997.7808"/>
    <n v="1325.56"/>
  </r>
  <r>
    <n v="2317"/>
    <s v="Monique Brown"/>
    <x v="2"/>
    <x v="17"/>
    <x v="3"/>
    <n v="1005.41"/>
    <n v="0.51"/>
    <x v="798"/>
    <x v="197"/>
    <x v="0"/>
    <x v="0"/>
    <n v="1477.9527"/>
    <n v="566.17999999999995"/>
  </r>
  <r>
    <n v="2318"/>
    <s v="Jessica Campbell"/>
    <x v="4"/>
    <x v="4"/>
    <x v="0"/>
    <n v="2001.5500000000002"/>
    <n v="0.51"/>
    <x v="5"/>
    <x v="456"/>
    <x v="4"/>
    <x v="0"/>
    <n v="3923.0380000000005"/>
    <n v="1145.48"/>
  </r>
  <r>
    <n v="2319"/>
    <s v="Victor Peterson"/>
    <x v="5"/>
    <x v="12"/>
    <x v="3"/>
    <n v="881.41"/>
    <n v="0.51"/>
    <x v="799"/>
    <x v="4"/>
    <x v="5"/>
    <x v="1"/>
    <n v="1295.6727000000001"/>
    <n v="323.91817500000002"/>
  </r>
  <r>
    <n v="2320"/>
    <s v="David Garcia MD"/>
    <x v="0"/>
    <x v="9"/>
    <x v="0"/>
    <n v="2891.64"/>
    <n v="0.51"/>
    <x v="12"/>
    <x v="361"/>
    <x v="4"/>
    <x v="0"/>
    <n v="5667.6143999999995"/>
    <n v="1960.76"/>
  </r>
  <r>
    <n v="2321"/>
    <s v="Andrea Young"/>
    <x v="2"/>
    <x v="10"/>
    <x v="0"/>
    <n v="2666.2200000000003"/>
    <n v="0.51"/>
    <x v="142"/>
    <x v="176"/>
    <x v="5"/>
    <x v="1"/>
    <n v="5225.7912000000006"/>
    <n v="1864.22"/>
  </r>
  <r>
    <n v="2322"/>
    <s v="Brian Garcia"/>
    <x v="4"/>
    <x v="4"/>
    <x v="0"/>
    <n v="2001.5500000000002"/>
    <n v="0.98"/>
    <x v="5"/>
    <x v="4"/>
    <x v="5"/>
    <x v="1"/>
    <n v="160.12400000000017"/>
    <n v="40.031000000000041"/>
  </r>
  <r>
    <n v="2323"/>
    <s v="Amanda Smith"/>
    <x v="0"/>
    <x v="9"/>
    <x v="0"/>
    <n v="2891.64"/>
    <n v="0.51"/>
    <x v="12"/>
    <x v="174"/>
    <x v="5"/>
    <x v="1"/>
    <n v="5667.6143999999995"/>
    <n v="2903.66"/>
  </r>
  <r>
    <n v="1025"/>
    <s v="Sharon Cain"/>
    <x v="4"/>
    <x v="8"/>
    <x v="3"/>
    <n v="3027.66"/>
    <n v="0.51"/>
    <x v="94"/>
    <x v="4"/>
    <x v="0"/>
    <x v="1"/>
    <n v="4450.6601999999993"/>
    <n v="-973.7"/>
  </r>
  <r>
    <n v="2325"/>
    <s v="Dustin Skinner"/>
    <x v="5"/>
    <x v="19"/>
    <x v="1"/>
    <n v="2889.5349999999999"/>
    <n v="0.51"/>
    <x v="158"/>
    <x v="4"/>
    <x v="3"/>
    <x v="1"/>
    <n v="1415.8721499999999"/>
    <n v="353.96803749999998"/>
  </r>
  <r>
    <n v="2326"/>
    <s v="Timothy Thompson"/>
    <x v="2"/>
    <x v="10"/>
    <x v="0"/>
    <n v="1718.14"/>
    <n v="0.51"/>
    <x v="800"/>
    <x v="421"/>
    <x v="1"/>
    <x v="1"/>
    <n v="3367.5544"/>
    <n v="1309.05"/>
  </r>
  <r>
    <n v="2327"/>
    <s v="Christina Carter"/>
    <x v="2"/>
    <x v="13"/>
    <x v="0"/>
    <n v="2538.0450000000001"/>
    <n v="0.76"/>
    <x v="21"/>
    <x v="310"/>
    <x v="5"/>
    <x v="0"/>
    <n v="2436.5232000000001"/>
    <n v="-357.33"/>
  </r>
  <r>
    <n v="2328"/>
    <s v="Mrs. Crystal Stokes"/>
    <x v="0"/>
    <x v="5"/>
    <x v="3"/>
    <n v="3008.6549999999997"/>
    <n v="0.51"/>
    <x v="44"/>
    <x v="4"/>
    <x v="2"/>
    <x v="0"/>
    <n v="4422.7228500000001"/>
    <n v="1385.5"/>
  </r>
  <r>
    <n v="1024"/>
    <s v="Joseph Wilson"/>
    <x v="0"/>
    <x v="9"/>
    <x v="0"/>
    <n v="1580.59"/>
    <n v="0.08"/>
    <x v="801"/>
    <x v="79"/>
    <x v="0"/>
    <x v="1"/>
    <n v="5816.5712000000003"/>
    <n v="1786.82"/>
  </r>
  <r>
    <n v="2330"/>
    <s v="Brittany Hicks"/>
    <x v="2"/>
    <x v="17"/>
    <x v="5"/>
    <n v="2385.5749999999998"/>
    <n v="0.53"/>
    <x v="802"/>
    <x v="4"/>
    <x v="5"/>
    <x v="0"/>
    <n v="6727.3214999999991"/>
    <n v="-44.8"/>
  </r>
  <r>
    <n v="2331"/>
    <s v="Raymond Floyd"/>
    <x v="5"/>
    <x v="6"/>
    <x v="0"/>
    <n v="2967.49"/>
    <n v="0.51"/>
    <x v="803"/>
    <x v="275"/>
    <x v="5"/>
    <x v="1"/>
    <n v="5816.2803999999996"/>
    <n v="1890.42"/>
  </r>
  <r>
    <n v="2332"/>
    <s v="Daniel Smith"/>
    <x v="1"/>
    <x v="22"/>
    <x v="6"/>
    <n v="4066.97"/>
    <n v="0.59"/>
    <x v="804"/>
    <x v="182"/>
    <x v="2"/>
    <x v="1"/>
    <n v="5836.1019500000002"/>
    <n v="977.09"/>
  </r>
  <r>
    <n v="2333"/>
    <s v="Sydney Warren"/>
    <x v="5"/>
    <x v="6"/>
    <x v="0"/>
    <n v="2975.64"/>
    <n v="0.51"/>
    <x v="61"/>
    <x v="457"/>
    <x v="1"/>
    <x v="0"/>
    <n v="5832.2543999999998"/>
    <n v="761.35"/>
  </r>
  <r>
    <n v="2334"/>
    <s v="Morgan Blankenship"/>
    <x v="0"/>
    <x v="20"/>
    <x v="4"/>
    <n v="2295.4899999999998"/>
    <n v="0.51"/>
    <x v="805"/>
    <x v="4"/>
    <x v="5"/>
    <x v="0"/>
    <n v="5623.950499999999"/>
    <n v="2846.96"/>
  </r>
  <r>
    <n v="2335"/>
    <s v="Heather Walsh"/>
    <x v="3"/>
    <x v="23"/>
    <x v="1"/>
    <n v="3508.21"/>
    <n v="0.62"/>
    <x v="806"/>
    <x v="458"/>
    <x v="3"/>
    <x v="1"/>
    <n v="1333.1197999999999"/>
    <n v="-309.14999999999998"/>
  </r>
  <r>
    <n v="2336"/>
    <s v="Robin Jennings"/>
    <x v="1"/>
    <x v="22"/>
    <x v="0"/>
    <n v="2752.99"/>
    <n v="0.51"/>
    <x v="366"/>
    <x v="13"/>
    <x v="1"/>
    <x v="0"/>
    <n v="5395.8603999999996"/>
    <n v="1339.62"/>
  </r>
  <r>
    <n v="2337"/>
    <s v="Anita Rose"/>
    <x v="0"/>
    <x v="5"/>
    <x v="3"/>
    <n v="1295.44"/>
    <n v="0.51"/>
    <x v="807"/>
    <x v="208"/>
    <x v="1"/>
    <x v="0"/>
    <n v="1904.2968000000001"/>
    <n v="1552.41"/>
  </r>
  <r>
    <n v="2338"/>
    <s v="Gregory Kennedy"/>
    <x v="5"/>
    <x v="12"/>
    <x v="4"/>
    <n v="1378.76"/>
    <n v="0.19"/>
    <x v="808"/>
    <x v="459"/>
    <x v="2"/>
    <x v="1"/>
    <n v="5583.9780000000001"/>
    <n v="2284.9699999999998"/>
  </r>
  <r>
    <n v="2339"/>
    <s v="Robert Nelson"/>
    <x v="0"/>
    <x v="20"/>
    <x v="1"/>
    <n v="1289.24"/>
    <n v="0.51"/>
    <x v="809"/>
    <x v="134"/>
    <x v="2"/>
    <x v="1"/>
    <n v="631.72759999999994"/>
    <n v="555.48"/>
  </r>
  <r>
    <n v="2340"/>
    <s v="Stephen Barber"/>
    <x v="2"/>
    <x v="13"/>
    <x v="0"/>
    <n v="2538.0450000000001"/>
    <n v="0.51"/>
    <x v="21"/>
    <x v="4"/>
    <x v="4"/>
    <x v="1"/>
    <n v="4974.5681999999997"/>
    <n v="345.45"/>
  </r>
  <r>
    <n v="2341"/>
    <s v="Jay Bates"/>
    <x v="4"/>
    <x v="14"/>
    <x v="0"/>
    <n v="2765.79"/>
    <n v="0.59"/>
    <x v="25"/>
    <x v="21"/>
    <x v="1"/>
    <x v="0"/>
    <n v="4535.8955999999998"/>
    <n v="259.57"/>
  </r>
  <r>
    <n v="2342"/>
    <s v="Samuel Wilson"/>
    <x v="4"/>
    <x v="8"/>
    <x v="3"/>
    <n v="1042.4100000000001"/>
    <n v="0.51"/>
    <x v="810"/>
    <x v="460"/>
    <x v="1"/>
    <x v="0"/>
    <n v="1532.3427000000001"/>
    <n v="383.08567500000004"/>
  </r>
  <r>
    <n v="2343"/>
    <s v="Denise Spencer"/>
    <x v="0"/>
    <x v="0"/>
    <x v="0"/>
    <n v="2366.6149999999998"/>
    <n v="0.51"/>
    <x v="81"/>
    <x v="269"/>
    <x v="1"/>
    <x v="1"/>
    <n v="4638.5653999999995"/>
    <n v="2829.76"/>
  </r>
  <r>
    <n v="2344"/>
    <s v="Walter Richard"/>
    <x v="0"/>
    <x v="0"/>
    <x v="0"/>
    <n v="2366.6149999999998"/>
    <n v="0.51"/>
    <x v="81"/>
    <x v="101"/>
    <x v="4"/>
    <x v="1"/>
    <n v="4638.5653999999995"/>
    <n v="1854.64"/>
  </r>
  <r>
    <n v="2345"/>
    <s v="Susan Gonzalez"/>
    <x v="0"/>
    <x v="0"/>
    <x v="1"/>
    <n v="1095.03"/>
    <n v="0.51"/>
    <x v="811"/>
    <x v="461"/>
    <x v="1"/>
    <x v="0"/>
    <n v="536.56470000000002"/>
    <n v="134.141175"/>
  </r>
  <r>
    <n v="2346"/>
    <s v="Christopher Hawkins"/>
    <x v="0"/>
    <x v="5"/>
    <x v="3"/>
    <n v="4922.99"/>
    <n v="0.51"/>
    <x v="812"/>
    <x v="363"/>
    <x v="3"/>
    <x v="1"/>
    <n v="7236.7952999999998"/>
    <n v="-712.37"/>
  </r>
  <r>
    <n v="2347"/>
    <s v="David Moreno"/>
    <x v="5"/>
    <x v="6"/>
    <x v="0"/>
    <n v="1207.99"/>
    <n v="0.51"/>
    <x v="813"/>
    <x v="27"/>
    <x v="3"/>
    <x v="0"/>
    <n v="2367.6603999999998"/>
    <n v="2195.11"/>
  </r>
  <r>
    <n v="2348"/>
    <s v="John Boyd"/>
    <x v="2"/>
    <x v="17"/>
    <x v="3"/>
    <n v="2385.5749999999998"/>
    <n v="0.51"/>
    <x v="91"/>
    <x v="217"/>
    <x v="5"/>
    <x v="1"/>
    <n v="3506.7952499999997"/>
    <n v="371.77"/>
  </r>
  <r>
    <n v="2349"/>
    <s v="John Johns"/>
    <x v="1"/>
    <x v="1"/>
    <x v="0"/>
    <n v="2579.8000000000002"/>
    <n v="0.34"/>
    <x v="22"/>
    <x v="361"/>
    <x v="0"/>
    <x v="1"/>
    <n v="6810.6719999999996"/>
    <n v="-496.94"/>
  </r>
  <r>
    <n v="2350"/>
    <s v="Victoria Greene"/>
    <x v="2"/>
    <x v="13"/>
    <x v="0"/>
    <n v="3148.46"/>
    <n v="0.51"/>
    <x v="814"/>
    <x v="420"/>
    <x v="3"/>
    <x v="1"/>
    <n v="6170.9816000000001"/>
    <n v="-165.49"/>
  </r>
  <r>
    <n v="2351"/>
    <s v="Joe Reed"/>
    <x v="5"/>
    <x v="6"/>
    <x v="0"/>
    <n v="1875.17"/>
    <n v="0.51"/>
    <x v="815"/>
    <x v="4"/>
    <x v="1"/>
    <x v="1"/>
    <n v="3675.3332"/>
    <n v="1406.99"/>
  </r>
  <r>
    <n v="2352"/>
    <s v="Kurt Best"/>
    <x v="5"/>
    <x v="11"/>
    <x v="3"/>
    <n v="2731.6350000000002"/>
    <n v="0.51"/>
    <x v="60"/>
    <x v="4"/>
    <x v="5"/>
    <x v="1"/>
    <n v="4015.5034500000002"/>
    <n v="590.80999999999995"/>
  </r>
  <r>
    <n v="2353"/>
    <s v="Tammy Jackson"/>
    <x v="2"/>
    <x v="17"/>
    <x v="3"/>
    <n v="2385.5749999999998"/>
    <n v="0.51"/>
    <x v="91"/>
    <x v="230"/>
    <x v="4"/>
    <x v="1"/>
    <n v="3506.7952499999997"/>
    <n v="-397.76"/>
  </r>
  <r>
    <n v="2354"/>
    <s v="Cynthia Wright"/>
    <x v="2"/>
    <x v="17"/>
    <x v="3"/>
    <n v="2385.5749999999998"/>
    <n v="0.51"/>
    <x v="91"/>
    <x v="459"/>
    <x v="4"/>
    <x v="1"/>
    <n v="3506.7952499999997"/>
    <n v="2233.2800000000002"/>
  </r>
  <r>
    <n v="2355"/>
    <s v="Robert Page"/>
    <x v="0"/>
    <x v="20"/>
    <x v="4"/>
    <n v="2750.33"/>
    <n v="0.14000000000000001"/>
    <x v="52"/>
    <x v="4"/>
    <x v="4"/>
    <x v="1"/>
    <n v="11826.419"/>
    <n v="1303.8900000000001"/>
  </r>
  <r>
    <n v="2356"/>
    <s v="Rachel Alvarez"/>
    <x v="3"/>
    <x v="23"/>
    <x v="6"/>
    <n v="3412.15"/>
    <n v="0.01"/>
    <x v="816"/>
    <x v="239"/>
    <x v="4"/>
    <x v="1"/>
    <n v="11823.099749999999"/>
    <n v="1862.5"/>
  </r>
  <r>
    <n v="2357"/>
    <s v="Catherine Young"/>
    <x v="0"/>
    <x v="20"/>
    <x v="4"/>
    <n v="509.54"/>
    <n v="0.51"/>
    <x v="817"/>
    <x v="41"/>
    <x v="0"/>
    <x v="0"/>
    <n v="1248.373"/>
    <n v="312.09325000000001"/>
  </r>
  <r>
    <n v="2358"/>
    <s v="Kimberly Villanueva"/>
    <x v="0"/>
    <x v="9"/>
    <x v="0"/>
    <n v="3099.15"/>
    <n v="0.51"/>
    <x v="818"/>
    <x v="4"/>
    <x v="2"/>
    <x v="1"/>
    <n v="6074.3339999999998"/>
    <n v="-860.89"/>
  </r>
  <r>
    <n v="2359"/>
    <s v="Jeanette Maldonado"/>
    <x v="2"/>
    <x v="2"/>
    <x v="0"/>
    <n v="2933.45"/>
    <n v="0.51"/>
    <x v="13"/>
    <x v="336"/>
    <x v="5"/>
    <x v="0"/>
    <n v="5749.5619999999999"/>
    <n v="2256.67"/>
  </r>
  <r>
    <n v="2360"/>
    <s v="John Scott"/>
    <x v="3"/>
    <x v="21"/>
    <x v="4"/>
    <n v="2785.79"/>
    <n v="0.51"/>
    <x v="456"/>
    <x v="374"/>
    <x v="5"/>
    <x v="0"/>
    <n v="6825.1855000000005"/>
    <n v="829.94"/>
  </r>
  <r>
    <n v="2361"/>
    <s v="William Brown"/>
    <x v="4"/>
    <x v="4"/>
    <x v="0"/>
    <n v="899.41"/>
    <n v="0.51"/>
    <x v="819"/>
    <x v="462"/>
    <x v="0"/>
    <x v="1"/>
    <n v="1762.8435999999999"/>
    <n v="477.1"/>
  </r>
  <r>
    <n v="2362"/>
    <s v="Cody Benson"/>
    <x v="5"/>
    <x v="6"/>
    <x v="0"/>
    <n v="2550.98"/>
    <n v="0.51"/>
    <x v="820"/>
    <x v="51"/>
    <x v="0"/>
    <x v="1"/>
    <n v="4999.9207999999999"/>
    <n v="2161.7800000000002"/>
  </r>
  <r>
    <n v="2363"/>
    <s v="Kara Waller"/>
    <x v="0"/>
    <x v="5"/>
    <x v="3"/>
    <n v="3640.29"/>
    <n v="0.86"/>
    <x v="821"/>
    <x v="146"/>
    <x v="4"/>
    <x v="0"/>
    <n v="1528.9218000000001"/>
    <n v="879.32"/>
  </r>
  <r>
    <n v="2364"/>
    <s v="Veronica Jones"/>
    <x v="3"/>
    <x v="23"/>
    <x v="6"/>
    <n v="857.68"/>
    <n v="0.51"/>
    <x v="822"/>
    <x v="142"/>
    <x v="2"/>
    <x v="1"/>
    <n v="1470.9211999999998"/>
    <n v="1462.91"/>
  </r>
  <r>
    <n v="2365"/>
    <s v="Michelle Robertson"/>
    <x v="5"/>
    <x v="19"/>
    <x v="3"/>
    <n v="2889.5349999999999"/>
    <n v="0.49"/>
    <x v="823"/>
    <x v="380"/>
    <x v="4"/>
    <x v="1"/>
    <n v="4420.98855"/>
    <n v="1765.39"/>
  </r>
  <r>
    <n v="2366"/>
    <s v="Aaron Molina"/>
    <x v="2"/>
    <x v="10"/>
    <x v="5"/>
    <n v="429.37"/>
    <n v="0.51"/>
    <x v="824"/>
    <x v="147"/>
    <x v="2"/>
    <x v="1"/>
    <n v="1262.3478"/>
    <n v="-21.4"/>
  </r>
  <r>
    <n v="2367"/>
    <s v="Javier Sloan"/>
    <x v="2"/>
    <x v="10"/>
    <x v="3"/>
    <n v="500.41"/>
    <n v="0.51"/>
    <x v="825"/>
    <x v="192"/>
    <x v="2"/>
    <x v="1"/>
    <n v="735.60270000000003"/>
    <n v="183.90067500000001"/>
  </r>
  <r>
    <n v="2368"/>
    <s v="Michael Roberts"/>
    <x v="3"/>
    <x v="3"/>
    <x v="3"/>
    <n v="2971.36"/>
    <n v="0.49"/>
    <x v="826"/>
    <x v="347"/>
    <x v="1"/>
    <x v="1"/>
    <n v="4546.1808000000001"/>
    <n v="153.4"/>
  </r>
  <r>
    <n v="2369"/>
    <s v="Brittney Scott"/>
    <x v="4"/>
    <x v="4"/>
    <x v="0"/>
    <n v="935.57"/>
    <n v="0.51"/>
    <x v="827"/>
    <x v="463"/>
    <x v="1"/>
    <x v="1"/>
    <n v="1833.7172"/>
    <n v="-111.36"/>
  </r>
  <r>
    <n v="2370"/>
    <s v="Laura Shaw"/>
    <x v="5"/>
    <x v="11"/>
    <x v="3"/>
    <n v="2731.6350000000002"/>
    <n v="0.51"/>
    <x v="60"/>
    <x v="464"/>
    <x v="2"/>
    <x v="1"/>
    <n v="4015.5034500000002"/>
    <n v="2031.95"/>
  </r>
  <r>
    <n v="2371"/>
    <s v="Charles Ray"/>
    <x v="2"/>
    <x v="2"/>
    <x v="3"/>
    <n v="4467.25"/>
    <n v="0.51"/>
    <x v="828"/>
    <x v="197"/>
    <x v="4"/>
    <x v="1"/>
    <n v="6566.8575000000001"/>
    <n v="2388.5500000000002"/>
  </r>
  <r>
    <n v="2372"/>
    <s v="Dominic Baker"/>
    <x v="5"/>
    <x v="12"/>
    <x v="3"/>
    <n v="2765.26"/>
    <n v="0.51"/>
    <x v="19"/>
    <x v="79"/>
    <x v="0"/>
    <x v="1"/>
    <n v="4064.9322000000002"/>
    <n v="-452.24"/>
  </r>
  <r>
    <n v="2373"/>
    <s v="Thomas Carr"/>
    <x v="3"/>
    <x v="23"/>
    <x v="6"/>
    <n v="2490.44"/>
    <n v="0.51"/>
    <x v="829"/>
    <x v="4"/>
    <x v="2"/>
    <x v="1"/>
    <n v="4271.1046000000006"/>
    <n v="11.27"/>
  </r>
  <r>
    <n v="2374"/>
    <s v="Michael Bright"/>
    <x v="2"/>
    <x v="2"/>
    <x v="0"/>
    <n v="4867.51"/>
    <n v="0.51"/>
    <x v="830"/>
    <x v="133"/>
    <x v="2"/>
    <x v="1"/>
    <n v="9540.3196000000007"/>
    <n v="1184.6500000000001"/>
  </r>
  <r>
    <n v="2375"/>
    <s v="Ralph Owens"/>
    <x v="4"/>
    <x v="14"/>
    <x v="0"/>
    <n v="2765.79"/>
    <n v="0.51"/>
    <x v="25"/>
    <x v="4"/>
    <x v="3"/>
    <x v="0"/>
    <n v="5420.9484000000002"/>
    <n v="-31.82"/>
  </r>
  <r>
    <n v="2376"/>
    <s v="Norman Owens"/>
    <x v="1"/>
    <x v="15"/>
    <x v="3"/>
    <n v="2229.4899999999998"/>
    <n v="0.51"/>
    <x v="30"/>
    <x v="465"/>
    <x v="5"/>
    <x v="0"/>
    <n v="3277.3502999999996"/>
    <n v="1900.77"/>
  </r>
  <r>
    <n v="2377"/>
    <s v="David Mitchell"/>
    <x v="4"/>
    <x v="14"/>
    <x v="0"/>
    <n v="4458.4799999999996"/>
    <n v="0.51"/>
    <x v="831"/>
    <x v="217"/>
    <x v="3"/>
    <x v="1"/>
    <n v="8738.6207999999988"/>
    <n v="631"/>
  </r>
  <r>
    <n v="2378"/>
    <s v="Katie Montoya"/>
    <x v="0"/>
    <x v="9"/>
    <x v="0"/>
    <n v="1985.49"/>
    <n v="0.51"/>
    <x v="832"/>
    <x v="4"/>
    <x v="1"/>
    <x v="0"/>
    <n v="3891.5603999999998"/>
    <n v="-198.55"/>
  </r>
  <r>
    <n v="2379"/>
    <s v="Daniel Greer"/>
    <x v="1"/>
    <x v="18"/>
    <x v="5"/>
    <n v="2188.7399999999998"/>
    <n v="0.51"/>
    <x v="833"/>
    <x v="466"/>
    <x v="3"/>
    <x v="0"/>
    <n v="6434.8955999999989"/>
    <n v="-885.72"/>
  </r>
  <r>
    <n v="2380"/>
    <s v="Lacey Buchanan"/>
    <x v="1"/>
    <x v="1"/>
    <x v="0"/>
    <n v="3820.42"/>
    <n v="0.51"/>
    <x v="834"/>
    <x v="111"/>
    <x v="2"/>
    <x v="1"/>
    <n v="7488.0231999999996"/>
    <n v="-105.92"/>
  </r>
  <r>
    <n v="2381"/>
    <s v="Dr. Dawn Martin"/>
    <x v="2"/>
    <x v="10"/>
    <x v="0"/>
    <n v="2666.2200000000003"/>
    <n v="0.51"/>
    <x v="142"/>
    <x v="212"/>
    <x v="0"/>
    <x v="1"/>
    <n v="5225.7912000000006"/>
    <n v="103.57"/>
  </r>
  <r>
    <n v="2382"/>
    <s v="Jeanette Gordon"/>
    <x v="1"/>
    <x v="15"/>
    <x v="3"/>
    <n v="3440.31"/>
    <n v="0.51"/>
    <x v="835"/>
    <x v="406"/>
    <x v="3"/>
    <x v="1"/>
    <n v="5057.2556999999997"/>
    <n v="921.38"/>
  </r>
  <r>
    <n v="2383"/>
    <s v="Deborah Weber"/>
    <x v="2"/>
    <x v="17"/>
    <x v="3"/>
    <n v="2385.5749999999998"/>
    <n v="0.51"/>
    <x v="91"/>
    <x v="343"/>
    <x v="4"/>
    <x v="1"/>
    <n v="3506.7952499999997"/>
    <n v="990.71"/>
  </r>
  <r>
    <n v="2384"/>
    <s v="Eric Hoffman"/>
    <x v="1"/>
    <x v="18"/>
    <x v="3"/>
    <n v="1625.58"/>
    <n v="0.1"/>
    <x v="836"/>
    <x v="426"/>
    <x v="5"/>
    <x v="1"/>
    <n v="4389.0659999999998"/>
    <n v="2368.5500000000002"/>
  </r>
  <r>
    <n v="2385"/>
    <s v="Diana Hall"/>
    <x v="5"/>
    <x v="12"/>
    <x v="3"/>
    <n v="2765.26"/>
    <n v="0.06"/>
    <x v="19"/>
    <x v="291"/>
    <x v="0"/>
    <x v="1"/>
    <n v="7798.0331999999999"/>
    <n v="-914.91"/>
  </r>
  <r>
    <n v="2386"/>
    <s v="Amy Barker"/>
    <x v="0"/>
    <x v="9"/>
    <x v="0"/>
    <n v="2253.08"/>
    <n v="0.09"/>
    <x v="837"/>
    <x v="4"/>
    <x v="1"/>
    <x v="1"/>
    <n v="8201.2111999999997"/>
    <n v="490.12"/>
  </r>
  <r>
    <n v="2387"/>
    <s v="Danielle Davis"/>
    <x v="3"/>
    <x v="23"/>
    <x v="6"/>
    <n v="3246.04"/>
    <n v="0.51"/>
    <x v="838"/>
    <x v="35"/>
    <x v="4"/>
    <x v="1"/>
    <n v="5566.9585999999999"/>
    <n v="-611.03"/>
  </r>
  <r>
    <n v="2388"/>
    <s v="Daniel Ray"/>
    <x v="4"/>
    <x v="4"/>
    <x v="0"/>
    <n v="2001.5500000000002"/>
    <n v="0.51"/>
    <x v="5"/>
    <x v="310"/>
    <x v="4"/>
    <x v="1"/>
    <n v="3923.0380000000005"/>
    <n v="-722.21"/>
  </r>
  <r>
    <n v="2389"/>
    <s v="Renee Martinez"/>
    <x v="2"/>
    <x v="13"/>
    <x v="4"/>
    <n v="2538.0450000000001"/>
    <n v="0.51"/>
    <x v="222"/>
    <x v="467"/>
    <x v="3"/>
    <x v="1"/>
    <n v="6218.2102500000001"/>
    <n v="2235.23"/>
  </r>
  <r>
    <n v="2390"/>
    <s v="Daniel Hamilton"/>
    <x v="0"/>
    <x v="0"/>
    <x v="0"/>
    <n v="3605.36"/>
    <n v="0.51"/>
    <x v="839"/>
    <x v="209"/>
    <x v="1"/>
    <x v="1"/>
    <n v="7066.5056000000004"/>
    <n v="-311.29000000000002"/>
  </r>
  <r>
    <n v="2391"/>
    <s v="Debbie Wade"/>
    <x v="0"/>
    <x v="5"/>
    <x v="3"/>
    <n v="4473.9399999999996"/>
    <n v="0.51"/>
    <x v="840"/>
    <x v="4"/>
    <x v="3"/>
    <x v="1"/>
    <n v="6576.6917999999996"/>
    <n v="1003.14"/>
  </r>
  <r>
    <n v="2392"/>
    <s v="Adrienne Anderson MD"/>
    <x v="3"/>
    <x v="7"/>
    <x v="3"/>
    <n v="4550.95"/>
    <n v="0.51"/>
    <x v="841"/>
    <x v="421"/>
    <x v="1"/>
    <x v="1"/>
    <n v="6689.8964999999989"/>
    <n v="-951.64"/>
  </r>
  <r>
    <n v="2393"/>
    <s v="David Snyder"/>
    <x v="1"/>
    <x v="15"/>
    <x v="4"/>
    <n v="753.85"/>
    <n v="0.51"/>
    <x v="842"/>
    <x v="468"/>
    <x v="0"/>
    <x v="0"/>
    <n v="1846.9324999999999"/>
    <n v="251.29"/>
  </r>
  <r>
    <n v="2394"/>
    <s v="Jennifer Palmer"/>
    <x v="1"/>
    <x v="1"/>
    <x v="0"/>
    <n v="3384.51"/>
    <n v="0.51"/>
    <x v="843"/>
    <x v="199"/>
    <x v="3"/>
    <x v="1"/>
    <n v="6633.6396000000004"/>
    <n v="2776.41"/>
  </r>
  <r>
    <n v="2395"/>
    <s v="Amanda Pham"/>
    <x v="3"/>
    <x v="21"/>
    <x v="0"/>
    <n v="2785.79"/>
    <n v="0.51"/>
    <x v="110"/>
    <x v="25"/>
    <x v="4"/>
    <x v="0"/>
    <n v="5460.1484"/>
    <n v="1866.74"/>
  </r>
  <r>
    <n v="2396"/>
    <s v="Gary Andrade"/>
    <x v="0"/>
    <x v="0"/>
    <x v="0"/>
    <n v="2366.6149999999998"/>
    <n v="0.51"/>
    <x v="81"/>
    <x v="409"/>
    <x v="4"/>
    <x v="0"/>
    <n v="4638.5653999999995"/>
    <n v="1965.45"/>
  </r>
  <r>
    <n v="2397"/>
    <s v="Austin Quinn"/>
    <x v="1"/>
    <x v="15"/>
    <x v="3"/>
    <n v="1823.51"/>
    <n v="0.51"/>
    <x v="844"/>
    <x v="208"/>
    <x v="4"/>
    <x v="1"/>
    <n v="2680.5596999999998"/>
    <n v="378.92"/>
  </r>
  <r>
    <n v="1002"/>
    <s v="Jim Strong"/>
    <x v="0"/>
    <x v="9"/>
    <x v="0"/>
    <n v="2942.95"/>
    <n v="0.51"/>
    <x v="845"/>
    <x v="301"/>
    <x v="3"/>
    <x v="1"/>
    <n v="5768.1819999999998"/>
    <n v="-519.87"/>
  </r>
  <r>
    <n v="2399"/>
    <s v="Amy Frederick"/>
    <x v="0"/>
    <x v="0"/>
    <x v="0"/>
    <n v="3643.5"/>
    <n v="0.51"/>
    <x v="846"/>
    <x v="187"/>
    <x v="0"/>
    <x v="1"/>
    <n v="7141.26"/>
    <n v="1452.6"/>
  </r>
  <r>
    <n v="2400"/>
    <s v="Whitney Mathis"/>
    <x v="5"/>
    <x v="19"/>
    <x v="0"/>
    <n v="4756.67"/>
    <n v="0.75"/>
    <x v="847"/>
    <x v="279"/>
    <x v="5"/>
    <x v="0"/>
    <n v="4756.67"/>
    <n v="-442.75"/>
  </r>
  <r>
    <n v="2401"/>
    <s v="Kayla Peters"/>
    <x v="3"/>
    <x v="3"/>
    <x v="2"/>
    <n v="2159.6799999999998"/>
    <n v="0.51"/>
    <x v="848"/>
    <x v="106"/>
    <x v="5"/>
    <x v="1"/>
    <n v="2116.4863999999998"/>
    <n v="1873.8"/>
  </r>
  <r>
    <n v="2402"/>
    <s v="Caitlin Callahan"/>
    <x v="4"/>
    <x v="4"/>
    <x v="0"/>
    <n v="744.83"/>
    <n v="0.16"/>
    <x v="849"/>
    <x v="4"/>
    <x v="2"/>
    <x v="1"/>
    <n v="2502.6288"/>
    <n v="625.65719999999999"/>
  </r>
  <r>
    <n v="2403"/>
    <s v="Joseph Barton"/>
    <x v="4"/>
    <x v="8"/>
    <x v="3"/>
    <n v="3027.66"/>
    <n v="0.51"/>
    <x v="94"/>
    <x v="349"/>
    <x v="4"/>
    <x v="1"/>
    <n v="4450.6601999999993"/>
    <n v="2312.7199999999998"/>
  </r>
  <r>
    <n v="2404"/>
    <s v="Melissa Norman"/>
    <x v="3"/>
    <x v="23"/>
    <x v="0"/>
    <n v="2338.04"/>
    <n v="0.51"/>
    <x v="658"/>
    <x v="81"/>
    <x v="0"/>
    <x v="0"/>
    <n v="4582.5583999999999"/>
    <n v="-673.77"/>
  </r>
  <r>
    <n v="2405"/>
    <s v="Mary Smith"/>
    <x v="1"/>
    <x v="18"/>
    <x v="3"/>
    <n v="1943.21"/>
    <n v="0.51"/>
    <x v="850"/>
    <x v="4"/>
    <x v="1"/>
    <x v="1"/>
    <n v="2856.5187000000001"/>
    <n v="1039.8599999999999"/>
  </r>
  <r>
    <n v="2406"/>
    <s v="Robert Henderson"/>
    <x v="0"/>
    <x v="0"/>
    <x v="0"/>
    <n v="4847.7299999999996"/>
    <n v="0.51"/>
    <x v="851"/>
    <x v="4"/>
    <x v="1"/>
    <x v="1"/>
    <n v="9501.5507999999991"/>
    <n v="1741"/>
  </r>
  <r>
    <n v="2407"/>
    <s v="Laurie Williams"/>
    <x v="0"/>
    <x v="0"/>
    <x v="0"/>
    <n v="2366.6149999999998"/>
    <n v="0.51"/>
    <x v="81"/>
    <x v="250"/>
    <x v="1"/>
    <x v="1"/>
    <n v="4638.5653999999995"/>
    <n v="2990.98"/>
  </r>
  <r>
    <n v="2408"/>
    <s v="Jeffrey Owens"/>
    <x v="5"/>
    <x v="6"/>
    <x v="5"/>
    <n v="2169.73"/>
    <n v="0.51"/>
    <x v="852"/>
    <x v="4"/>
    <x v="3"/>
    <x v="1"/>
    <n v="6379.0062000000007"/>
    <n v="442.92"/>
  </r>
  <r>
    <n v="2409"/>
    <s v="Melinda Cohen"/>
    <x v="5"/>
    <x v="12"/>
    <x v="3"/>
    <n v="1430.06"/>
    <n v="0.98"/>
    <x v="853"/>
    <x v="224"/>
    <x v="5"/>
    <x v="1"/>
    <n v="85.803600000000088"/>
    <n v="-530.32000000000005"/>
  </r>
  <r>
    <n v="2410"/>
    <s v="Kevin Miller"/>
    <x v="3"/>
    <x v="23"/>
    <x v="3"/>
    <n v="2338.04"/>
    <n v="0.51"/>
    <x v="168"/>
    <x v="394"/>
    <x v="5"/>
    <x v="1"/>
    <n v="3436.9187999999999"/>
    <n v="2913.29"/>
  </r>
  <r>
    <n v="2411"/>
    <s v="Jeffrey Martinez"/>
    <x v="0"/>
    <x v="9"/>
    <x v="0"/>
    <n v="2891.64"/>
    <n v="0.51"/>
    <x v="12"/>
    <x v="78"/>
    <x v="0"/>
    <x v="0"/>
    <n v="5667.6143999999995"/>
    <n v="458.44"/>
  </r>
  <r>
    <n v="2412"/>
    <s v="Nicole Smith"/>
    <x v="0"/>
    <x v="9"/>
    <x v="0"/>
    <n v="2891.64"/>
    <n v="0.51"/>
    <x v="12"/>
    <x v="469"/>
    <x v="0"/>
    <x v="1"/>
    <n v="5667.6143999999995"/>
    <n v="1676.75"/>
  </r>
  <r>
    <n v="2413"/>
    <s v="Regina Lewis"/>
    <x v="2"/>
    <x v="2"/>
    <x v="0"/>
    <n v="4140.8599999999997"/>
    <n v="0.51"/>
    <x v="854"/>
    <x v="234"/>
    <x v="0"/>
    <x v="1"/>
    <n v="8116.0855999999994"/>
    <n v="162.16"/>
  </r>
  <r>
    <n v="1037"/>
    <s v="Christopher Williams"/>
    <x v="3"/>
    <x v="23"/>
    <x v="6"/>
    <n v="3127.73"/>
    <n v="0.06"/>
    <x v="855"/>
    <x v="33"/>
    <x v="1"/>
    <x v="1"/>
    <n v="10290.2317"/>
    <n v="-793.02"/>
  </r>
  <r>
    <n v="2415"/>
    <s v="Donald Howard"/>
    <x v="0"/>
    <x v="20"/>
    <x v="4"/>
    <n v="3395.67"/>
    <n v="0.51"/>
    <x v="856"/>
    <x v="4"/>
    <x v="3"/>
    <x v="0"/>
    <n v="8319.3914999999997"/>
    <n v="1958.51"/>
  </r>
  <r>
    <n v="2416"/>
    <s v="Charles Johnson"/>
    <x v="5"/>
    <x v="19"/>
    <x v="0"/>
    <n v="2889.5349999999999"/>
    <n v="0.51"/>
    <x v="36"/>
    <x v="470"/>
    <x v="5"/>
    <x v="1"/>
    <n v="5663.4885999999997"/>
    <n v="1219.82"/>
  </r>
  <r>
    <n v="2417"/>
    <s v="Candace Huff"/>
    <x v="1"/>
    <x v="15"/>
    <x v="3"/>
    <n v="4268.68"/>
    <n v="0.67"/>
    <x v="857"/>
    <x v="177"/>
    <x v="0"/>
    <x v="1"/>
    <n v="4225.9931999999999"/>
    <n v="1818.31"/>
  </r>
  <r>
    <n v="2418"/>
    <s v="Matthew Good"/>
    <x v="1"/>
    <x v="18"/>
    <x v="3"/>
    <n v="3435.95"/>
    <n v="0.36"/>
    <x v="858"/>
    <x v="4"/>
    <x v="0"/>
    <x v="1"/>
    <n v="6597.0239999999994"/>
    <n v="-77.180000000000007"/>
  </r>
  <r>
    <n v="2419"/>
    <s v="Rebekah Parker"/>
    <x v="2"/>
    <x v="13"/>
    <x v="2"/>
    <n v="1832.16"/>
    <n v="0.51"/>
    <x v="859"/>
    <x v="308"/>
    <x v="2"/>
    <x v="0"/>
    <n v="1795.5168000000001"/>
    <n v="448.87920000000003"/>
  </r>
  <r>
    <n v="2420"/>
    <s v="Alex Marshall"/>
    <x v="1"/>
    <x v="15"/>
    <x v="3"/>
    <n v="3714.46"/>
    <n v="0.51"/>
    <x v="860"/>
    <x v="130"/>
    <x v="1"/>
    <x v="0"/>
    <n v="5460.2562000000007"/>
    <n v="2452.7199999999998"/>
  </r>
  <r>
    <n v="2421"/>
    <s v="Ashley Harrison"/>
    <x v="3"/>
    <x v="23"/>
    <x v="0"/>
    <n v="4411.3900000000003"/>
    <n v="0.51"/>
    <x v="861"/>
    <x v="297"/>
    <x v="4"/>
    <x v="1"/>
    <n v="8646.3244000000013"/>
    <n v="-501.29"/>
  </r>
  <r>
    <n v="2422"/>
    <s v="Mario Scott"/>
    <x v="4"/>
    <x v="8"/>
    <x v="3"/>
    <n v="3027.66"/>
    <n v="0.22"/>
    <x v="94"/>
    <x v="471"/>
    <x v="3"/>
    <x v="1"/>
    <n v="7084.7244000000001"/>
    <n v="756.56"/>
  </r>
  <r>
    <n v="2423"/>
    <s v="Victor Jones"/>
    <x v="2"/>
    <x v="10"/>
    <x v="0"/>
    <n v="2666.2200000000003"/>
    <n v="0.51"/>
    <x v="142"/>
    <x v="398"/>
    <x v="1"/>
    <x v="1"/>
    <n v="5225.7912000000006"/>
    <n v="2661.66"/>
  </r>
  <r>
    <n v="2424"/>
    <s v="James Day"/>
    <x v="2"/>
    <x v="2"/>
    <x v="4"/>
    <n v="2476.15"/>
    <n v="0.51"/>
    <x v="862"/>
    <x v="472"/>
    <x v="5"/>
    <x v="0"/>
    <n v="6066.5675000000001"/>
    <n v="387.88"/>
  </r>
  <r>
    <n v="2425"/>
    <s v="Jeffery Blankenship"/>
    <x v="5"/>
    <x v="12"/>
    <x v="3"/>
    <n v="2632.44"/>
    <n v="0.51"/>
    <x v="863"/>
    <x v="11"/>
    <x v="5"/>
    <x v="1"/>
    <n v="3869.6867999999999"/>
    <n v="2036.93"/>
  </r>
  <r>
    <n v="2426"/>
    <s v="Jacqueline Peck"/>
    <x v="1"/>
    <x v="15"/>
    <x v="3"/>
    <n v="2229.4899999999998"/>
    <n v="0.51"/>
    <x v="30"/>
    <x v="102"/>
    <x v="0"/>
    <x v="1"/>
    <n v="3277.3502999999996"/>
    <n v="261.68"/>
  </r>
  <r>
    <n v="2427"/>
    <s v="Sean Tran"/>
    <x v="4"/>
    <x v="14"/>
    <x v="4"/>
    <n v="1510.89"/>
    <n v="0.51"/>
    <x v="864"/>
    <x v="26"/>
    <x v="3"/>
    <x v="1"/>
    <n v="3701.6805000000004"/>
    <n v="2959.19"/>
  </r>
  <r>
    <n v="2428"/>
    <s v="Craig Miller"/>
    <x v="2"/>
    <x v="2"/>
    <x v="0"/>
    <n v="2933.45"/>
    <n v="0.51"/>
    <x v="13"/>
    <x v="473"/>
    <x v="0"/>
    <x v="1"/>
    <n v="5749.5619999999999"/>
    <n v="1885.43"/>
  </r>
  <r>
    <n v="2429"/>
    <s v="Melissa Clark"/>
    <x v="2"/>
    <x v="2"/>
    <x v="0"/>
    <n v="4193.1000000000004"/>
    <n v="0.51"/>
    <x v="865"/>
    <x v="189"/>
    <x v="4"/>
    <x v="0"/>
    <n v="8218.4760000000006"/>
    <n v="436.03"/>
  </r>
  <r>
    <n v="2430"/>
    <s v="Alex Nash"/>
    <x v="0"/>
    <x v="20"/>
    <x v="4"/>
    <n v="3149.37"/>
    <n v="0.51"/>
    <x v="866"/>
    <x v="4"/>
    <x v="5"/>
    <x v="0"/>
    <n v="7715.9564999999993"/>
    <n v="1094.4000000000001"/>
  </r>
  <r>
    <n v="1006"/>
    <s v="Laura Smith"/>
    <x v="1"/>
    <x v="22"/>
    <x v="6"/>
    <n v="714.5"/>
    <n v="0.72"/>
    <x v="867"/>
    <x v="447"/>
    <x v="0"/>
    <x v="1"/>
    <n v="700.21"/>
    <n v="-29.59"/>
  </r>
  <r>
    <n v="2432"/>
    <s v="John Ramirez"/>
    <x v="1"/>
    <x v="18"/>
    <x v="1"/>
    <n v="2537.59"/>
    <n v="0.11"/>
    <x v="139"/>
    <x v="4"/>
    <x v="2"/>
    <x v="1"/>
    <n v="2258.4551000000001"/>
    <n v="564.61377500000003"/>
  </r>
  <r>
    <n v="2433"/>
    <s v="Jared Hill"/>
    <x v="4"/>
    <x v="4"/>
    <x v="0"/>
    <n v="2489.1799999999998"/>
    <n v="0.51"/>
    <x v="868"/>
    <x v="116"/>
    <x v="1"/>
    <x v="0"/>
    <n v="4878.7927999999993"/>
    <n v="-22.68"/>
  </r>
  <r>
    <n v="2434"/>
    <s v="Patrick Hernandez"/>
    <x v="1"/>
    <x v="22"/>
    <x v="6"/>
    <n v="2752.99"/>
    <n v="0.51"/>
    <x v="201"/>
    <x v="187"/>
    <x v="4"/>
    <x v="1"/>
    <n v="4721.3778499999999"/>
    <n v="1953.07"/>
  </r>
  <r>
    <n v="2435"/>
    <s v="Kenneth Anthony"/>
    <x v="3"/>
    <x v="3"/>
    <x v="3"/>
    <n v="2515.415"/>
    <n v="0.51"/>
    <x v="11"/>
    <x v="144"/>
    <x v="2"/>
    <x v="0"/>
    <n v="3697.66005"/>
    <n v="2711.18"/>
  </r>
  <r>
    <n v="2436"/>
    <s v="Jason Stanley"/>
    <x v="4"/>
    <x v="8"/>
    <x v="3"/>
    <n v="3027.66"/>
    <n v="0.51"/>
    <x v="94"/>
    <x v="4"/>
    <x v="4"/>
    <x v="1"/>
    <n v="4450.6601999999993"/>
    <n v="2492.87"/>
  </r>
  <r>
    <n v="2437"/>
    <s v="Kyle Jordan"/>
    <x v="4"/>
    <x v="4"/>
    <x v="1"/>
    <n v="1906.91"/>
    <n v="0.97"/>
    <x v="869"/>
    <x v="4"/>
    <x v="1"/>
    <x v="1"/>
    <n v="57.207300000000053"/>
    <n v="14.301825000000013"/>
  </r>
  <r>
    <n v="2438"/>
    <s v="John Fisher"/>
    <x v="4"/>
    <x v="16"/>
    <x v="4"/>
    <n v="2599.75"/>
    <n v="0.51"/>
    <x v="870"/>
    <x v="397"/>
    <x v="4"/>
    <x v="1"/>
    <n v="6369.3874999999998"/>
    <n v="1037.5"/>
  </r>
  <r>
    <n v="2439"/>
    <s v="Sarah Glass"/>
    <x v="3"/>
    <x v="23"/>
    <x v="6"/>
    <n v="2338.04"/>
    <n v="0.24"/>
    <x v="171"/>
    <x v="335"/>
    <x v="0"/>
    <x v="0"/>
    <n v="6219.1863999999996"/>
    <n v="-789.39"/>
  </r>
  <r>
    <n v="2440"/>
    <s v="Sean Moore"/>
    <x v="4"/>
    <x v="14"/>
    <x v="0"/>
    <n v="3846.31"/>
    <n v="0.51"/>
    <x v="871"/>
    <x v="229"/>
    <x v="5"/>
    <x v="1"/>
    <n v="7538.7676000000001"/>
    <n v="381.13"/>
  </r>
  <r>
    <n v="2441"/>
    <s v="Jessica Gonzalez"/>
    <x v="5"/>
    <x v="12"/>
    <x v="3"/>
    <n v="2765.26"/>
    <n v="0.81"/>
    <x v="19"/>
    <x v="4"/>
    <x v="5"/>
    <x v="1"/>
    <n v="1576.1981999999996"/>
    <n v="1220.9100000000001"/>
  </r>
  <r>
    <n v="2442"/>
    <s v="Christine Scott"/>
    <x v="0"/>
    <x v="5"/>
    <x v="3"/>
    <n v="3008.6549999999997"/>
    <n v="0.51"/>
    <x v="44"/>
    <x v="19"/>
    <x v="5"/>
    <x v="0"/>
    <n v="4422.7228500000001"/>
    <n v="-937.17"/>
  </r>
  <r>
    <n v="2443"/>
    <s v="Erin Cook"/>
    <x v="4"/>
    <x v="16"/>
    <x v="1"/>
    <n v="4981.8599999999997"/>
    <n v="0.51"/>
    <x v="872"/>
    <x v="335"/>
    <x v="5"/>
    <x v="1"/>
    <n v="2441.1113999999998"/>
    <n v="1410.16"/>
  </r>
  <r>
    <n v="2444"/>
    <s v="Alexa Mclaughlin"/>
    <x v="0"/>
    <x v="5"/>
    <x v="3"/>
    <n v="3470.88"/>
    <n v="0.51"/>
    <x v="873"/>
    <x v="4"/>
    <x v="5"/>
    <x v="1"/>
    <n v="5102.1935999999996"/>
    <n v="638.83000000000004"/>
  </r>
  <r>
    <n v="2445"/>
    <s v="Matthew Whitaker"/>
    <x v="3"/>
    <x v="23"/>
    <x v="6"/>
    <n v="2282.02"/>
    <n v="0.51"/>
    <x v="874"/>
    <x v="350"/>
    <x v="2"/>
    <x v="0"/>
    <n v="3913.6642999999999"/>
    <n v="555.12"/>
  </r>
  <r>
    <n v="1009"/>
    <s v="Renee Martinez"/>
    <x v="0"/>
    <x v="20"/>
    <x v="5"/>
    <n v="2750.33"/>
    <n v="0.51"/>
    <x v="316"/>
    <x v="276"/>
    <x v="3"/>
    <x v="0"/>
    <n v="8085.9701999999997"/>
    <n v="2936.21"/>
  </r>
  <r>
    <n v="2447"/>
    <s v="Ronald Cohen"/>
    <x v="5"/>
    <x v="11"/>
    <x v="5"/>
    <n v="1773.3"/>
    <n v="0.51"/>
    <x v="875"/>
    <x v="103"/>
    <x v="4"/>
    <x v="1"/>
    <n v="5213.5019999999995"/>
    <n v="2073.35"/>
  </r>
  <r>
    <n v="2448"/>
    <s v="Robert Martinez"/>
    <x v="1"/>
    <x v="18"/>
    <x v="3"/>
    <n v="2537.59"/>
    <n v="0.51"/>
    <x v="35"/>
    <x v="102"/>
    <x v="0"/>
    <x v="0"/>
    <n v="3730.2573000000002"/>
    <n v="-244.83"/>
  </r>
  <r>
    <n v="2449"/>
    <s v="James Edwards"/>
    <x v="2"/>
    <x v="17"/>
    <x v="3"/>
    <n v="2344.38"/>
    <n v="0.51"/>
    <x v="876"/>
    <x v="4"/>
    <x v="2"/>
    <x v="1"/>
    <n v="3446.2386000000001"/>
    <n v="419.95"/>
  </r>
  <r>
    <n v="2450"/>
    <s v="Elizabeth Rice"/>
    <x v="3"/>
    <x v="23"/>
    <x v="2"/>
    <n v="3333.87"/>
    <n v="0.51"/>
    <x v="877"/>
    <x v="79"/>
    <x v="1"/>
    <x v="1"/>
    <n v="3267.1925999999999"/>
    <n v="1673.63"/>
  </r>
  <r>
    <n v="2451"/>
    <s v="Allison Mccann"/>
    <x v="2"/>
    <x v="17"/>
    <x v="3"/>
    <n v="2385.5749999999998"/>
    <n v="0.51"/>
    <x v="91"/>
    <x v="474"/>
    <x v="1"/>
    <x v="1"/>
    <n v="3506.7952499999997"/>
    <n v="1177.96"/>
  </r>
  <r>
    <n v="1011"/>
    <s v="Dr. Nicholas Martinez"/>
    <x v="3"/>
    <x v="7"/>
    <x v="3"/>
    <n v="2577.6350000000002"/>
    <n v="0.51"/>
    <x v="8"/>
    <x v="4"/>
    <x v="2"/>
    <x v="1"/>
    <n v="3789.12345"/>
    <n v="-360.37"/>
  </r>
  <r>
    <n v="2453"/>
    <s v="Katie Berger"/>
    <x v="0"/>
    <x v="0"/>
    <x v="0"/>
    <n v="2366.6149999999998"/>
    <n v="0.72"/>
    <x v="81"/>
    <x v="475"/>
    <x v="4"/>
    <x v="1"/>
    <n v="2650.6088"/>
    <n v="382.31"/>
  </r>
  <r>
    <n v="2454"/>
    <s v="Robert Sosa"/>
    <x v="4"/>
    <x v="4"/>
    <x v="3"/>
    <n v="2001.5500000000002"/>
    <n v="0.51"/>
    <x v="194"/>
    <x v="4"/>
    <x v="3"/>
    <x v="1"/>
    <n v="2942.2785000000003"/>
    <n v="1961.19"/>
  </r>
  <r>
    <n v="2455"/>
    <s v="Anna Hernandez"/>
    <x v="2"/>
    <x v="10"/>
    <x v="0"/>
    <n v="2666.2200000000003"/>
    <n v="0.51"/>
    <x v="142"/>
    <x v="4"/>
    <x v="5"/>
    <x v="1"/>
    <n v="5225.7912000000006"/>
    <n v="2153.0100000000002"/>
  </r>
  <r>
    <n v="2456"/>
    <s v="Robert Nichols"/>
    <x v="3"/>
    <x v="23"/>
    <x v="6"/>
    <n v="889.88"/>
    <n v="0.51"/>
    <x v="878"/>
    <x v="75"/>
    <x v="1"/>
    <x v="1"/>
    <n v="1526.1442"/>
    <n v="381.53604999999999"/>
  </r>
  <r>
    <n v="2457"/>
    <s v="Angel Gutierrez"/>
    <x v="1"/>
    <x v="22"/>
    <x v="5"/>
    <n v="2752.99"/>
    <n v="0.51"/>
    <x v="333"/>
    <x v="427"/>
    <x v="0"/>
    <x v="0"/>
    <n v="8093.7905999999994"/>
    <n v="179.36"/>
  </r>
  <r>
    <n v="2458"/>
    <s v="Stephanie Frank"/>
    <x v="4"/>
    <x v="8"/>
    <x v="3"/>
    <n v="3027.66"/>
    <n v="0.64"/>
    <x v="94"/>
    <x v="276"/>
    <x v="0"/>
    <x v="1"/>
    <n v="3269.8727999999996"/>
    <n v="163.69"/>
  </r>
  <r>
    <n v="2459"/>
    <s v="Cindy Anderson"/>
    <x v="3"/>
    <x v="7"/>
    <x v="3"/>
    <n v="2577.6350000000002"/>
    <n v="0.51"/>
    <x v="8"/>
    <x v="4"/>
    <x v="2"/>
    <x v="1"/>
    <n v="3789.12345"/>
    <n v="2616.96"/>
  </r>
  <r>
    <n v="2460"/>
    <s v="Jon Hernandez"/>
    <x v="3"/>
    <x v="21"/>
    <x v="0"/>
    <n v="3157.28"/>
    <n v="7.0000000000000007E-2"/>
    <x v="879"/>
    <x v="476"/>
    <x v="4"/>
    <x v="1"/>
    <n v="11745.0816"/>
    <n v="971.15"/>
  </r>
  <r>
    <n v="2461"/>
    <s v="David Alvarez"/>
    <x v="1"/>
    <x v="1"/>
    <x v="1"/>
    <n v="4225.58"/>
    <n v="0.51"/>
    <x v="880"/>
    <x v="117"/>
    <x v="4"/>
    <x v="1"/>
    <n v="2070.5342000000001"/>
    <n v="-793.29"/>
  </r>
  <r>
    <n v="2462"/>
    <s v="John Perry"/>
    <x v="3"/>
    <x v="3"/>
    <x v="2"/>
    <n v="2123.2199999999998"/>
    <n v="0.51"/>
    <x v="881"/>
    <x v="101"/>
    <x v="2"/>
    <x v="1"/>
    <n v="2080.7556"/>
    <n v="520.18889999999999"/>
  </r>
  <r>
    <n v="2463"/>
    <s v="Amanda Schroeder"/>
    <x v="3"/>
    <x v="7"/>
    <x v="3"/>
    <n v="405.52"/>
    <n v="0.51"/>
    <x v="882"/>
    <x v="27"/>
    <x v="0"/>
    <x v="1"/>
    <n v="596.11439999999993"/>
    <n v="149.02859999999998"/>
  </r>
  <r>
    <n v="2464"/>
    <s v="Kendra Alvarado"/>
    <x v="2"/>
    <x v="17"/>
    <x v="3"/>
    <n v="2385.5749999999998"/>
    <n v="0.32"/>
    <x v="91"/>
    <x v="112"/>
    <x v="4"/>
    <x v="1"/>
    <n v="4866.5729999999994"/>
    <n v="2742.15"/>
  </r>
  <r>
    <n v="2465"/>
    <s v="Melanie Howe"/>
    <x v="0"/>
    <x v="9"/>
    <x v="0"/>
    <n v="493.99"/>
    <n v="0.51"/>
    <x v="883"/>
    <x v="130"/>
    <x v="4"/>
    <x v="1"/>
    <n v="968.22040000000004"/>
    <n v="-365.9"/>
  </r>
  <r>
    <n v="2466"/>
    <s v="Kathryn Chang"/>
    <x v="5"/>
    <x v="11"/>
    <x v="3"/>
    <n v="2335.61"/>
    <n v="0.17"/>
    <x v="884"/>
    <x v="4"/>
    <x v="1"/>
    <x v="1"/>
    <n v="5815.6688999999997"/>
    <n v="-36.92"/>
  </r>
  <r>
    <n v="2467"/>
    <s v="Javier Williams"/>
    <x v="2"/>
    <x v="2"/>
    <x v="0"/>
    <n v="2933.45"/>
    <n v="0.51"/>
    <x v="13"/>
    <x v="228"/>
    <x v="2"/>
    <x v="0"/>
    <n v="5749.5619999999999"/>
    <n v="485.02"/>
  </r>
  <r>
    <n v="2468"/>
    <s v="Cynthia Rhodes"/>
    <x v="4"/>
    <x v="8"/>
    <x v="3"/>
    <n v="3027.66"/>
    <n v="0.51"/>
    <x v="94"/>
    <x v="456"/>
    <x v="2"/>
    <x v="1"/>
    <n v="4450.6601999999993"/>
    <n v="1149.6500000000001"/>
  </r>
  <r>
    <n v="2469"/>
    <s v="Travis Boyd"/>
    <x v="1"/>
    <x v="15"/>
    <x v="3"/>
    <n v="4132.13"/>
    <n v="0.51"/>
    <x v="885"/>
    <x v="237"/>
    <x v="2"/>
    <x v="1"/>
    <n v="6074.2311"/>
    <n v="828.43"/>
  </r>
  <r>
    <n v="2470"/>
    <s v="Ashley Williams"/>
    <x v="1"/>
    <x v="1"/>
    <x v="3"/>
    <n v="2579.8000000000002"/>
    <n v="0.74"/>
    <x v="257"/>
    <x v="474"/>
    <x v="5"/>
    <x v="1"/>
    <n v="2012.2440000000001"/>
    <n v="321.20999999999998"/>
  </r>
  <r>
    <n v="2471"/>
    <s v="Christine Decker"/>
    <x v="0"/>
    <x v="0"/>
    <x v="0"/>
    <n v="4457.83"/>
    <n v="0.66"/>
    <x v="886"/>
    <x v="4"/>
    <x v="5"/>
    <x v="1"/>
    <n v="6062.648799999999"/>
    <n v="780.39"/>
  </r>
  <r>
    <n v="2472"/>
    <s v="Brandon Flowers"/>
    <x v="0"/>
    <x v="20"/>
    <x v="4"/>
    <n v="4357.9399999999996"/>
    <n v="0.33"/>
    <x v="887"/>
    <x v="4"/>
    <x v="0"/>
    <x v="1"/>
    <n v="14599.098999999997"/>
    <n v="971.5"/>
  </r>
  <r>
    <n v="2473"/>
    <s v="Amy Clark"/>
    <x v="2"/>
    <x v="10"/>
    <x v="5"/>
    <n v="408.21"/>
    <n v="0.51"/>
    <x v="888"/>
    <x v="297"/>
    <x v="0"/>
    <x v="1"/>
    <n v="1200.1373999999998"/>
    <n v="611.86"/>
  </r>
  <r>
    <n v="2474"/>
    <s v="Timothy Smith"/>
    <x v="2"/>
    <x v="2"/>
    <x v="0"/>
    <n v="2933.45"/>
    <n v="0.51"/>
    <x v="13"/>
    <x v="59"/>
    <x v="3"/>
    <x v="1"/>
    <n v="5749.5619999999999"/>
    <n v="-930.79"/>
  </r>
  <r>
    <n v="2475"/>
    <s v="Maureen Cohen"/>
    <x v="1"/>
    <x v="22"/>
    <x v="4"/>
    <n v="642.48"/>
    <n v="0.17"/>
    <x v="889"/>
    <x v="4"/>
    <x v="1"/>
    <x v="0"/>
    <n v="2666.2919999999999"/>
    <n v="1800.37"/>
  </r>
  <r>
    <n v="2476"/>
    <s v="Crystal Ortiz"/>
    <x v="5"/>
    <x v="6"/>
    <x v="4"/>
    <n v="2967.26"/>
    <n v="0.51"/>
    <x v="890"/>
    <x v="4"/>
    <x v="4"/>
    <x v="1"/>
    <n v="7269.7870000000003"/>
    <n v="2069.15"/>
  </r>
  <r>
    <n v="2477"/>
    <s v="Joshua Knight"/>
    <x v="2"/>
    <x v="17"/>
    <x v="3"/>
    <n v="3725.14"/>
    <n v="0.51"/>
    <x v="891"/>
    <x v="4"/>
    <x v="3"/>
    <x v="0"/>
    <n v="5475.9557999999997"/>
    <n v="1220.32"/>
  </r>
  <r>
    <n v="2478"/>
    <s v="Rachael Terrell"/>
    <x v="5"/>
    <x v="19"/>
    <x v="0"/>
    <n v="1904.58"/>
    <n v="0.51"/>
    <x v="892"/>
    <x v="477"/>
    <x v="2"/>
    <x v="1"/>
    <n v="3732.9767999999999"/>
    <n v="2090.91"/>
  </r>
  <r>
    <n v="2479"/>
    <s v="Kimberly Andrews"/>
    <x v="2"/>
    <x v="13"/>
    <x v="0"/>
    <n v="2538.0450000000001"/>
    <n v="0.51"/>
    <x v="21"/>
    <x v="365"/>
    <x v="5"/>
    <x v="1"/>
    <n v="4974.5681999999997"/>
    <n v="81.23"/>
  </r>
  <r>
    <n v="2480"/>
    <s v="John Lawrence"/>
    <x v="2"/>
    <x v="10"/>
    <x v="0"/>
    <n v="2666.2200000000003"/>
    <n v="0.14000000000000001"/>
    <x v="142"/>
    <x v="362"/>
    <x v="3"/>
    <x v="1"/>
    <n v="9171.7968000000001"/>
    <n v="1556.81"/>
  </r>
  <r>
    <n v="2481"/>
    <s v="Laura Chen"/>
    <x v="1"/>
    <x v="15"/>
    <x v="3"/>
    <n v="2229.4899999999998"/>
    <n v="0.51"/>
    <x v="30"/>
    <x v="265"/>
    <x v="2"/>
    <x v="1"/>
    <n v="3277.3502999999996"/>
    <n v="142.82"/>
  </r>
  <r>
    <n v="1050"/>
    <s v="Lindsey Craig"/>
    <x v="3"/>
    <x v="23"/>
    <x v="0"/>
    <n v="4439.3900000000003"/>
    <n v="0.51"/>
    <x v="893"/>
    <x v="64"/>
    <x v="1"/>
    <x v="0"/>
    <n v="8701.2044000000005"/>
    <n v="2062.85"/>
  </r>
  <r>
    <n v="2483"/>
    <s v="Kristin Scott"/>
    <x v="5"/>
    <x v="12"/>
    <x v="3"/>
    <n v="2765.26"/>
    <n v="0.96"/>
    <x v="19"/>
    <x v="289"/>
    <x v="5"/>
    <x v="1"/>
    <n v="331.83120000000031"/>
    <n v="-369.21"/>
  </r>
  <r>
    <n v="2484"/>
    <s v="Matthew Alvarez"/>
    <x v="4"/>
    <x v="16"/>
    <x v="0"/>
    <n v="2599.75"/>
    <n v="0.51"/>
    <x v="42"/>
    <x v="462"/>
    <x v="5"/>
    <x v="0"/>
    <n v="5095.51"/>
    <n v="516.5"/>
  </r>
  <r>
    <n v="1050"/>
    <s v="Andrea Cortez"/>
    <x v="0"/>
    <x v="5"/>
    <x v="1"/>
    <n v="2103.54"/>
    <n v="0.51"/>
    <x v="894"/>
    <x v="300"/>
    <x v="4"/>
    <x v="0"/>
    <n v="1030.7346"/>
    <n v="257.68365"/>
  </r>
  <r>
    <n v="2486"/>
    <s v="Heather Flores"/>
    <x v="1"/>
    <x v="22"/>
    <x v="6"/>
    <n v="2752.99"/>
    <n v="0.51"/>
    <x v="201"/>
    <x v="221"/>
    <x v="1"/>
    <x v="1"/>
    <n v="4721.3778499999999"/>
    <n v="2082.36"/>
  </r>
  <r>
    <n v="2487"/>
    <s v="Jill Eaton"/>
    <x v="1"/>
    <x v="22"/>
    <x v="6"/>
    <n v="2752.99"/>
    <n v="0.51"/>
    <x v="201"/>
    <x v="75"/>
    <x v="2"/>
    <x v="1"/>
    <n v="4721.3778499999999"/>
    <n v="-395.34"/>
  </r>
  <r>
    <n v="2488"/>
    <s v="Amy Potts"/>
    <x v="1"/>
    <x v="15"/>
    <x v="3"/>
    <n v="718.84"/>
    <n v="0.53"/>
    <x v="895"/>
    <x v="214"/>
    <x v="1"/>
    <x v="1"/>
    <n v="1013.5644"/>
    <n v="528.71"/>
  </r>
  <r>
    <n v="2489"/>
    <s v="Antonio Woods"/>
    <x v="2"/>
    <x v="17"/>
    <x v="3"/>
    <n v="2385.5749999999998"/>
    <n v="0.51"/>
    <x v="91"/>
    <x v="374"/>
    <x v="5"/>
    <x v="1"/>
    <n v="3506.7952499999997"/>
    <n v="-194.49"/>
  </r>
  <r>
    <n v="2490"/>
    <s v="Cindy Zamora"/>
    <x v="4"/>
    <x v="8"/>
    <x v="4"/>
    <n v="688.38"/>
    <n v="0.51"/>
    <x v="896"/>
    <x v="132"/>
    <x v="3"/>
    <x v="1"/>
    <n v="1686.5309999999999"/>
    <n v="-25.21"/>
  </r>
  <r>
    <n v="2491"/>
    <s v="Amanda Day"/>
    <x v="2"/>
    <x v="10"/>
    <x v="0"/>
    <n v="2666.2200000000003"/>
    <n v="0.68"/>
    <x v="142"/>
    <x v="88"/>
    <x v="3"/>
    <x v="0"/>
    <n v="3412.7615999999998"/>
    <n v="2466.0100000000002"/>
  </r>
  <r>
    <n v="2492"/>
    <s v="Miss Roberta Gonzalez MD"/>
    <x v="1"/>
    <x v="15"/>
    <x v="3"/>
    <n v="2229.4899999999998"/>
    <n v="0.51"/>
    <x v="30"/>
    <x v="478"/>
    <x v="3"/>
    <x v="0"/>
    <n v="3277.3502999999996"/>
    <n v="549.15"/>
  </r>
  <r>
    <n v="2493"/>
    <s v="Brian Taylor"/>
    <x v="5"/>
    <x v="11"/>
    <x v="2"/>
    <n v="2731.6350000000002"/>
    <n v="0.92"/>
    <x v="180"/>
    <x v="4"/>
    <x v="1"/>
    <x v="1"/>
    <n v="437.06159999999983"/>
    <n v="109.26539999999996"/>
  </r>
  <r>
    <n v="2494"/>
    <s v="Mark Bonilla"/>
    <x v="2"/>
    <x v="2"/>
    <x v="3"/>
    <n v="2933.45"/>
    <n v="0.51"/>
    <x v="414"/>
    <x v="79"/>
    <x v="4"/>
    <x v="1"/>
    <n v="4312.1714999999995"/>
    <n v="1753.67"/>
  </r>
  <r>
    <n v="2495"/>
    <s v="Carrie Larson"/>
    <x v="0"/>
    <x v="0"/>
    <x v="0"/>
    <n v="1106.0899999999999"/>
    <n v="0.51"/>
    <x v="897"/>
    <x v="359"/>
    <x v="0"/>
    <x v="0"/>
    <n v="2167.9363999999996"/>
    <n v="1838.39"/>
  </r>
  <r>
    <n v="2496"/>
    <s v="Brian Howard"/>
    <x v="1"/>
    <x v="1"/>
    <x v="0"/>
    <n v="2579.8000000000002"/>
    <n v="0.51"/>
    <x v="22"/>
    <x v="440"/>
    <x v="0"/>
    <x v="1"/>
    <n v="5056.4080000000004"/>
    <n v="2882.47"/>
  </r>
  <r>
    <n v="2497"/>
    <s v="Darren Bailey"/>
    <x v="3"/>
    <x v="21"/>
    <x v="1"/>
    <n v="3607.5"/>
    <n v="0.51"/>
    <x v="898"/>
    <x v="394"/>
    <x v="1"/>
    <x v="1"/>
    <n v="1767.675"/>
    <n v="-341.21"/>
  </r>
  <r>
    <n v="2498"/>
    <s v="Wanda Medina"/>
    <x v="1"/>
    <x v="1"/>
    <x v="0"/>
    <n v="2043.67"/>
    <n v="0.51"/>
    <x v="899"/>
    <x v="257"/>
    <x v="5"/>
    <x v="0"/>
    <n v="4005.5932000000003"/>
    <n v="-24.72"/>
  </r>
  <r>
    <n v="2499"/>
    <s v="Heather Taylor"/>
    <x v="5"/>
    <x v="6"/>
    <x v="0"/>
    <n v="4638.76"/>
    <n v="0.51"/>
    <x v="900"/>
    <x v="422"/>
    <x v="4"/>
    <x v="1"/>
    <n v="9091.9696000000004"/>
    <n v="379.89"/>
  </r>
  <r>
    <n v="2500"/>
    <s v="Kenneth Hooper"/>
    <x v="3"/>
    <x v="21"/>
    <x v="4"/>
    <n v="2785.79"/>
    <n v="0.92"/>
    <x v="456"/>
    <x v="281"/>
    <x v="0"/>
    <x v="1"/>
    <n v="1114.3159999999996"/>
    <n v="765.43"/>
  </r>
  <r>
    <n v="2501"/>
    <s v="Eric Rogers"/>
    <x v="5"/>
    <x v="11"/>
    <x v="3"/>
    <n v="2731.6350000000002"/>
    <n v="0.51"/>
    <x v="60"/>
    <x v="4"/>
    <x v="1"/>
    <x v="1"/>
    <n v="4015.5034500000002"/>
    <n v="106.21"/>
  </r>
  <r>
    <n v="2502"/>
    <s v="Trevor Lynch DVM"/>
    <x v="2"/>
    <x v="2"/>
    <x v="0"/>
    <n v="2933.45"/>
    <n v="1"/>
    <x v="13"/>
    <x v="96"/>
    <x v="2"/>
    <x v="1"/>
    <n v="0"/>
    <n v="0"/>
  </r>
  <r>
    <n v="2503"/>
    <s v="Amy Robinson"/>
    <x v="3"/>
    <x v="7"/>
    <x v="3"/>
    <n v="1259.22"/>
    <n v="0.51"/>
    <x v="901"/>
    <x v="175"/>
    <x v="3"/>
    <x v="1"/>
    <n v="1851.0533999999998"/>
    <n v="120.44"/>
  </r>
  <r>
    <n v="2504"/>
    <s v="Jeremiah Salas"/>
    <x v="5"/>
    <x v="12"/>
    <x v="2"/>
    <n v="2765.26"/>
    <n v="0.51"/>
    <x v="407"/>
    <x v="4"/>
    <x v="1"/>
    <x v="1"/>
    <n v="2709.9548"/>
    <n v="-757.99"/>
  </r>
  <r>
    <n v="2505"/>
    <s v="Jeff Dorsey"/>
    <x v="2"/>
    <x v="10"/>
    <x v="0"/>
    <n v="1258.77"/>
    <n v="0.71"/>
    <x v="902"/>
    <x v="350"/>
    <x v="4"/>
    <x v="1"/>
    <n v="1460.1732000000002"/>
    <n v="549.6"/>
  </r>
  <r>
    <n v="2506"/>
    <s v="Shannon Bean"/>
    <x v="1"/>
    <x v="22"/>
    <x v="6"/>
    <n v="2752.99"/>
    <n v="0.51"/>
    <x v="201"/>
    <x v="41"/>
    <x v="4"/>
    <x v="1"/>
    <n v="4721.3778499999999"/>
    <n v="1734.31"/>
  </r>
  <r>
    <n v="2507"/>
    <s v="Allison Miller"/>
    <x v="4"/>
    <x v="16"/>
    <x v="0"/>
    <n v="2599.75"/>
    <n v="0.51"/>
    <x v="42"/>
    <x v="271"/>
    <x v="1"/>
    <x v="0"/>
    <n v="5095.51"/>
    <n v="339.83"/>
  </r>
  <r>
    <n v="2508"/>
    <s v="Sean Rogers"/>
    <x v="4"/>
    <x v="8"/>
    <x v="3"/>
    <n v="4245.43"/>
    <n v="0.51"/>
    <x v="903"/>
    <x v="123"/>
    <x v="3"/>
    <x v="1"/>
    <n v="6240.7821000000004"/>
    <n v="-556.03"/>
  </r>
  <r>
    <n v="2509"/>
    <s v="William Wells"/>
    <x v="1"/>
    <x v="1"/>
    <x v="4"/>
    <n v="2579.8000000000002"/>
    <n v="0.51"/>
    <x v="596"/>
    <x v="292"/>
    <x v="5"/>
    <x v="1"/>
    <n v="6320.51"/>
    <n v="1995.3"/>
  </r>
  <r>
    <n v="2510"/>
    <s v="John Hayes"/>
    <x v="5"/>
    <x v="11"/>
    <x v="3"/>
    <n v="2731.6350000000002"/>
    <n v="0.51"/>
    <x v="60"/>
    <x v="4"/>
    <x v="0"/>
    <x v="0"/>
    <n v="4015.5034500000002"/>
    <n v="-530.80999999999995"/>
  </r>
  <r>
    <n v="2511"/>
    <s v="Hannah Jackson"/>
    <x v="1"/>
    <x v="15"/>
    <x v="3"/>
    <n v="2822.43"/>
    <n v="1"/>
    <x v="904"/>
    <x v="479"/>
    <x v="3"/>
    <x v="0"/>
    <n v="0"/>
    <n v="0"/>
  </r>
  <r>
    <n v="2512"/>
    <s v="Kim Chavez"/>
    <x v="0"/>
    <x v="5"/>
    <x v="3"/>
    <n v="3008.6549999999997"/>
    <n v="0.53"/>
    <x v="44"/>
    <x v="234"/>
    <x v="3"/>
    <x v="1"/>
    <n v="4242.2035500000002"/>
    <n v="958.94"/>
  </r>
  <r>
    <n v="2513"/>
    <s v="Robert Burnett"/>
    <x v="5"/>
    <x v="11"/>
    <x v="3"/>
    <n v="3625.99"/>
    <n v="0.93"/>
    <x v="905"/>
    <x v="395"/>
    <x v="0"/>
    <x v="0"/>
    <n v="761.45789999999943"/>
    <n v="190.36447499999986"/>
  </r>
  <r>
    <n v="2514"/>
    <s v="Cory Evans"/>
    <x v="0"/>
    <x v="9"/>
    <x v="0"/>
    <n v="2891.64"/>
    <n v="0.1"/>
    <x v="12"/>
    <x v="480"/>
    <x v="4"/>
    <x v="1"/>
    <n v="10409.904"/>
    <n v="-862.68"/>
  </r>
  <r>
    <n v="2515"/>
    <s v="Amanda Benson"/>
    <x v="1"/>
    <x v="18"/>
    <x v="3"/>
    <n v="2537.59"/>
    <n v="0.51"/>
    <x v="35"/>
    <x v="4"/>
    <x v="3"/>
    <x v="1"/>
    <n v="3730.2573000000002"/>
    <n v="2802.1"/>
  </r>
  <r>
    <n v="2516"/>
    <s v="Ashley Martin"/>
    <x v="0"/>
    <x v="20"/>
    <x v="1"/>
    <n v="1927.87"/>
    <n v="0.51"/>
    <x v="906"/>
    <x v="254"/>
    <x v="0"/>
    <x v="1"/>
    <n v="944.65629999999987"/>
    <n v="-876.36"/>
  </r>
  <r>
    <n v="2517"/>
    <s v="Courtney Smith"/>
    <x v="2"/>
    <x v="17"/>
    <x v="2"/>
    <n v="2385.5749999999998"/>
    <n v="0.2"/>
    <x v="502"/>
    <x v="98"/>
    <x v="5"/>
    <x v="1"/>
    <n v="3816.92"/>
    <n v="409.12"/>
  </r>
  <r>
    <n v="2518"/>
    <s v="Selena Johnson"/>
    <x v="2"/>
    <x v="17"/>
    <x v="5"/>
    <n v="773.28"/>
    <n v="0.51"/>
    <x v="232"/>
    <x v="224"/>
    <x v="5"/>
    <x v="1"/>
    <n v="2273.4432000000002"/>
    <n v="608.25"/>
  </r>
  <r>
    <n v="2519"/>
    <s v="Anthony Contreras"/>
    <x v="5"/>
    <x v="11"/>
    <x v="3"/>
    <n v="3873.82"/>
    <n v="0.99"/>
    <x v="907"/>
    <x v="219"/>
    <x v="0"/>
    <x v="1"/>
    <n v="116.21460000000012"/>
    <n v="29.05365000000003"/>
  </r>
  <r>
    <n v="2520"/>
    <s v="Michelle Greene"/>
    <x v="0"/>
    <x v="9"/>
    <x v="1"/>
    <n v="2581.19"/>
    <n v="0.51"/>
    <x v="908"/>
    <x v="481"/>
    <x v="4"/>
    <x v="1"/>
    <n v="1264.7831000000001"/>
    <n v="316.19577500000003"/>
  </r>
  <r>
    <n v="2521"/>
    <s v="Jennifer Ortiz"/>
    <x v="5"/>
    <x v="12"/>
    <x v="3"/>
    <n v="2765.26"/>
    <n v="0.51"/>
    <x v="19"/>
    <x v="292"/>
    <x v="2"/>
    <x v="0"/>
    <n v="4064.9322000000002"/>
    <n v="140.18"/>
  </r>
  <r>
    <n v="2522"/>
    <s v="Russell King"/>
    <x v="5"/>
    <x v="12"/>
    <x v="0"/>
    <n v="2847.02"/>
    <n v="0.56999999999999995"/>
    <x v="909"/>
    <x v="433"/>
    <x v="5"/>
    <x v="1"/>
    <n v="4896.8744000000006"/>
    <n v="1592.04"/>
  </r>
  <r>
    <n v="2523"/>
    <s v="Alyssa Horn"/>
    <x v="3"/>
    <x v="23"/>
    <x v="6"/>
    <n v="2840.78"/>
    <n v="0.51"/>
    <x v="910"/>
    <x v="285"/>
    <x v="5"/>
    <x v="1"/>
    <n v="4871.9377000000004"/>
    <n v="-836.39"/>
  </r>
  <r>
    <n v="2524"/>
    <s v="Carlos Valencia"/>
    <x v="4"/>
    <x v="8"/>
    <x v="3"/>
    <n v="3539.22"/>
    <n v="0.51"/>
    <x v="911"/>
    <x v="166"/>
    <x v="3"/>
    <x v="1"/>
    <n v="5202.6534000000001"/>
    <n v="1991.27"/>
  </r>
  <r>
    <n v="2525"/>
    <s v="Erica Smith"/>
    <x v="1"/>
    <x v="1"/>
    <x v="0"/>
    <n v="3046.11"/>
    <n v="0.51"/>
    <x v="912"/>
    <x v="237"/>
    <x v="3"/>
    <x v="1"/>
    <n v="5970.3756000000003"/>
    <n v="-190.66"/>
  </r>
  <r>
    <n v="2526"/>
    <s v="Brianna Bonilla"/>
    <x v="3"/>
    <x v="3"/>
    <x v="3"/>
    <n v="2515.415"/>
    <n v="0.94"/>
    <x v="11"/>
    <x v="4"/>
    <x v="2"/>
    <x v="1"/>
    <n v="452.77470000000039"/>
    <n v="113.1936750000001"/>
  </r>
  <r>
    <n v="2527"/>
    <s v="Steven Reed"/>
    <x v="2"/>
    <x v="13"/>
    <x v="0"/>
    <n v="4057.33"/>
    <n v="0.51"/>
    <x v="913"/>
    <x v="4"/>
    <x v="3"/>
    <x v="0"/>
    <n v="7952.3667999999998"/>
    <n v="385.15"/>
  </r>
  <r>
    <n v="2528"/>
    <s v="Dr. Jacqueline Henry"/>
    <x v="2"/>
    <x v="10"/>
    <x v="0"/>
    <n v="2666.2200000000003"/>
    <n v="0.02"/>
    <x v="142"/>
    <x v="204"/>
    <x v="0"/>
    <x v="1"/>
    <n v="10451.582400000001"/>
    <n v="-634.46"/>
  </r>
  <r>
    <n v="2529"/>
    <s v="Kathryn Green"/>
    <x v="4"/>
    <x v="4"/>
    <x v="0"/>
    <n v="419.25"/>
    <n v="0.51"/>
    <x v="914"/>
    <x v="4"/>
    <x v="2"/>
    <x v="1"/>
    <n v="821.73"/>
    <n v="205.4325"/>
  </r>
  <r>
    <n v="1028"/>
    <s v="Ashley Miller"/>
    <x v="4"/>
    <x v="8"/>
    <x v="3"/>
    <n v="3027.66"/>
    <n v="0.51"/>
    <x v="94"/>
    <x v="482"/>
    <x v="1"/>
    <x v="1"/>
    <n v="4450.6601999999993"/>
    <n v="-701.08"/>
  </r>
  <r>
    <n v="2531"/>
    <s v="Ricky Nelson"/>
    <x v="4"/>
    <x v="16"/>
    <x v="2"/>
    <n v="816.33"/>
    <n v="0.51"/>
    <x v="915"/>
    <x v="191"/>
    <x v="2"/>
    <x v="0"/>
    <n v="800.00340000000006"/>
    <n v="200.00085000000001"/>
  </r>
  <r>
    <n v="2532"/>
    <s v="Joshua Greer"/>
    <x v="2"/>
    <x v="10"/>
    <x v="0"/>
    <n v="1863.19"/>
    <n v="0.01"/>
    <x v="916"/>
    <x v="4"/>
    <x v="2"/>
    <x v="1"/>
    <n v="7378.2323999999999"/>
    <n v="-371.04"/>
  </r>
  <r>
    <n v="2533"/>
    <s v="Nicholas Dennis"/>
    <x v="5"/>
    <x v="11"/>
    <x v="3"/>
    <n v="3960.8"/>
    <n v="0.03"/>
    <x v="917"/>
    <x v="106"/>
    <x v="2"/>
    <x v="1"/>
    <n v="11525.928000000002"/>
    <n v="1266.8800000000001"/>
  </r>
  <r>
    <n v="2534"/>
    <s v="Crystal Hubbard"/>
    <x v="4"/>
    <x v="14"/>
    <x v="0"/>
    <n v="687.34"/>
    <n v="0.51"/>
    <x v="918"/>
    <x v="124"/>
    <x v="0"/>
    <x v="1"/>
    <n v="1347.1864"/>
    <n v="-234.42"/>
  </r>
  <r>
    <n v="2535"/>
    <s v="Jessica Garrett"/>
    <x v="3"/>
    <x v="3"/>
    <x v="3"/>
    <n v="2515.415"/>
    <n v="0.51"/>
    <x v="11"/>
    <x v="64"/>
    <x v="0"/>
    <x v="0"/>
    <n v="3697.66005"/>
    <n v="782.05"/>
  </r>
  <r>
    <n v="2536"/>
    <s v="Randall Bruce"/>
    <x v="0"/>
    <x v="0"/>
    <x v="0"/>
    <n v="2366.6149999999998"/>
    <n v="0.51"/>
    <x v="81"/>
    <x v="4"/>
    <x v="2"/>
    <x v="0"/>
    <n v="4638.5653999999995"/>
    <n v="2685.77"/>
  </r>
  <r>
    <n v="2537"/>
    <s v="Christopher Moore"/>
    <x v="2"/>
    <x v="10"/>
    <x v="0"/>
    <n v="3449.08"/>
    <n v="0.51"/>
    <x v="919"/>
    <x v="483"/>
    <x v="3"/>
    <x v="0"/>
    <n v="6760.1967999999997"/>
    <n v="181.11"/>
  </r>
  <r>
    <n v="2538"/>
    <s v="James Aguilar"/>
    <x v="5"/>
    <x v="6"/>
    <x v="0"/>
    <n v="2975.64"/>
    <n v="0.51"/>
    <x v="61"/>
    <x v="204"/>
    <x v="4"/>
    <x v="0"/>
    <n v="5832.2543999999998"/>
    <n v="-705.34"/>
  </r>
  <r>
    <n v="2539"/>
    <s v="Mr. Wayne Fletcher DVM"/>
    <x v="1"/>
    <x v="15"/>
    <x v="0"/>
    <n v="2229.4899999999998"/>
    <n v="0.51"/>
    <x v="920"/>
    <x v="4"/>
    <x v="2"/>
    <x v="1"/>
    <n v="4369.8003999999992"/>
    <n v="2989.83"/>
  </r>
  <r>
    <n v="2540"/>
    <s v="Yvonne Perez"/>
    <x v="0"/>
    <x v="0"/>
    <x v="0"/>
    <n v="799.82"/>
    <n v="0.51"/>
    <x v="921"/>
    <x v="339"/>
    <x v="4"/>
    <x v="0"/>
    <n v="1567.6472000000001"/>
    <n v="1358.09"/>
  </r>
  <r>
    <n v="2541"/>
    <s v="Michael Deleon"/>
    <x v="0"/>
    <x v="20"/>
    <x v="3"/>
    <n v="2750.33"/>
    <n v="0.51"/>
    <x v="922"/>
    <x v="217"/>
    <x v="0"/>
    <x v="1"/>
    <n v="4042.9850999999999"/>
    <n v="404.87"/>
  </r>
  <r>
    <n v="2542"/>
    <s v="Miss Natalie Aguilar"/>
    <x v="1"/>
    <x v="15"/>
    <x v="3"/>
    <n v="2229.4899999999998"/>
    <n v="0.42"/>
    <x v="30"/>
    <x v="356"/>
    <x v="3"/>
    <x v="1"/>
    <n v="3879.3126000000002"/>
    <n v="379.4"/>
  </r>
  <r>
    <n v="2543"/>
    <s v="Kevin Allison"/>
    <x v="4"/>
    <x v="14"/>
    <x v="0"/>
    <n v="3501.9"/>
    <n v="0.51"/>
    <x v="923"/>
    <x v="484"/>
    <x v="4"/>
    <x v="1"/>
    <n v="6863.7240000000002"/>
    <n v="1747.96"/>
  </r>
  <r>
    <n v="2544"/>
    <s v="Douglas Scott"/>
    <x v="3"/>
    <x v="7"/>
    <x v="3"/>
    <n v="3205.96"/>
    <n v="0.51"/>
    <x v="924"/>
    <x v="485"/>
    <x v="2"/>
    <x v="1"/>
    <n v="4712.7612000000008"/>
    <n v="1764.26"/>
  </r>
  <r>
    <n v="2545"/>
    <s v="Rachel Williams"/>
    <x v="5"/>
    <x v="19"/>
    <x v="0"/>
    <n v="2109.08"/>
    <n v="0.51"/>
    <x v="925"/>
    <x v="79"/>
    <x v="0"/>
    <x v="1"/>
    <n v="4133.7968000000001"/>
    <n v="1633.57"/>
  </r>
  <r>
    <n v="2546"/>
    <s v="Traci Jennings"/>
    <x v="4"/>
    <x v="14"/>
    <x v="1"/>
    <n v="3574.54"/>
    <n v="0.51"/>
    <x v="926"/>
    <x v="486"/>
    <x v="2"/>
    <x v="0"/>
    <n v="1751.5246"/>
    <n v="-305.77"/>
  </r>
  <r>
    <n v="2547"/>
    <s v="Ryan Braun"/>
    <x v="2"/>
    <x v="13"/>
    <x v="0"/>
    <n v="4896.32"/>
    <n v="0.51"/>
    <x v="927"/>
    <x v="375"/>
    <x v="0"/>
    <x v="1"/>
    <n v="9596.7871999999988"/>
    <n v="2391.23"/>
  </r>
  <r>
    <n v="2548"/>
    <s v="Patrick Hill"/>
    <x v="5"/>
    <x v="19"/>
    <x v="0"/>
    <n v="4994.07"/>
    <n v="0.51"/>
    <x v="928"/>
    <x v="4"/>
    <x v="4"/>
    <x v="1"/>
    <n v="9788.377199999999"/>
    <n v="2068.21"/>
  </r>
  <r>
    <n v="2549"/>
    <s v="Colin Osborne"/>
    <x v="5"/>
    <x v="12"/>
    <x v="5"/>
    <n v="2319.23"/>
    <n v="0.51"/>
    <x v="929"/>
    <x v="473"/>
    <x v="1"/>
    <x v="0"/>
    <n v="6818.5362000000005"/>
    <n v="-854.91"/>
  </r>
  <r>
    <n v="2550"/>
    <s v="Anthony Love"/>
    <x v="1"/>
    <x v="22"/>
    <x v="6"/>
    <n v="1463.64"/>
    <n v="0.51"/>
    <x v="930"/>
    <x v="280"/>
    <x v="4"/>
    <x v="0"/>
    <n v="2510.1426000000001"/>
    <n v="1667.2"/>
  </r>
  <r>
    <n v="2551"/>
    <s v="Mark Wood"/>
    <x v="3"/>
    <x v="7"/>
    <x v="5"/>
    <n v="4776.97"/>
    <n v="0.51"/>
    <x v="931"/>
    <x v="4"/>
    <x v="1"/>
    <x v="1"/>
    <n v="14044.291799999999"/>
    <n v="727.96"/>
  </r>
  <r>
    <n v="2552"/>
    <s v="Debra Romero"/>
    <x v="5"/>
    <x v="6"/>
    <x v="0"/>
    <n v="3617.02"/>
    <n v="0.51"/>
    <x v="932"/>
    <x v="487"/>
    <x v="4"/>
    <x v="0"/>
    <n v="7089.3591999999999"/>
    <n v="2692.48"/>
  </r>
  <r>
    <n v="2553"/>
    <s v="Edward Santos"/>
    <x v="5"/>
    <x v="11"/>
    <x v="3"/>
    <n v="3347.39"/>
    <n v="0.51"/>
    <x v="933"/>
    <x v="488"/>
    <x v="2"/>
    <x v="1"/>
    <n v="4920.6633000000002"/>
    <n v="441.13"/>
  </r>
  <r>
    <n v="2554"/>
    <s v="Deborah Richmond"/>
    <x v="2"/>
    <x v="10"/>
    <x v="0"/>
    <n v="2433.4699999999998"/>
    <n v="0.51"/>
    <x v="934"/>
    <x v="268"/>
    <x v="4"/>
    <x v="1"/>
    <n v="4769.6011999999992"/>
    <n v="796.37"/>
  </r>
  <r>
    <n v="2555"/>
    <s v="Nathan Washington"/>
    <x v="0"/>
    <x v="0"/>
    <x v="0"/>
    <n v="3633.07"/>
    <n v="0.22"/>
    <x v="935"/>
    <x v="457"/>
    <x v="5"/>
    <x v="1"/>
    <n v="11335.178400000001"/>
    <n v="826.86"/>
  </r>
  <r>
    <n v="2556"/>
    <s v="Kenneth Harris"/>
    <x v="1"/>
    <x v="1"/>
    <x v="2"/>
    <n v="2068.88"/>
    <n v="0.51"/>
    <x v="936"/>
    <x v="4"/>
    <x v="3"/>
    <x v="1"/>
    <n v="2027.5024000000001"/>
    <n v="-9.99"/>
  </r>
  <r>
    <n v="2557"/>
    <s v="Jeffrey Cook"/>
    <x v="3"/>
    <x v="7"/>
    <x v="3"/>
    <n v="4626.4399999999996"/>
    <n v="0.51"/>
    <x v="937"/>
    <x v="303"/>
    <x v="1"/>
    <x v="1"/>
    <n v="6800.8667999999998"/>
    <n v="1942.23"/>
  </r>
  <r>
    <n v="2558"/>
    <s v="Loretta Perry"/>
    <x v="3"/>
    <x v="7"/>
    <x v="3"/>
    <n v="1175.25"/>
    <n v="0.51"/>
    <x v="938"/>
    <x v="4"/>
    <x v="2"/>
    <x v="1"/>
    <n v="1727.6175000000001"/>
    <n v="854.14"/>
  </r>
  <r>
    <n v="2559"/>
    <s v="Shelley Olson"/>
    <x v="3"/>
    <x v="21"/>
    <x v="0"/>
    <n v="2785.79"/>
    <n v="0.3"/>
    <x v="110"/>
    <x v="4"/>
    <x v="5"/>
    <x v="1"/>
    <n v="7800.2119999999995"/>
    <n v="-882.81"/>
  </r>
  <r>
    <n v="2560"/>
    <s v="Jason Tucker"/>
    <x v="2"/>
    <x v="2"/>
    <x v="0"/>
    <n v="4699.66"/>
    <n v="0.51"/>
    <x v="939"/>
    <x v="4"/>
    <x v="2"/>
    <x v="0"/>
    <n v="9211.3335999999999"/>
    <n v="2759.92"/>
  </r>
  <r>
    <n v="2561"/>
    <s v="Dawn Perkins"/>
    <x v="1"/>
    <x v="1"/>
    <x v="4"/>
    <n v="2579.8000000000002"/>
    <n v="0.51"/>
    <x v="596"/>
    <x v="4"/>
    <x v="1"/>
    <x v="1"/>
    <n v="6320.51"/>
    <n v="559.97"/>
  </r>
  <r>
    <n v="1044"/>
    <s v="Cody Rogers"/>
    <x v="1"/>
    <x v="15"/>
    <x v="3"/>
    <n v="756.73"/>
    <n v="0.51"/>
    <x v="940"/>
    <x v="395"/>
    <x v="0"/>
    <x v="1"/>
    <n v="1112.3931"/>
    <n v="278.098275"/>
  </r>
  <r>
    <n v="2563"/>
    <s v="Michael Freeman"/>
    <x v="3"/>
    <x v="7"/>
    <x v="3"/>
    <n v="2577.6350000000002"/>
    <n v="0.41"/>
    <x v="8"/>
    <x v="205"/>
    <x v="4"/>
    <x v="0"/>
    <n v="4562.413950000001"/>
    <n v="891.43"/>
  </r>
  <r>
    <n v="2564"/>
    <s v="Kenneth Bennett"/>
    <x v="1"/>
    <x v="22"/>
    <x v="6"/>
    <n v="2752.99"/>
    <n v="0.51"/>
    <x v="201"/>
    <x v="489"/>
    <x v="2"/>
    <x v="0"/>
    <n v="4721.3778499999999"/>
    <n v="-479.17"/>
  </r>
  <r>
    <n v="2565"/>
    <s v="Ryan Bowen"/>
    <x v="2"/>
    <x v="10"/>
    <x v="0"/>
    <n v="2666.2200000000003"/>
    <n v="0.51"/>
    <x v="142"/>
    <x v="4"/>
    <x v="5"/>
    <x v="1"/>
    <n v="5225.7912000000006"/>
    <n v="415.71"/>
  </r>
  <r>
    <n v="2566"/>
    <s v="Raymond Mcdonald"/>
    <x v="4"/>
    <x v="4"/>
    <x v="1"/>
    <n v="4482.08"/>
    <n v="0.51"/>
    <x v="941"/>
    <x v="187"/>
    <x v="3"/>
    <x v="1"/>
    <n v="2196.2192"/>
    <n v="464.92"/>
  </r>
  <r>
    <n v="2567"/>
    <s v="Richard Alexander"/>
    <x v="4"/>
    <x v="16"/>
    <x v="0"/>
    <n v="2599.75"/>
    <n v="0.35"/>
    <x v="42"/>
    <x v="387"/>
    <x v="0"/>
    <x v="1"/>
    <n v="6759.35"/>
    <n v="2962.69"/>
  </r>
  <r>
    <n v="1013"/>
    <s v="Tamara Hopkins"/>
    <x v="2"/>
    <x v="10"/>
    <x v="5"/>
    <n v="2355.2800000000002"/>
    <n v="0.51"/>
    <x v="942"/>
    <x v="473"/>
    <x v="1"/>
    <x v="1"/>
    <n v="6924.5231999999996"/>
    <n v="330.11"/>
  </r>
  <r>
    <n v="2569"/>
    <s v="Ashley Fernandez"/>
    <x v="1"/>
    <x v="22"/>
    <x v="6"/>
    <n v="1263.8399999999999"/>
    <n v="0.51"/>
    <x v="943"/>
    <x v="174"/>
    <x v="4"/>
    <x v="1"/>
    <n v="2167.4856"/>
    <n v="541.87139999999999"/>
  </r>
  <r>
    <n v="2570"/>
    <s v="Christine Garcia"/>
    <x v="1"/>
    <x v="18"/>
    <x v="3"/>
    <n v="2537.59"/>
    <n v="0.78"/>
    <x v="35"/>
    <x v="239"/>
    <x v="4"/>
    <x v="1"/>
    <n v="1674.8093999999999"/>
    <n v="1668.49"/>
  </r>
  <r>
    <n v="2571"/>
    <s v="Julie Grant"/>
    <x v="5"/>
    <x v="12"/>
    <x v="3"/>
    <n v="3061.98"/>
    <n v="0.51"/>
    <x v="944"/>
    <x v="178"/>
    <x v="1"/>
    <x v="1"/>
    <n v="4501.1106"/>
    <n v="2553.09"/>
  </r>
  <r>
    <n v="2572"/>
    <s v="Sharon Sharp"/>
    <x v="4"/>
    <x v="8"/>
    <x v="3"/>
    <n v="3027.66"/>
    <n v="0.51"/>
    <x v="94"/>
    <x v="31"/>
    <x v="5"/>
    <x v="1"/>
    <n v="4450.6601999999993"/>
    <n v="-305.72000000000003"/>
  </r>
  <r>
    <n v="2573"/>
    <s v="Thomas Nielsen"/>
    <x v="1"/>
    <x v="22"/>
    <x v="6"/>
    <n v="2752.99"/>
    <n v="0.51"/>
    <x v="201"/>
    <x v="490"/>
    <x v="1"/>
    <x v="1"/>
    <n v="4721.3778499999999"/>
    <n v="-215"/>
  </r>
  <r>
    <n v="2574"/>
    <s v="Michael Day"/>
    <x v="5"/>
    <x v="12"/>
    <x v="3"/>
    <n v="2765.26"/>
    <n v="0.51"/>
    <x v="19"/>
    <x v="90"/>
    <x v="5"/>
    <x v="1"/>
    <n v="4064.9322000000002"/>
    <n v="-39.299999999999997"/>
  </r>
  <r>
    <n v="2575"/>
    <s v="James Thompson"/>
    <x v="2"/>
    <x v="10"/>
    <x v="0"/>
    <n v="2714.78"/>
    <n v="0.42"/>
    <x v="945"/>
    <x v="57"/>
    <x v="1"/>
    <x v="1"/>
    <n v="6298.289600000001"/>
    <n v="1220.49"/>
  </r>
  <r>
    <n v="2576"/>
    <s v="Jessica Wilkerson"/>
    <x v="0"/>
    <x v="9"/>
    <x v="0"/>
    <n v="2891.64"/>
    <n v="0.56000000000000005"/>
    <x v="12"/>
    <x v="22"/>
    <x v="2"/>
    <x v="0"/>
    <n v="5089.286399999999"/>
    <n v="515.36"/>
  </r>
  <r>
    <n v="2577"/>
    <s v="Brian Young"/>
    <x v="0"/>
    <x v="9"/>
    <x v="1"/>
    <n v="609.05999999999995"/>
    <n v="0.17"/>
    <x v="946"/>
    <x v="340"/>
    <x v="1"/>
    <x v="0"/>
    <n v="505.51979999999992"/>
    <n v="110.23"/>
  </r>
  <r>
    <n v="2578"/>
    <s v="Travis Watson"/>
    <x v="4"/>
    <x v="16"/>
    <x v="0"/>
    <n v="2599.75"/>
    <n v="0.87"/>
    <x v="42"/>
    <x v="4"/>
    <x v="4"/>
    <x v="1"/>
    <n v="1351.8700000000001"/>
    <n v="337.96750000000003"/>
  </r>
  <r>
    <n v="1026"/>
    <s v="Elizabeth Vargas"/>
    <x v="0"/>
    <x v="5"/>
    <x v="3"/>
    <n v="2293.29"/>
    <n v="0.4"/>
    <x v="947"/>
    <x v="4"/>
    <x v="2"/>
    <x v="0"/>
    <n v="4127.9219999999996"/>
    <n v="1000.06"/>
  </r>
  <r>
    <n v="2580"/>
    <s v="Amy Garcia"/>
    <x v="2"/>
    <x v="2"/>
    <x v="0"/>
    <n v="2933.45"/>
    <n v="0.51"/>
    <x v="13"/>
    <x v="491"/>
    <x v="4"/>
    <x v="0"/>
    <n v="5749.5619999999999"/>
    <n v="2076.5300000000002"/>
  </r>
  <r>
    <n v="2581"/>
    <s v="Jason Davis PhD"/>
    <x v="1"/>
    <x v="15"/>
    <x v="3"/>
    <n v="3895.43"/>
    <n v="0.51"/>
    <x v="948"/>
    <x v="26"/>
    <x v="3"/>
    <x v="1"/>
    <n v="5726.2820999999994"/>
    <n v="1316.66"/>
  </r>
  <r>
    <n v="2582"/>
    <s v="Scott Stephenson"/>
    <x v="4"/>
    <x v="8"/>
    <x v="3"/>
    <n v="4154.55"/>
    <n v="0.95"/>
    <x v="949"/>
    <x v="268"/>
    <x v="5"/>
    <x v="1"/>
    <n v="623.18250000000057"/>
    <n v="-247.99"/>
  </r>
  <r>
    <n v="1014"/>
    <s v="Sally Morales"/>
    <x v="0"/>
    <x v="5"/>
    <x v="3"/>
    <n v="3008.6549999999997"/>
    <n v="0.51"/>
    <x v="44"/>
    <x v="492"/>
    <x v="0"/>
    <x v="0"/>
    <n v="4422.7228500000001"/>
    <n v="1946.1"/>
  </r>
  <r>
    <n v="2584"/>
    <s v="William Doyle"/>
    <x v="3"/>
    <x v="23"/>
    <x v="3"/>
    <n v="1276.26"/>
    <n v="0.69"/>
    <x v="950"/>
    <x v="4"/>
    <x v="2"/>
    <x v="0"/>
    <n v="1186.9218000000001"/>
    <n v="296.73045000000002"/>
  </r>
  <r>
    <n v="2585"/>
    <s v="Rebecca Lowery"/>
    <x v="5"/>
    <x v="6"/>
    <x v="0"/>
    <n v="2975.64"/>
    <n v="0.51"/>
    <x v="61"/>
    <x v="132"/>
    <x v="4"/>
    <x v="0"/>
    <n v="5832.2543999999998"/>
    <n v="1123.27"/>
  </r>
  <r>
    <n v="2586"/>
    <s v="Tina Wilson"/>
    <x v="0"/>
    <x v="0"/>
    <x v="0"/>
    <n v="789.21"/>
    <n v="0.51"/>
    <x v="951"/>
    <x v="47"/>
    <x v="1"/>
    <x v="0"/>
    <n v="1546.8516"/>
    <n v="386.71289999999999"/>
  </r>
  <r>
    <n v="2587"/>
    <s v="Samantha Gould"/>
    <x v="4"/>
    <x v="14"/>
    <x v="4"/>
    <n v="3463.37"/>
    <n v="0.1"/>
    <x v="952"/>
    <x v="4"/>
    <x v="3"/>
    <x v="1"/>
    <n v="15585.164999999999"/>
    <n v="-957.03"/>
  </r>
  <r>
    <n v="2588"/>
    <s v="Jessica Park"/>
    <x v="3"/>
    <x v="7"/>
    <x v="3"/>
    <n v="2577.6350000000002"/>
    <n v="0.51"/>
    <x v="8"/>
    <x v="54"/>
    <x v="4"/>
    <x v="1"/>
    <n v="3789.12345"/>
    <n v="-927.74"/>
  </r>
  <r>
    <n v="2589"/>
    <s v="Kathy Smith"/>
    <x v="2"/>
    <x v="13"/>
    <x v="0"/>
    <n v="3256.31"/>
    <n v="0.51"/>
    <x v="953"/>
    <x v="322"/>
    <x v="0"/>
    <x v="1"/>
    <n v="6382.3675999999996"/>
    <n v="2266.79"/>
  </r>
  <r>
    <n v="2590"/>
    <s v="Maurice Mcconnell"/>
    <x v="2"/>
    <x v="13"/>
    <x v="0"/>
    <n v="2538.0450000000001"/>
    <n v="0.54"/>
    <x v="21"/>
    <x v="493"/>
    <x v="0"/>
    <x v="1"/>
    <n v="4670.0028000000002"/>
    <n v="1613.88"/>
  </r>
  <r>
    <n v="2591"/>
    <s v="Danielle Kaufman"/>
    <x v="1"/>
    <x v="18"/>
    <x v="3"/>
    <n v="4784.03"/>
    <n v="0.51"/>
    <x v="954"/>
    <x v="132"/>
    <x v="4"/>
    <x v="0"/>
    <n v="7032.5240999999996"/>
    <n v="176.96"/>
  </r>
  <r>
    <n v="2592"/>
    <s v="Jeffery Green"/>
    <x v="4"/>
    <x v="4"/>
    <x v="2"/>
    <n v="4965.93"/>
    <n v="0.51"/>
    <x v="955"/>
    <x v="4"/>
    <x v="5"/>
    <x v="0"/>
    <n v="4866.6113999999998"/>
    <n v="1406.72"/>
  </r>
  <r>
    <n v="2593"/>
    <s v="Christine James"/>
    <x v="5"/>
    <x v="11"/>
    <x v="0"/>
    <n v="736.36"/>
    <n v="0.83"/>
    <x v="956"/>
    <x v="4"/>
    <x v="2"/>
    <x v="1"/>
    <n v="500.72480000000013"/>
    <n v="125.18120000000003"/>
  </r>
  <r>
    <n v="2594"/>
    <s v="Michael Diaz"/>
    <x v="0"/>
    <x v="9"/>
    <x v="0"/>
    <n v="2891.64"/>
    <n v="0.37"/>
    <x v="12"/>
    <x v="4"/>
    <x v="5"/>
    <x v="0"/>
    <n v="7286.9327999999996"/>
    <n v="580.23"/>
  </r>
  <r>
    <n v="2595"/>
    <s v="Tony Davis"/>
    <x v="5"/>
    <x v="11"/>
    <x v="3"/>
    <n v="2469.67"/>
    <n v="0.51"/>
    <x v="957"/>
    <x v="474"/>
    <x v="2"/>
    <x v="1"/>
    <n v="3630.4149000000002"/>
    <n v="802.05"/>
  </r>
  <r>
    <n v="2596"/>
    <s v="Kelly Saunders"/>
    <x v="0"/>
    <x v="0"/>
    <x v="0"/>
    <n v="2538.5700000000002"/>
    <n v="0.51"/>
    <x v="958"/>
    <x v="392"/>
    <x v="4"/>
    <x v="0"/>
    <n v="4975.5972000000002"/>
    <n v="342.21"/>
  </r>
  <r>
    <n v="2597"/>
    <s v="Steve Tran"/>
    <x v="1"/>
    <x v="1"/>
    <x v="0"/>
    <n v="2579.8000000000002"/>
    <n v="0.51"/>
    <x v="22"/>
    <x v="4"/>
    <x v="3"/>
    <x v="1"/>
    <n v="5056.4080000000004"/>
    <n v="538.11"/>
  </r>
  <r>
    <n v="2598"/>
    <s v="Christopher Davis"/>
    <x v="1"/>
    <x v="18"/>
    <x v="3"/>
    <n v="4412.21"/>
    <n v="0.51"/>
    <x v="959"/>
    <x v="4"/>
    <x v="3"/>
    <x v="0"/>
    <n v="6485.9487000000008"/>
    <n v="2917.18"/>
  </r>
  <r>
    <n v="2599"/>
    <s v="Stephanie Franco"/>
    <x v="2"/>
    <x v="10"/>
    <x v="0"/>
    <n v="2666.2200000000003"/>
    <n v="0.23"/>
    <x v="142"/>
    <x v="321"/>
    <x v="4"/>
    <x v="1"/>
    <n v="8211.9576000000015"/>
    <n v="2293.29"/>
  </r>
  <r>
    <n v="2600"/>
    <s v="Kristie Williams"/>
    <x v="2"/>
    <x v="17"/>
    <x v="4"/>
    <n v="4832.16"/>
    <n v="0.51"/>
    <x v="960"/>
    <x v="52"/>
    <x v="5"/>
    <x v="1"/>
    <n v="11838.791999999999"/>
    <n v="1707.66"/>
  </r>
  <r>
    <n v="2601"/>
    <s v="Stephanie King"/>
    <x v="0"/>
    <x v="20"/>
    <x v="1"/>
    <n v="2750.33"/>
    <n v="0.28000000000000003"/>
    <x v="252"/>
    <x v="187"/>
    <x v="3"/>
    <x v="1"/>
    <n v="1980.2375999999999"/>
    <n v="495.05939999999998"/>
  </r>
  <r>
    <n v="1002"/>
    <s v="Travis Thomas"/>
    <x v="3"/>
    <x v="21"/>
    <x v="0"/>
    <n v="2785.79"/>
    <n v="0.51"/>
    <x v="110"/>
    <x v="299"/>
    <x v="1"/>
    <x v="1"/>
    <n v="5460.1484"/>
    <n v="48.87"/>
  </r>
  <r>
    <n v="2603"/>
    <s v="Carol Young"/>
    <x v="4"/>
    <x v="4"/>
    <x v="4"/>
    <n v="4403.84"/>
    <n v="0.51"/>
    <x v="961"/>
    <x v="4"/>
    <x v="2"/>
    <x v="0"/>
    <n v="10789.407999999999"/>
    <n v="-513.19000000000005"/>
  </r>
  <r>
    <n v="2604"/>
    <s v="Angela Wiggins"/>
    <x v="2"/>
    <x v="17"/>
    <x v="3"/>
    <n v="2171.2199999999998"/>
    <n v="0.51"/>
    <x v="962"/>
    <x v="182"/>
    <x v="3"/>
    <x v="1"/>
    <n v="3191.6933999999997"/>
    <n v="2595.2199999999998"/>
  </r>
  <r>
    <n v="2605"/>
    <s v="Diana Buchanan"/>
    <x v="5"/>
    <x v="6"/>
    <x v="1"/>
    <n v="1636.26"/>
    <n v="0.94"/>
    <x v="963"/>
    <x v="122"/>
    <x v="4"/>
    <x v="1"/>
    <n v="98.175600000000088"/>
    <n v="24.543900000000022"/>
  </r>
  <r>
    <n v="2606"/>
    <s v="George Moody"/>
    <x v="0"/>
    <x v="9"/>
    <x v="0"/>
    <n v="806.81"/>
    <n v="0.11"/>
    <x v="964"/>
    <x v="494"/>
    <x v="5"/>
    <x v="1"/>
    <n v="2872.2435999999998"/>
    <n v="634.66"/>
  </r>
  <r>
    <n v="2607"/>
    <s v="Michael Morris"/>
    <x v="1"/>
    <x v="1"/>
    <x v="0"/>
    <n v="2289.9299999999998"/>
    <n v="0.51"/>
    <x v="965"/>
    <x v="87"/>
    <x v="3"/>
    <x v="1"/>
    <n v="4488.2627999999995"/>
    <n v="183.34"/>
  </r>
  <r>
    <n v="2608"/>
    <s v="James Hayes"/>
    <x v="1"/>
    <x v="1"/>
    <x v="0"/>
    <n v="3352.88"/>
    <n v="0.51"/>
    <x v="966"/>
    <x v="495"/>
    <x v="2"/>
    <x v="1"/>
    <n v="6571.6448"/>
    <n v="2684.88"/>
  </r>
  <r>
    <n v="2609"/>
    <s v="Timothy Nash"/>
    <x v="1"/>
    <x v="1"/>
    <x v="0"/>
    <n v="2579.8000000000002"/>
    <n v="0.51"/>
    <x v="22"/>
    <x v="4"/>
    <x v="0"/>
    <x v="0"/>
    <n v="5056.4080000000004"/>
    <n v="641.89"/>
  </r>
  <r>
    <n v="2610"/>
    <s v="Amanda Wolf"/>
    <x v="4"/>
    <x v="8"/>
    <x v="4"/>
    <n v="1606.99"/>
    <n v="0.51"/>
    <x v="967"/>
    <x v="453"/>
    <x v="1"/>
    <x v="0"/>
    <n v="3937.1254999999996"/>
    <n v="1743.11"/>
  </r>
  <r>
    <n v="2611"/>
    <s v="Barbara Thompson"/>
    <x v="5"/>
    <x v="12"/>
    <x v="3"/>
    <n v="2765.26"/>
    <n v="0.51"/>
    <x v="19"/>
    <x v="311"/>
    <x v="5"/>
    <x v="1"/>
    <n v="4064.9322000000002"/>
    <n v="2391.6999999999998"/>
  </r>
  <r>
    <n v="2612"/>
    <s v="Natasha Willis"/>
    <x v="3"/>
    <x v="21"/>
    <x v="0"/>
    <n v="2672.64"/>
    <n v="0.51"/>
    <x v="968"/>
    <x v="278"/>
    <x v="3"/>
    <x v="1"/>
    <n v="5238.3743999999997"/>
    <n v="1142.44"/>
  </r>
  <r>
    <n v="2613"/>
    <s v="Kathleen Sharp"/>
    <x v="4"/>
    <x v="16"/>
    <x v="0"/>
    <n v="2438.16"/>
    <n v="0.51"/>
    <x v="969"/>
    <x v="104"/>
    <x v="5"/>
    <x v="1"/>
    <n v="4778.7936"/>
    <n v="161.35"/>
  </r>
  <r>
    <n v="2614"/>
    <s v="Shirley Mann"/>
    <x v="2"/>
    <x v="10"/>
    <x v="0"/>
    <n v="4530.28"/>
    <n v="0.67"/>
    <x v="970"/>
    <x v="192"/>
    <x v="1"/>
    <x v="1"/>
    <n v="5979.9695999999985"/>
    <n v="2891.77"/>
  </r>
  <r>
    <n v="2615"/>
    <s v="Sarah Nguyen"/>
    <x v="4"/>
    <x v="14"/>
    <x v="0"/>
    <n v="2765.79"/>
    <n v="0.51"/>
    <x v="25"/>
    <x v="400"/>
    <x v="2"/>
    <x v="1"/>
    <n v="5420.9484000000002"/>
    <n v="1644.18"/>
  </r>
  <r>
    <n v="2616"/>
    <s v="Austin Warner"/>
    <x v="4"/>
    <x v="16"/>
    <x v="4"/>
    <n v="2599.75"/>
    <n v="0.24"/>
    <x v="870"/>
    <x v="269"/>
    <x v="5"/>
    <x v="1"/>
    <n v="9879.0499999999993"/>
    <n v="2858.08"/>
  </r>
  <r>
    <n v="2617"/>
    <s v="Heather Hall"/>
    <x v="5"/>
    <x v="11"/>
    <x v="3"/>
    <n v="2731.6350000000002"/>
    <n v="0.51"/>
    <x v="60"/>
    <x v="111"/>
    <x v="2"/>
    <x v="1"/>
    <n v="4015.5034500000002"/>
    <n v="-151.75"/>
  </r>
  <r>
    <n v="2618"/>
    <s v="Colin Dillon"/>
    <x v="2"/>
    <x v="17"/>
    <x v="3"/>
    <n v="2385.5749999999998"/>
    <n v="0.95"/>
    <x v="91"/>
    <x v="496"/>
    <x v="1"/>
    <x v="1"/>
    <n v="357.83625000000029"/>
    <n v="-850.68"/>
  </r>
  <r>
    <n v="2619"/>
    <s v="Brittany Perkins"/>
    <x v="0"/>
    <x v="9"/>
    <x v="0"/>
    <n v="2891.64"/>
    <n v="0.51"/>
    <x v="12"/>
    <x v="4"/>
    <x v="1"/>
    <x v="0"/>
    <n v="5667.6143999999995"/>
    <n v="1443.87"/>
  </r>
  <r>
    <n v="2620"/>
    <s v="Patricia Stokes"/>
    <x v="2"/>
    <x v="2"/>
    <x v="0"/>
    <n v="3415.9"/>
    <n v="0.51"/>
    <x v="971"/>
    <x v="9"/>
    <x v="2"/>
    <x v="0"/>
    <n v="6695.1639999999998"/>
    <n v="25.83"/>
  </r>
  <r>
    <n v="2621"/>
    <s v="Brenda Lewis"/>
    <x v="2"/>
    <x v="2"/>
    <x v="0"/>
    <n v="2933.45"/>
    <n v="0.51"/>
    <x v="13"/>
    <x v="453"/>
    <x v="0"/>
    <x v="1"/>
    <n v="5749.5619999999999"/>
    <n v="2237.85"/>
  </r>
  <r>
    <n v="2622"/>
    <s v="Jennifer Jordan"/>
    <x v="4"/>
    <x v="8"/>
    <x v="3"/>
    <n v="2705.13"/>
    <n v="0.51"/>
    <x v="972"/>
    <x v="497"/>
    <x v="0"/>
    <x v="1"/>
    <n v="3976.5410999999999"/>
    <n v="1133.53"/>
  </r>
  <r>
    <n v="1020"/>
    <s v="Catherine Good"/>
    <x v="5"/>
    <x v="19"/>
    <x v="0"/>
    <n v="2889.5349999999999"/>
    <n v="0.51"/>
    <x v="36"/>
    <x v="498"/>
    <x v="5"/>
    <x v="1"/>
    <n v="5663.4885999999997"/>
    <n v="1224.3499999999999"/>
  </r>
  <r>
    <n v="2624"/>
    <s v="Walter Jenkins"/>
    <x v="3"/>
    <x v="23"/>
    <x v="6"/>
    <n v="2338.04"/>
    <n v="0.99"/>
    <x v="171"/>
    <x v="92"/>
    <x v="1"/>
    <x v="1"/>
    <n v="81.831400000000073"/>
    <n v="20.457850000000018"/>
  </r>
  <r>
    <n v="2625"/>
    <s v="James Leonard"/>
    <x v="5"/>
    <x v="11"/>
    <x v="3"/>
    <n v="2731.6350000000002"/>
    <n v="0.51"/>
    <x v="60"/>
    <x v="499"/>
    <x v="2"/>
    <x v="1"/>
    <n v="4015.5034500000002"/>
    <n v="1271.1199999999999"/>
  </r>
  <r>
    <n v="2626"/>
    <s v="Sarah Craig"/>
    <x v="4"/>
    <x v="4"/>
    <x v="0"/>
    <n v="4932.25"/>
    <n v="0.51"/>
    <x v="973"/>
    <x v="364"/>
    <x v="3"/>
    <x v="1"/>
    <n v="9667.2099999999991"/>
    <n v="742.42"/>
  </r>
  <r>
    <n v="2627"/>
    <s v="Sheila Crawford"/>
    <x v="5"/>
    <x v="12"/>
    <x v="3"/>
    <n v="2765.26"/>
    <n v="0.51"/>
    <x v="19"/>
    <x v="100"/>
    <x v="2"/>
    <x v="1"/>
    <n v="4064.9322000000002"/>
    <n v="87.54"/>
  </r>
  <r>
    <n v="2628"/>
    <s v="Annette Miller"/>
    <x v="0"/>
    <x v="9"/>
    <x v="0"/>
    <n v="2891.64"/>
    <n v="0.51"/>
    <x v="12"/>
    <x v="500"/>
    <x v="0"/>
    <x v="1"/>
    <n v="5667.6143999999995"/>
    <n v="2466.4299999999998"/>
  </r>
  <r>
    <n v="2629"/>
    <s v="Michael Green"/>
    <x v="5"/>
    <x v="19"/>
    <x v="0"/>
    <n v="2889.5349999999999"/>
    <n v="0.51"/>
    <x v="36"/>
    <x v="305"/>
    <x v="4"/>
    <x v="1"/>
    <n v="5663.4885999999997"/>
    <n v="1765.52"/>
  </r>
  <r>
    <n v="2630"/>
    <s v="Kimberly Morris"/>
    <x v="2"/>
    <x v="2"/>
    <x v="0"/>
    <n v="856.83"/>
    <n v="0.51"/>
    <x v="974"/>
    <x v="280"/>
    <x v="1"/>
    <x v="0"/>
    <n v="1679.3868"/>
    <n v="1369.89"/>
  </r>
  <r>
    <n v="2631"/>
    <s v="James Soto"/>
    <x v="3"/>
    <x v="21"/>
    <x v="2"/>
    <n v="1753.02"/>
    <n v="0.23"/>
    <x v="975"/>
    <x v="422"/>
    <x v="5"/>
    <x v="1"/>
    <n v="2699.6507999999999"/>
    <n v="-766.47"/>
  </r>
  <r>
    <n v="2632"/>
    <s v="Scott Bryant"/>
    <x v="2"/>
    <x v="2"/>
    <x v="3"/>
    <n v="4127.32"/>
    <n v="0.51"/>
    <x v="976"/>
    <x v="4"/>
    <x v="5"/>
    <x v="1"/>
    <n v="6067.1603999999998"/>
    <n v="989.17"/>
  </r>
  <r>
    <n v="2633"/>
    <s v="Teresa Carlson"/>
    <x v="3"/>
    <x v="23"/>
    <x v="6"/>
    <n v="2338.04"/>
    <n v="0.87"/>
    <x v="171"/>
    <x v="484"/>
    <x v="5"/>
    <x v="1"/>
    <n v="1063.8081999999999"/>
    <n v="300.47000000000003"/>
  </r>
  <r>
    <n v="2634"/>
    <s v="Jennifer Richardson"/>
    <x v="3"/>
    <x v="21"/>
    <x v="0"/>
    <n v="2785.79"/>
    <n v="0.96"/>
    <x v="110"/>
    <x v="4"/>
    <x v="4"/>
    <x v="1"/>
    <n v="445.72640000000041"/>
    <n v="111.4316000000001"/>
  </r>
  <r>
    <n v="2635"/>
    <s v="Karen Bridges"/>
    <x v="2"/>
    <x v="17"/>
    <x v="2"/>
    <n v="2385.5749999999998"/>
    <n v="0.51"/>
    <x v="502"/>
    <x v="346"/>
    <x v="5"/>
    <x v="0"/>
    <n v="2337.8634999999999"/>
    <n v="461.83"/>
  </r>
  <r>
    <n v="2636"/>
    <s v="Amy Riley"/>
    <x v="5"/>
    <x v="12"/>
    <x v="3"/>
    <n v="1006.98"/>
    <n v="0.51"/>
    <x v="977"/>
    <x v="270"/>
    <x v="2"/>
    <x v="1"/>
    <n v="1480.2606000000001"/>
    <n v="370.06515000000002"/>
  </r>
  <r>
    <n v="2637"/>
    <s v="Deanna Woods"/>
    <x v="1"/>
    <x v="22"/>
    <x v="6"/>
    <n v="2752.99"/>
    <n v="0.72"/>
    <x v="201"/>
    <x v="4"/>
    <x v="0"/>
    <x v="1"/>
    <n v="2697.9302000000002"/>
    <n v="1326.41"/>
  </r>
  <r>
    <n v="2638"/>
    <s v="Sharon Reed"/>
    <x v="1"/>
    <x v="22"/>
    <x v="5"/>
    <n v="2012.14"/>
    <n v="0.51"/>
    <x v="978"/>
    <x v="387"/>
    <x v="0"/>
    <x v="1"/>
    <n v="5915.6916000000001"/>
    <n v="3.53"/>
  </r>
  <r>
    <n v="2639"/>
    <s v="Rachel Brown"/>
    <x v="2"/>
    <x v="10"/>
    <x v="0"/>
    <n v="4947.96"/>
    <n v="0.51"/>
    <x v="979"/>
    <x v="4"/>
    <x v="5"/>
    <x v="0"/>
    <n v="9698.0015999999996"/>
    <n v="1245.6099999999999"/>
  </r>
  <r>
    <n v="2640"/>
    <s v="Richard Lopez"/>
    <x v="1"/>
    <x v="22"/>
    <x v="5"/>
    <n v="4720.2299999999996"/>
    <n v="0.69"/>
    <x v="980"/>
    <x v="263"/>
    <x v="1"/>
    <x v="1"/>
    <n v="8779.6278000000002"/>
    <n v="2243.09"/>
  </r>
  <r>
    <n v="2641"/>
    <s v="Jordan Pierce"/>
    <x v="5"/>
    <x v="19"/>
    <x v="5"/>
    <n v="2889.5349999999999"/>
    <n v="0.51"/>
    <x v="239"/>
    <x v="109"/>
    <x v="0"/>
    <x v="1"/>
    <n v="8495.2328999999991"/>
    <n v="-151.61000000000001"/>
  </r>
  <r>
    <n v="2642"/>
    <s v="Andrew Sharp"/>
    <x v="1"/>
    <x v="15"/>
    <x v="3"/>
    <n v="1043.58"/>
    <n v="0.51"/>
    <x v="981"/>
    <x v="34"/>
    <x v="4"/>
    <x v="1"/>
    <n v="1534.0626"/>
    <n v="1206.72"/>
  </r>
  <r>
    <n v="2643"/>
    <s v="Kimberly Mitchell"/>
    <x v="1"/>
    <x v="15"/>
    <x v="3"/>
    <n v="2229.4899999999998"/>
    <n v="0.53"/>
    <x v="30"/>
    <x v="88"/>
    <x v="3"/>
    <x v="1"/>
    <n v="3143.5808999999995"/>
    <n v="2911.37"/>
  </r>
  <r>
    <n v="2644"/>
    <s v="Patricia Stanley"/>
    <x v="0"/>
    <x v="0"/>
    <x v="0"/>
    <n v="2366.6149999999998"/>
    <n v="0.51"/>
    <x v="81"/>
    <x v="501"/>
    <x v="2"/>
    <x v="1"/>
    <n v="4638.5653999999995"/>
    <n v="2044.35"/>
  </r>
  <r>
    <n v="2645"/>
    <s v="Gabriel Browning"/>
    <x v="3"/>
    <x v="7"/>
    <x v="3"/>
    <n v="2577.6350000000002"/>
    <n v="0.98"/>
    <x v="8"/>
    <x v="502"/>
    <x v="1"/>
    <x v="1"/>
    <n v="154.65810000000016"/>
    <n v="38.66452500000004"/>
  </r>
  <r>
    <n v="2646"/>
    <s v="Kaitlin Thompson"/>
    <x v="0"/>
    <x v="5"/>
    <x v="5"/>
    <n v="3008.6549999999997"/>
    <n v="0.51"/>
    <x v="127"/>
    <x v="62"/>
    <x v="0"/>
    <x v="1"/>
    <n v="8845.4457000000002"/>
    <n v="2299.84"/>
  </r>
  <r>
    <n v="2647"/>
    <s v="April Nichols"/>
    <x v="3"/>
    <x v="3"/>
    <x v="4"/>
    <n v="2515.415"/>
    <n v="0.51"/>
    <x v="197"/>
    <x v="447"/>
    <x v="4"/>
    <x v="1"/>
    <n v="6162.7667500000007"/>
    <n v="-102.81"/>
  </r>
  <r>
    <n v="2648"/>
    <s v="Susan Solis"/>
    <x v="0"/>
    <x v="9"/>
    <x v="0"/>
    <n v="4899.84"/>
    <n v="0.51"/>
    <x v="982"/>
    <x v="124"/>
    <x v="1"/>
    <x v="0"/>
    <n v="9603.6864000000005"/>
    <n v="1775.2"/>
  </r>
  <r>
    <n v="2649"/>
    <s v="Melissa Flowers"/>
    <x v="3"/>
    <x v="7"/>
    <x v="3"/>
    <n v="3838.55"/>
    <n v="0.91"/>
    <x v="983"/>
    <x v="503"/>
    <x v="5"/>
    <x v="0"/>
    <n v="1036.4084999999998"/>
    <n v="259.10212499999994"/>
  </r>
  <r>
    <n v="2650"/>
    <s v="Sydney Chambers"/>
    <x v="2"/>
    <x v="13"/>
    <x v="0"/>
    <n v="2538.0450000000001"/>
    <n v="0.51"/>
    <x v="21"/>
    <x v="38"/>
    <x v="3"/>
    <x v="0"/>
    <n v="4974.5681999999997"/>
    <n v="2003.15"/>
  </r>
  <r>
    <n v="1040"/>
    <s v="Laurie Potter"/>
    <x v="1"/>
    <x v="1"/>
    <x v="0"/>
    <n v="1640.04"/>
    <n v="0.51"/>
    <x v="984"/>
    <x v="126"/>
    <x v="3"/>
    <x v="0"/>
    <n v="3214.4784"/>
    <n v="288.44"/>
  </r>
  <r>
    <n v="2652"/>
    <s v="Robyn Downs"/>
    <x v="0"/>
    <x v="5"/>
    <x v="3"/>
    <n v="3008.6549999999997"/>
    <n v="0.51"/>
    <x v="44"/>
    <x v="4"/>
    <x v="1"/>
    <x v="0"/>
    <n v="4422.7228500000001"/>
    <n v="1472.41"/>
  </r>
  <r>
    <n v="2653"/>
    <s v="Sara Duffy"/>
    <x v="4"/>
    <x v="8"/>
    <x v="3"/>
    <n v="3027.66"/>
    <n v="0.03"/>
    <x v="94"/>
    <x v="504"/>
    <x v="5"/>
    <x v="1"/>
    <n v="8810.4905999999992"/>
    <n v="-327.41000000000003"/>
  </r>
  <r>
    <n v="2654"/>
    <s v="Lisa Frederick"/>
    <x v="2"/>
    <x v="13"/>
    <x v="5"/>
    <n v="2538.0450000000001"/>
    <n v="0.31"/>
    <x v="174"/>
    <x v="151"/>
    <x v="4"/>
    <x v="1"/>
    <n v="10507.506299999999"/>
    <n v="250.85"/>
  </r>
  <r>
    <n v="2655"/>
    <s v="John Kim"/>
    <x v="3"/>
    <x v="23"/>
    <x v="0"/>
    <n v="2338.04"/>
    <n v="0.51"/>
    <x v="658"/>
    <x v="4"/>
    <x v="0"/>
    <x v="1"/>
    <n v="4582.5583999999999"/>
    <n v="-630.72"/>
  </r>
  <r>
    <n v="2656"/>
    <s v="Ashley Hernandez"/>
    <x v="2"/>
    <x v="10"/>
    <x v="0"/>
    <n v="2666.2200000000003"/>
    <n v="0.51"/>
    <x v="142"/>
    <x v="380"/>
    <x v="1"/>
    <x v="1"/>
    <n v="5225.7912000000006"/>
    <n v="1096.6099999999999"/>
  </r>
  <r>
    <n v="1033"/>
    <s v="Toni Allison"/>
    <x v="5"/>
    <x v="6"/>
    <x v="0"/>
    <n v="3863.95"/>
    <n v="0.9"/>
    <x v="985"/>
    <x v="4"/>
    <x v="5"/>
    <x v="1"/>
    <n v="1545.5799999999995"/>
    <n v="386.39499999999987"/>
  </r>
  <r>
    <n v="2658"/>
    <s v="John Irwin"/>
    <x v="0"/>
    <x v="20"/>
    <x v="4"/>
    <n v="3726.31"/>
    <n v="0.51"/>
    <x v="986"/>
    <x v="4"/>
    <x v="2"/>
    <x v="0"/>
    <n v="9129.459499999999"/>
    <n v="1524.78"/>
  </r>
  <r>
    <n v="2659"/>
    <s v="Randall Mcdonald"/>
    <x v="4"/>
    <x v="14"/>
    <x v="0"/>
    <n v="1059.0899999999999"/>
    <n v="0.51"/>
    <x v="987"/>
    <x v="17"/>
    <x v="0"/>
    <x v="0"/>
    <n v="2075.8163999999997"/>
    <n v="-521.41"/>
  </r>
  <r>
    <n v="2660"/>
    <s v="Matthew Estes"/>
    <x v="4"/>
    <x v="16"/>
    <x v="0"/>
    <n v="2599.75"/>
    <n v="0.51"/>
    <x v="42"/>
    <x v="4"/>
    <x v="4"/>
    <x v="1"/>
    <n v="5095.51"/>
    <n v="1006.1"/>
  </r>
  <r>
    <n v="2661"/>
    <s v="Alexandra Washington"/>
    <x v="5"/>
    <x v="6"/>
    <x v="0"/>
    <n v="2975.64"/>
    <n v="0.51"/>
    <x v="61"/>
    <x v="141"/>
    <x v="1"/>
    <x v="1"/>
    <n v="5832.2543999999998"/>
    <n v="1249.5899999999999"/>
  </r>
  <r>
    <n v="2662"/>
    <s v="Joshua Warren"/>
    <x v="4"/>
    <x v="4"/>
    <x v="0"/>
    <n v="2718.51"/>
    <n v="0.51"/>
    <x v="988"/>
    <x v="220"/>
    <x v="5"/>
    <x v="0"/>
    <n v="5328.2796000000008"/>
    <n v="903.59"/>
  </r>
  <r>
    <n v="2663"/>
    <s v="Jeff Holland"/>
    <x v="3"/>
    <x v="7"/>
    <x v="3"/>
    <n v="2212.25"/>
    <n v="0.35"/>
    <x v="989"/>
    <x v="90"/>
    <x v="2"/>
    <x v="0"/>
    <n v="4313.8874999999998"/>
    <n v="2992.12"/>
  </r>
  <r>
    <n v="2664"/>
    <s v="Kristina Gutierrez"/>
    <x v="2"/>
    <x v="17"/>
    <x v="2"/>
    <n v="2385.5749999999998"/>
    <n v="0.51"/>
    <x v="502"/>
    <x v="505"/>
    <x v="4"/>
    <x v="0"/>
    <n v="2337.8634999999999"/>
    <n v="-338.97"/>
  </r>
  <r>
    <n v="2665"/>
    <s v="Briana Ford"/>
    <x v="1"/>
    <x v="18"/>
    <x v="3"/>
    <n v="2537.59"/>
    <n v="0.51"/>
    <x v="35"/>
    <x v="245"/>
    <x v="5"/>
    <x v="0"/>
    <n v="3730.2573000000002"/>
    <n v="122"/>
  </r>
  <r>
    <n v="2666"/>
    <s v="Gregory Douglas"/>
    <x v="5"/>
    <x v="12"/>
    <x v="3"/>
    <n v="2765.26"/>
    <n v="0.51"/>
    <x v="19"/>
    <x v="4"/>
    <x v="5"/>
    <x v="1"/>
    <n v="4064.9322000000002"/>
    <n v="1989.64"/>
  </r>
  <r>
    <n v="2667"/>
    <s v="Michelle Williams"/>
    <x v="4"/>
    <x v="16"/>
    <x v="1"/>
    <n v="4710.7700000000004"/>
    <n v="0.51"/>
    <x v="990"/>
    <x v="4"/>
    <x v="1"/>
    <x v="1"/>
    <n v="2308.2773000000002"/>
    <n v="577.06932500000005"/>
  </r>
  <r>
    <n v="2668"/>
    <s v="Brenda Cooper"/>
    <x v="4"/>
    <x v="14"/>
    <x v="1"/>
    <n v="2765.79"/>
    <n v="0.64"/>
    <x v="247"/>
    <x v="288"/>
    <x v="1"/>
    <x v="0"/>
    <n v="995.68439999999998"/>
    <n v="-3.95"/>
  </r>
  <r>
    <n v="2669"/>
    <s v="Nathaniel Ramos"/>
    <x v="4"/>
    <x v="16"/>
    <x v="0"/>
    <n v="2599.75"/>
    <n v="0.51"/>
    <x v="42"/>
    <x v="152"/>
    <x v="5"/>
    <x v="1"/>
    <n v="5095.51"/>
    <n v="-760.17"/>
  </r>
  <r>
    <n v="2670"/>
    <s v="Angela Hart MD"/>
    <x v="4"/>
    <x v="16"/>
    <x v="0"/>
    <n v="2599.75"/>
    <n v="0.51"/>
    <x v="42"/>
    <x v="189"/>
    <x v="5"/>
    <x v="0"/>
    <n v="5095.51"/>
    <n v="775.45"/>
  </r>
  <r>
    <n v="2671"/>
    <s v="Valerie Miles"/>
    <x v="3"/>
    <x v="23"/>
    <x v="6"/>
    <n v="2377.81"/>
    <n v="0.56999999999999995"/>
    <x v="991"/>
    <x v="4"/>
    <x v="2"/>
    <x v="1"/>
    <n v="3578.6040499999999"/>
    <n v="1967.3"/>
  </r>
  <r>
    <n v="1026"/>
    <s v="Timothy Murphy"/>
    <x v="5"/>
    <x v="11"/>
    <x v="3"/>
    <n v="2731.6350000000002"/>
    <n v="0.51"/>
    <x v="60"/>
    <x v="412"/>
    <x v="1"/>
    <x v="1"/>
    <n v="4015.5034500000002"/>
    <n v="2344.12"/>
  </r>
  <r>
    <n v="2673"/>
    <s v="Amanda Love"/>
    <x v="3"/>
    <x v="3"/>
    <x v="3"/>
    <n v="2515.415"/>
    <n v="0.51"/>
    <x v="11"/>
    <x v="4"/>
    <x v="3"/>
    <x v="1"/>
    <n v="3697.66005"/>
    <n v="2493.87"/>
  </r>
  <r>
    <n v="2674"/>
    <s v="Charles Friedman"/>
    <x v="4"/>
    <x v="14"/>
    <x v="0"/>
    <n v="1261.5899999999999"/>
    <n v="0.51"/>
    <x v="992"/>
    <x v="493"/>
    <x v="2"/>
    <x v="1"/>
    <n v="2472.7163999999998"/>
    <n v="534.09"/>
  </r>
  <r>
    <n v="2675"/>
    <s v="Jamie Wilkerson"/>
    <x v="2"/>
    <x v="2"/>
    <x v="1"/>
    <n v="2933.45"/>
    <n v="0.83"/>
    <x v="993"/>
    <x v="503"/>
    <x v="2"/>
    <x v="0"/>
    <n v="498.68650000000008"/>
    <n v="124.67162500000002"/>
  </r>
  <r>
    <n v="1014"/>
    <s v="Joshua Wade"/>
    <x v="0"/>
    <x v="5"/>
    <x v="3"/>
    <n v="3008.6549999999997"/>
    <n v="0.51"/>
    <x v="44"/>
    <x v="208"/>
    <x v="0"/>
    <x v="1"/>
    <n v="4422.7228500000001"/>
    <n v="2219.4899999999998"/>
  </r>
  <r>
    <n v="2677"/>
    <s v="Hailey Braun"/>
    <x v="2"/>
    <x v="13"/>
    <x v="4"/>
    <n v="1727.66"/>
    <n v="0.51"/>
    <x v="994"/>
    <x v="237"/>
    <x v="5"/>
    <x v="1"/>
    <n v="4232.7670000000007"/>
    <n v="-546.05999999999995"/>
  </r>
  <r>
    <n v="2678"/>
    <s v="Lauren Kelley"/>
    <x v="5"/>
    <x v="12"/>
    <x v="3"/>
    <n v="2765.26"/>
    <n v="0.51"/>
    <x v="19"/>
    <x v="156"/>
    <x v="4"/>
    <x v="0"/>
    <n v="4064.9322000000002"/>
    <n v="-333.97"/>
  </r>
  <r>
    <n v="2679"/>
    <s v="Nancy Palmer"/>
    <x v="3"/>
    <x v="21"/>
    <x v="0"/>
    <n v="2514.6999999999998"/>
    <n v="0.51"/>
    <x v="995"/>
    <x v="506"/>
    <x v="4"/>
    <x v="1"/>
    <n v="4928.8119999999999"/>
    <n v="2652.58"/>
  </r>
  <r>
    <n v="2680"/>
    <s v="Tiffany Baker"/>
    <x v="2"/>
    <x v="13"/>
    <x v="5"/>
    <n v="2538.0450000000001"/>
    <n v="0.51"/>
    <x v="174"/>
    <x v="4"/>
    <x v="0"/>
    <x v="1"/>
    <n v="7461.8523000000005"/>
    <n v="-963.81"/>
  </r>
  <r>
    <n v="2681"/>
    <s v="Jennifer Vargas"/>
    <x v="1"/>
    <x v="18"/>
    <x v="3"/>
    <n v="4770.92"/>
    <n v="0.51"/>
    <x v="996"/>
    <x v="507"/>
    <x v="5"/>
    <x v="1"/>
    <n v="7013.2524000000003"/>
    <n v="433.04"/>
  </r>
  <r>
    <n v="2682"/>
    <s v="Jeffrey Powell"/>
    <x v="4"/>
    <x v="16"/>
    <x v="0"/>
    <n v="4784.55"/>
    <n v="0.51"/>
    <x v="997"/>
    <x v="462"/>
    <x v="3"/>
    <x v="1"/>
    <n v="9377.7180000000008"/>
    <n v="2034.52"/>
  </r>
  <r>
    <n v="2683"/>
    <s v="Jillian Castillo"/>
    <x v="1"/>
    <x v="1"/>
    <x v="4"/>
    <n v="3163.97"/>
    <n v="0.51"/>
    <x v="998"/>
    <x v="4"/>
    <x v="0"/>
    <x v="1"/>
    <n v="7751.7264999999989"/>
    <n v="1411.27"/>
  </r>
  <r>
    <n v="2684"/>
    <s v="Mr. Robert Washington"/>
    <x v="2"/>
    <x v="17"/>
    <x v="3"/>
    <n v="794.81"/>
    <n v="0.51"/>
    <x v="999"/>
    <x v="508"/>
    <x v="3"/>
    <x v="1"/>
    <n v="1168.3706999999999"/>
    <n v="-391.38"/>
  </r>
  <r>
    <n v="2685"/>
    <s v="Nancy Carroll"/>
    <x v="2"/>
    <x v="10"/>
    <x v="0"/>
    <n v="1804.59"/>
    <n v="0.51"/>
    <x v="1000"/>
    <x v="199"/>
    <x v="1"/>
    <x v="1"/>
    <n v="3536.9964"/>
    <n v="-208.79"/>
  </r>
  <r>
    <n v="2686"/>
    <s v="Christopher Terrell"/>
    <x v="3"/>
    <x v="23"/>
    <x v="6"/>
    <n v="2338.04"/>
    <n v="0.49"/>
    <x v="171"/>
    <x v="4"/>
    <x v="5"/>
    <x v="1"/>
    <n v="4173.4013999999997"/>
    <n v="2957.49"/>
  </r>
  <r>
    <n v="2687"/>
    <s v="Erin Alvarado"/>
    <x v="2"/>
    <x v="10"/>
    <x v="0"/>
    <n v="2666.2200000000003"/>
    <n v="0.51"/>
    <x v="142"/>
    <x v="369"/>
    <x v="2"/>
    <x v="0"/>
    <n v="5225.7912000000006"/>
    <n v="510.99"/>
  </r>
  <r>
    <n v="2688"/>
    <s v="Brenda Williams"/>
    <x v="4"/>
    <x v="4"/>
    <x v="0"/>
    <n v="2001.5500000000002"/>
    <n v="0.11"/>
    <x v="5"/>
    <x v="4"/>
    <x v="4"/>
    <x v="0"/>
    <n v="7125.5180000000009"/>
    <n v="161.9"/>
  </r>
  <r>
    <n v="2689"/>
    <s v="Kendra James MD"/>
    <x v="3"/>
    <x v="23"/>
    <x v="0"/>
    <n v="4777.51"/>
    <n v="0.51"/>
    <x v="1001"/>
    <x v="21"/>
    <x v="4"/>
    <x v="1"/>
    <n v="9363.9196000000011"/>
    <n v="-204.04"/>
  </r>
  <r>
    <n v="2690"/>
    <s v="Tanya Johnson"/>
    <x v="0"/>
    <x v="20"/>
    <x v="4"/>
    <n v="2862.03"/>
    <n v="0.51"/>
    <x v="1002"/>
    <x v="509"/>
    <x v="2"/>
    <x v="1"/>
    <n v="7011.973500000001"/>
    <n v="115.86"/>
  </r>
  <r>
    <n v="2691"/>
    <s v="Kim Mendez"/>
    <x v="4"/>
    <x v="4"/>
    <x v="1"/>
    <n v="2001.5500000000002"/>
    <n v="0.5"/>
    <x v="1003"/>
    <x v="418"/>
    <x v="3"/>
    <x v="1"/>
    <n v="1000.7750000000001"/>
    <n v="-182.86"/>
  </r>
  <r>
    <n v="2692"/>
    <s v="Daniel Hale"/>
    <x v="5"/>
    <x v="19"/>
    <x v="0"/>
    <n v="2889.5349999999999"/>
    <n v="0.51"/>
    <x v="36"/>
    <x v="68"/>
    <x v="2"/>
    <x v="1"/>
    <n v="5663.4885999999997"/>
    <n v="-364.29"/>
  </r>
  <r>
    <n v="2693"/>
    <s v="Lisa Weaver"/>
    <x v="0"/>
    <x v="5"/>
    <x v="0"/>
    <n v="4366.3999999999996"/>
    <n v="0.51"/>
    <x v="1004"/>
    <x v="4"/>
    <x v="4"/>
    <x v="1"/>
    <n v="8558.1439999999984"/>
    <n v="-542.72"/>
  </r>
  <r>
    <n v="2694"/>
    <s v="Gabriel Williams"/>
    <x v="2"/>
    <x v="13"/>
    <x v="0"/>
    <n v="1617.83"/>
    <n v="0.51"/>
    <x v="1005"/>
    <x v="74"/>
    <x v="0"/>
    <x v="1"/>
    <n v="3170.9467999999997"/>
    <n v="1532.93"/>
  </r>
  <r>
    <n v="2695"/>
    <s v="Kevin Gilbert"/>
    <x v="0"/>
    <x v="5"/>
    <x v="3"/>
    <n v="4834.87"/>
    <n v="0.51"/>
    <x v="1006"/>
    <x v="4"/>
    <x v="3"/>
    <x v="1"/>
    <n v="7107.2588999999998"/>
    <n v="1655.07"/>
  </r>
  <r>
    <n v="2696"/>
    <s v="Tyrone Brown"/>
    <x v="1"/>
    <x v="1"/>
    <x v="0"/>
    <n v="2579.8000000000002"/>
    <n v="0.51"/>
    <x v="22"/>
    <x v="25"/>
    <x v="1"/>
    <x v="1"/>
    <n v="5056.4080000000004"/>
    <n v="-804.09"/>
  </r>
  <r>
    <n v="2697"/>
    <s v="Krystal Cortez"/>
    <x v="5"/>
    <x v="12"/>
    <x v="3"/>
    <n v="3300.82"/>
    <n v="0.51"/>
    <x v="1007"/>
    <x v="341"/>
    <x v="1"/>
    <x v="1"/>
    <n v="4852.2054000000007"/>
    <n v="394.83"/>
  </r>
  <r>
    <n v="2698"/>
    <s v="Theresa Barnes"/>
    <x v="1"/>
    <x v="15"/>
    <x v="3"/>
    <n v="1810.81"/>
    <n v="0.5"/>
    <x v="1008"/>
    <x v="4"/>
    <x v="5"/>
    <x v="0"/>
    <n v="2716.2150000000001"/>
    <n v="1605.28"/>
  </r>
  <r>
    <n v="2699"/>
    <s v="Elizabeth Obrien"/>
    <x v="0"/>
    <x v="9"/>
    <x v="5"/>
    <n v="2891.64"/>
    <n v="0.51"/>
    <x v="1009"/>
    <x v="343"/>
    <x v="0"/>
    <x v="0"/>
    <n v="8501.4215999999997"/>
    <n v="1068.6600000000001"/>
  </r>
  <r>
    <n v="2700"/>
    <s v="Crystal Mercer"/>
    <x v="2"/>
    <x v="17"/>
    <x v="3"/>
    <n v="2385.5749999999998"/>
    <n v="0.51"/>
    <x v="91"/>
    <x v="4"/>
    <x v="2"/>
    <x v="1"/>
    <n v="3506.7952499999997"/>
    <n v="588.04"/>
  </r>
  <r>
    <n v="2701"/>
    <s v="Crystal Campbell"/>
    <x v="3"/>
    <x v="21"/>
    <x v="0"/>
    <n v="2085.92"/>
    <n v="0.51"/>
    <x v="1010"/>
    <x v="294"/>
    <x v="3"/>
    <x v="0"/>
    <n v="4088.4032000000002"/>
    <n v="1301.3699999999999"/>
  </r>
  <r>
    <n v="2702"/>
    <s v="Linda Figueroa"/>
    <x v="4"/>
    <x v="16"/>
    <x v="0"/>
    <n v="2599.75"/>
    <n v="0.51"/>
    <x v="42"/>
    <x v="497"/>
    <x v="4"/>
    <x v="1"/>
    <n v="5095.51"/>
    <n v="606.51"/>
  </r>
  <r>
    <n v="2703"/>
    <s v="Jesse Peck"/>
    <x v="3"/>
    <x v="3"/>
    <x v="3"/>
    <n v="2515.415"/>
    <n v="0.51"/>
    <x v="11"/>
    <x v="510"/>
    <x v="4"/>
    <x v="0"/>
    <n v="3697.66005"/>
    <n v="2193.86"/>
  </r>
  <r>
    <n v="2704"/>
    <s v="Yvonne Williams"/>
    <x v="1"/>
    <x v="15"/>
    <x v="1"/>
    <n v="2229.4899999999998"/>
    <n v="0.51"/>
    <x v="67"/>
    <x v="177"/>
    <x v="2"/>
    <x v="0"/>
    <n v="1092.4500999999998"/>
    <n v="7.12"/>
  </r>
  <r>
    <n v="2705"/>
    <s v="Randy Miller"/>
    <x v="5"/>
    <x v="6"/>
    <x v="0"/>
    <n v="4870.82"/>
    <n v="0.51"/>
    <x v="1011"/>
    <x v="34"/>
    <x v="0"/>
    <x v="1"/>
    <n v="9546.8071999999993"/>
    <n v="2833.18"/>
  </r>
  <r>
    <n v="2706"/>
    <s v="Julia Fuentes"/>
    <x v="4"/>
    <x v="14"/>
    <x v="5"/>
    <n v="2765.79"/>
    <n v="0.51"/>
    <x v="153"/>
    <x v="134"/>
    <x v="5"/>
    <x v="1"/>
    <n v="8131.422599999999"/>
    <n v="2379.5"/>
  </r>
  <r>
    <n v="2707"/>
    <s v="Michaela Key"/>
    <x v="1"/>
    <x v="1"/>
    <x v="4"/>
    <n v="2579.8000000000002"/>
    <n v="0.51"/>
    <x v="596"/>
    <x v="493"/>
    <x v="2"/>
    <x v="1"/>
    <n v="6320.51"/>
    <n v="2763.02"/>
  </r>
  <r>
    <n v="2708"/>
    <s v="Benjamin Hicks"/>
    <x v="3"/>
    <x v="3"/>
    <x v="0"/>
    <n v="4882.6899999999996"/>
    <n v="0.51"/>
    <x v="1012"/>
    <x v="66"/>
    <x v="2"/>
    <x v="1"/>
    <n v="9570.0723999999991"/>
    <n v="2658.6"/>
  </r>
  <r>
    <n v="2709"/>
    <s v="Amanda Gonzalez"/>
    <x v="1"/>
    <x v="15"/>
    <x v="3"/>
    <n v="2229.4899999999998"/>
    <n v="0.3"/>
    <x v="30"/>
    <x v="365"/>
    <x v="4"/>
    <x v="1"/>
    <n v="4681.9289999999992"/>
    <n v="-473.04"/>
  </r>
  <r>
    <n v="2710"/>
    <s v="Brittney Perez"/>
    <x v="5"/>
    <x v="19"/>
    <x v="0"/>
    <n v="2565.5500000000002"/>
    <n v="0.51"/>
    <x v="1013"/>
    <x v="30"/>
    <x v="3"/>
    <x v="1"/>
    <n v="5028.4780000000001"/>
    <n v="62.05"/>
  </r>
  <r>
    <n v="2711"/>
    <s v="Matthew Valenzuela"/>
    <x v="5"/>
    <x v="19"/>
    <x v="0"/>
    <n v="2889.5349999999999"/>
    <n v="0.51"/>
    <x v="36"/>
    <x v="442"/>
    <x v="5"/>
    <x v="1"/>
    <n v="5663.4885999999997"/>
    <n v="-25.26"/>
  </r>
  <r>
    <n v="2712"/>
    <s v="Michael Ball"/>
    <x v="1"/>
    <x v="22"/>
    <x v="6"/>
    <n v="2752.99"/>
    <n v="0.51"/>
    <x v="201"/>
    <x v="98"/>
    <x v="3"/>
    <x v="1"/>
    <n v="4721.3778499999999"/>
    <n v="-973.58"/>
  </r>
  <r>
    <n v="2713"/>
    <s v="Nicholas Mitchell"/>
    <x v="2"/>
    <x v="10"/>
    <x v="0"/>
    <n v="1559.67"/>
    <n v="0.51"/>
    <x v="1014"/>
    <x v="16"/>
    <x v="5"/>
    <x v="0"/>
    <n v="3056.9531999999999"/>
    <n v="2605.5500000000002"/>
  </r>
  <r>
    <n v="2714"/>
    <s v="Alec Santos"/>
    <x v="2"/>
    <x v="17"/>
    <x v="3"/>
    <n v="1171.79"/>
    <n v="0.51"/>
    <x v="1015"/>
    <x v="4"/>
    <x v="0"/>
    <x v="1"/>
    <n v="1722.5312999999999"/>
    <n v="-392.96"/>
  </r>
  <r>
    <n v="2715"/>
    <s v="Karen Flores"/>
    <x v="2"/>
    <x v="13"/>
    <x v="0"/>
    <n v="2538.0450000000001"/>
    <n v="0.51"/>
    <x v="21"/>
    <x v="511"/>
    <x v="1"/>
    <x v="0"/>
    <n v="4974.5681999999997"/>
    <n v="-144.72"/>
  </r>
  <r>
    <n v="2716"/>
    <s v="Courtney Pearson"/>
    <x v="2"/>
    <x v="2"/>
    <x v="1"/>
    <n v="2933.45"/>
    <n v="0.49"/>
    <x v="993"/>
    <x v="4"/>
    <x v="5"/>
    <x v="1"/>
    <n v="1496.0594999999998"/>
    <n v="374.01487499999996"/>
  </r>
  <r>
    <n v="2717"/>
    <s v="Bethany Johnson"/>
    <x v="0"/>
    <x v="5"/>
    <x v="2"/>
    <n v="3008.6549999999997"/>
    <n v="0.51"/>
    <x v="92"/>
    <x v="209"/>
    <x v="5"/>
    <x v="0"/>
    <n v="2948.4818999999998"/>
    <n v="2786.83"/>
  </r>
  <r>
    <n v="2718"/>
    <s v="Lawrence Turner"/>
    <x v="0"/>
    <x v="0"/>
    <x v="3"/>
    <n v="909.31"/>
    <n v="0.51"/>
    <x v="1016"/>
    <x v="29"/>
    <x v="5"/>
    <x v="1"/>
    <n v="1336.6857"/>
    <n v="334.171425"/>
  </r>
  <r>
    <n v="2719"/>
    <s v="Nicholas Miller"/>
    <x v="5"/>
    <x v="6"/>
    <x v="0"/>
    <n v="1602.49"/>
    <n v="0.51"/>
    <x v="1017"/>
    <x v="156"/>
    <x v="3"/>
    <x v="1"/>
    <n v="3140.8804"/>
    <n v="-886.11"/>
  </r>
  <r>
    <n v="2720"/>
    <s v="Tracy Howard"/>
    <x v="5"/>
    <x v="12"/>
    <x v="3"/>
    <n v="3476.53"/>
    <n v="0.51"/>
    <x v="1018"/>
    <x v="299"/>
    <x v="5"/>
    <x v="1"/>
    <n v="5110.4991"/>
    <n v="-522.33000000000004"/>
  </r>
  <r>
    <n v="2721"/>
    <s v="Jessica Stone"/>
    <x v="0"/>
    <x v="9"/>
    <x v="0"/>
    <n v="1109.5999999999999"/>
    <n v="0.04"/>
    <x v="1019"/>
    <x v="4"/>
    <x v="4"/>
    <x v="1"/>
    <n v="4260.8639999999996"/>
    <n v="885.21"/>
  </r>
  <r>
    <n v="2722"/>
    <s v="Brandy Sellers"/>
    <x v="0"/>
    <x v="20"/>
    <x v="4"/>
    <n v="2750.33"/>
    <n v="0.51"/>
    <x v="52"/>
    <x v="4"/>
    <x v="3"/>
    <x v="0"/>
    <n v="6738.3085000000001"/>
    <n v="-367.6"/>
  </r>
  <r>
    <n v="2723"/>
    <s v="Andrea Parker"/>
    <x v="4"/>
    <x v="14"/>
    <x v="0"/>
    <n v="2765.79"/>
    <n v="0.51"/>
    <x v="25"/>
    <x v="357"/>
    <x v="5"/>
    <x v="1"/>
    <n v="5420.9484000000002"/>
    <n v="253.64"/>
  </r>
  <r>
    <n v="2724"/>
    <s v="Carlos Hernandez"/>
    <x v="0"/>
    <x v="0"/>
    <x v="0"/>
    <n v="716.3"/>
    <n v="0.51"/>
    <x v="1020"/>
    <x v="235"/>
    <x v="0"/>
    <x v="0"/>
    <n v="1403.9479999999999"/>
    <n v="-400.16"/>
  </r>
  <r>
    <n v="2725"/>
    <s v="Marvin Williams"/>
    <x v="1"/>
    <x v="22"/>
    <x v="6"/>
    <n v="2752.99"/>
    <n v="0.51"/>
    <x v="201"/>
    <x v="53"/>
    <x v="4"/>
    <x v="1"/>
    <n v="4721.3778499999999"/>
    <n v="2116.0700000000002"/>
  </r>
  <r>
    <n v="2726"/>
    <s v="Brittney Hamilton"/>
    <x v="5"/>
    <x v="11"/>
    <x v="3"/>
    <n v="2731.6350000000002"/>
    <n v="0.17"/>
    <x v="60"/>
    <x v="4"/>
    <x v="2"/>
    <x v="1"/>
    <n v="6801.7711500000005"/>
    <n v="1751.12"/>
  </r>
  <r>
    <n v="2727"/>
    <s v="Sharon Russell"/>
    <x v="3"/>
    <x v="7"/>
    <x v="2"/>
    <n v="2577.6350000000002"/>
    <n v="0.51"/>
    <x v="32"/>
    <x v="512"/>
    <x v="1"/>
    <x v="1"/>
    <n v="2526.0823"/>
    <n v="1804.04"/>
  </r>
  <r>
    <n v="2728"/>
    <s v="Shelly Richardson"/>
    <x v="4"/>
    <x v="4"/>
    <x v="0"/>
    <n v="1935.05"/>
    <n v="0.51"/>
    <x v="1021"/>
    <x v="408"/>
    <x v="3"/>
    <x v="1"/>
    <n v="3792.6979999999999"/>
    <n v="1483.93"/>
  </r>
  <r>
    <n v="2729"/>
    <s v="Alexander Cox"/>
    <x v="5"/>
    <x v="19"/>
    <x v="4"/>
    <n v="2889.5349999999999"/>
    <n v="0.51"/>
    <x v="372"/>
    <x v="4"/>
    <x v="1"/>
    <x v="1"/>
    <n v="7079.3607499999998"/>
    <n v="-973.04"/>
  </r>
  <r>
    <n v="2730"/>
    <s v="Jessica White"/>
    <x v="4"/>
    <x v="14"/>
    <x v="0"/>
    <n v="2765.79"/>
    <n v="0.51"/>
    <x v="25"/>
    <x v="360"/>
    <x v="0"/>
    <x v="1"/>
    <n v="5420.9484000000002"/>
    <n v="2203.9699999999998"/>
  </r>
  <r>
    <n v="2731"/>
    <s v="David Hawkins"/>
    <x v="1"/>
    <x v="1"/>
    <x v="0"/>
    <n v="1635.12"/>
    <n v="0.51"/>
    <x v="1022"/>
    <x v="426"/>
    <x v="2"/>
    <x v="1"/>
    <n v="3204.8351999999995"/>
    <n v="-526.88"/>
  </r>
  <r>
    <n v="2732"/>
    <s v="Thomas Pham"/>
    <x v="2"/>
    <x v="17"/>
    <x v="5"/>
    <n v="2385.5749999999998"/>
    <n v="0.55000000000000004"/>
    <x v="802"/>
    <x v="4"/>
    <x v="4"/>
    <x v="0"/>
    <n v="6441.0524999999989"/>
    <n v="-833.43"/>
  </r>
  <r>
    <n v="2733"/>
    <s v="Karen Brown"/>
    <x v="0"/>
    <x v="5"/>
    <x v="3"/>
    <n v="3008.6549999999997"/>
    <n v="0.51"/>
    <x v="44"/>
    <x v="335"/>
    <x v="2"/>
    <x v="1"/>
    <n v="4422.7228500000001"/>
    <n v="2523.7199999999998"/>
  </r>
  <r>
    <n v="2734"/>
    <s v="Elizabeth Ingram"/>
    <x v="5"/>
    <x v="12"/>
    <x v="0"/>
    <n v="3261.51"/>
    <n v="0.82"/>
    <x v="1023"/>
    <x v="4"/>
    <x v="4"/>
    <x v="1"/>
    <n v="2348.2872000000007"/>
    <n v="1429.02"/>
  </r>
  <r>
    <n v="2735"/>
    <s v="Jermaine Hicks"/>
    <x v="3"/>
    <x v="7"/>
    <x v="3"/>
    <n v="541.71"/>
    <n v="0.51"/>
    <x v="1024"/>
    <x v="283"/>
    <x v="3"/>
    <x v="1"/>
    <n v="796.31370000000004"/>
    <n v="199.07842500000001"/>
  </r>
  <r>
    <n v="2736"/>
    <s v="Mary Gomez"/>
    <x v="0"/>
    <x v="0"/>
    <x v="0"/>
    <n v="2366.6149999999998"/>
    <n v="0.51"/>
    <x v="81"/>
    <x v="245"/>
    <x v="0"/>
    <x v="1"/>
    <n v="4638.5653999999995"/>
    <n v="-253.78"/>
  </r>
  <r>
    <n v="2737"/>
    <s v="Adrian Martinez"/>
    <x v="3"/>
    <x v="21"/>
    <x v="0"/>
    <n v="1927.98"/>
    <n v="0.51"/>
    <x v="1025"/>
    <x v="78"/>
    <x v="5"/>
    <x v="1"/>
    <n v="3778.8407999999999"/>
    <n v="-251.21"/>
  </r>
  <r>
    <n v="2738"/>
    <s v="Joshua Obrien"/>
    <x v="5"/>
    <x v="12"/>
    <x v="3"/>
    <n v="2765.26"/>
    <n v="0.55000000000000004"/>
    <x v="19"/>
    <x v="267"/>
    <x v="2"/>
    <x v="1"/>
    <n v="3733.1010000000001"/>
    <n v="733.8"/>
  </r>
  <r>
    <n v="2739"/>
    <s v="Brianna Little"/>
    <x v="2"/>
    <x v="17"/>
    <x v="0"/>
    <n v="4316.8500000000004"/>
    <n v="0.51"/>
    <x v="1026"/>
    <x v="36"/>
    <x v="1"/>
    <x v="1"/>
    <n v="8461.0259999999998"/>
    <n v="2259.3000000000002"/>
  </r>
  <r>
    <n v="2740"/>
    <s v="Todd Smith"/>
    <x v="0"/>
    <x v="5"/>
    <x v="1"/>
    <n v="3008.6549999999997"/>
    <n v="0.51"/>
    <x v="18"/>
    <x v="4"/>
    <x v="2"/>
    <x v="1"/>
    <n v="1474.2409499999999"/>
    <n v="996.39"/>
  </r>
  <r>
    <n v="2741"/>
    <s v="Michael Lee"/>
    <x v="1"/>
    <x v="15"/>
    <x v="1"/>
    <n v="2229.4899999999998"/>
    <n v="0.53"/>
    <x v="67"/>
    <x v="133"/>
    <x v="2"/>
    <x v="0"/>
    <n v="1047.8602999999998"/>
    <n v="261.96507499999996"/>
  </r>
  <r>
    <n v="2742"/>
    <s v="Sandra Hobbs"/>
    <x v="3"/>
    <x v="3"/>
    <x v="3"/>
    <n v="2515.415"/>
    <n v="0.51"/>
    <x v="11"/>
    <x v="1"/>
    <x v="3"/>
    <x v="0"/>
    <n v="3697.66005"/>
    <n v="1045.71"/>
  </r>
  <r>
    <n v="1032"/>
    <s v="Walter Stanton"/>
    <x v="1"/>
    <x v="15"/>
    <x v="3"/>
    <n v="4146.91"/>
    <n v="0.51"/>
    <x v="1027"/>
    <x v="78"/>
    <x v="0"/>
    <x v="1"/>
    <n v="6095.9576999999999"/>
    <n v="930.16"/>
  </r>
  <r>
    <n v="2744"/>
    <s v="Wendy Ellison"/>
    <x v="4"/>
    <x v="4"/>
    <x v="0"/>
    <n v="2001.5500000000002"/>
    <n v="0.51"/>
    <x v="5"/>
    <x v="4"/>
    <x v="2"/>
    <x v="1"/>
    <n v="3923.0380000000005"/>
    <n v="-635.51"/>
  </r>
  <r>
    <n v="2745"/>
    <s v="Robert Gray"/>
    <x v="0"/>
    <x v="0"/>
    <x v="0"/>
    <n v="869.82"/>
    <n v="0.51"/>
    <x v="1028"/>
    <x v="447"/>
    <x v="3"/>
    <x v="0"/>
    <n v="1704.8472000000002"/>
    <n v="737.77"/>
  </r>
  <r>
    <n v="2746"/>
    <s v="Holly Mclean"/>
    <x v="0"/>
    <x v="0"/>
    <x v="0"/>
    <n v="668.51"/>
    <n v="0.51"/>
    <x v="1029"/>
    <x v="125"/>
    <x v="3"/>
    <x v="0"/>
    <n v="1310.2795999999998"/>
    <n v="327.56989999999996"/>
  </r>
  <r>
    <n v="2747"/>
    <s v="Rebekah Wolf"/>
    <x v="4"/>
    <x v="16"/>
    <x v="1"/>
    <n v="1369.29"/>
    <n v="0.51"/>
    <x v="1030"/>
    <x v="341"/>
    <x v="2"/>
    <x v="0"/>
    <n v="670.95209999999997"/>
    <n v="325.08"/>
  </r>
  <r>
    <n v="2748"/>
    <s v="Laura Hernandez"/>
    <x v="3"/>
    <x v="21"/>
    <x v="0"/>
    <n v="3977.88"/>
    <n v="0.51"/>
    <x v="1031"/>
    <x v="394"/>
    <x v="1"/>
    <x v="0"/>
    <n v="7796.6448"/>
    <n v="2431.13"/>
  </r>
  <r>
    <n v="2749"/>
    <s v="Brandon Richmond"/>
    <x v="1"/>
    <x v="1"/>
    <x v="4"/>
    <n v="2579.8000000000002"/>
    <n v="0.51"/>
    <x v="596"/>
    <x v="4"/>
    <x v="5"/>
    <x v="1"/>
    <n v="6320.51"/>
    <n v="2595.31"/>
  </r>
  <r>
    <n v="1049"/>
    <s v="Paul Thompson"/>
    <x v="1"/>
    <x v="22"/>
    <x v="6"/>
    <n v="1360.22"/>
    <n v="0.51"/>
    <x v="1032"/>
    <x v="502"/>
    <x v="2"/>
    <x v="1"/>
    <n v="2332.7773000000002"/>
    <n v="276.89999999999998"/>
  </r>
  <r>
    <n v="2751"/>
    <s v="Tyler Curtis"/>
    <x v="1"/>
    <x v="22"/>
    <x v="6"/>
    <n v="2752.99"/>
    <n v="0.98"/>
    <x v="201"/>
    <x v="72"/>
    <x v="3"/>
    <x v="1"/>
    <n v="192.70930000000018"/>
    <n v="48.177325000000046"/>
  </r>
  <r>
    <n v="2752"/>
    <s v="Mrs. Andrea Skinner MD"/>
    <x v="2"/>
    <x v="10"/>
    <x v="0"/>
    <n v="4552.8"/>
    <n v="0.51"/>
    <x v="1033"/>
    <x v="4"/>
    <x v="5"/>
    <x v="1"/>
    <n v="8923.4879999999994"/>
    <n v="1802.91"/>
  </r>
  <r>
    <n v="1002"/>
    <s v="Jeff Bowman"/>
    <x v="0"/>
    <x v="5"/>
    <x v="3"/>
    <n v="4351.1099999999997"/>
    <n v="0.51"/>
    <x v="1034"/>
    <x v="42"/>
    <x v="5"/>
    <x v="0"/>
    <n v="6396.131699999999"/>
    <n v="-190.68"/>
  </r>
  <r>
    <n v="2754"/>
    <s v="Alexandra Perez"/>
    <x v="0"/>
    <x v="9"/>
    <x v="1"/>
    <n v="2891.64"/>
    <n v="0.51"/>
    <x v="122"/>
    <x v="266"/>
    <x v="3"/>
    <x v="1"/>
    <n v="1416.9035999999999"/>
    <n v="-0.15"/>
  </r>
  <r>
    <n v="2755"/>
    <s v="Todd Lynch"/>
    <x v="3"/>
    <x v="21"/>
    <x v="0"/>
    <n v="2785.79"/>
    <n v="0.32"/>
    <x v="110"/>
    <x v="513"/>
    <x v="0"/>
    <x v="1"/>
    <n v="7577.3487999999988"/>
    <n v="1174.6400000000001"/>
  </r>
  <r>
    <n v="2756"/>
    <s v="Alan Beard"/>
    <x v="4"/>
    <x v="14"/>
    <x v="5"/>
    <n v="2765.79"/>
    <n v="0.51"/>
    <x v="153"/>
    <x v="110"/>
    <x v="5"/>
    <x v="0"/>
    <n v="8131.422599999999"/>
    <n v="813.53"/>
  </r>
  <r>
    <n v="2757"/>
    <s v="Stephanie Jensen"/>
    <x v="3"/>
    <x v="23"/>
    <x v="3"/>
    <n v="4923.95"/>
    <n v="0.51"/>
    <x v="1035"/>
    <x v="480"/>
    <x v="5"/>
    <x v="1"/>
    <n v="7238.2064999999993"/>
    <n v="794.65"/>
  </r>
  <r>
    <n v="1029"/>
    <s v="Nicholas Morgan"/>
    <x v="4"/>
    <x v="8"/>
    <x v="3"/>
    <n v="2965.32"/>
    <n v="0.51"/>
    <x v="1036"/>
    <x v="4"/>
    <x v="2"/>
    <x v="0"/>
    <n v="4359.0204000000003"/>
    <n v="-786.53"/>
  </r>
  <r>
    <n v="2759"/>
    <s v="Mr. Kenneth Anderson"/>
    <x v="2"/>
    <x v="17"/>
    <x v="3"/>
    <n v="2385.5749999999998"/>
    <n v="0.9"/>
    <x v="91"/>
    <x v="332"/>
    <x v="1"/>
    <x v="1"/>
    <n v="715.67249999999979"/>
    <n v="-300.89999999999998"/>
  </r>
  <r>
    <n v="2760"/>
    <s v="Brian Craig"/>
    <x v="2"/>
    <x v="13"/>
    <x v="0"/>
    <n v="2538.0450000000001"/>
    <n v="0.51"/>
    <x v="21"/>
    <x v="458"/>
    <x v="0"/>
    <x v="1"/>
    <n v="4974.5681999999997"/>
    <n v="-833.77"/>
  </r>
  <r>
    <n v="2761"/>
    <s v="Andrea West"/>
    <x v="5"/>
    <x v="11"/>
    <x v="3"/>
    <n v="3586.76"/>
    <n v="0.51"/>
    <x v="1037"/>
    <x v="29"/>
    <x v="5"/>
    <x v="0"/>
    <n v="5272.5372000000007"/>
    <n v="594.95000000000005"/>
  </r>
  <r>
    <n v="2762"/>
    <s v="Sara Miller"/>
    <x v="5"/>
    <x v="12"/>
    <x v="3"/>
    <n v="1278.8499999999999"/>
    <n v="0.51"/>
    <x v="1038"/>
    <x v="394"/>
    <x v="4"/>
    <x v="1"/>
    <n v="1879.9094999999998"/>
    <n v="469.97737499999994"/>
  </r>
  <r>
    <n v="2763"/>
    <s v="Steven Sharp"/>
    <x v="3"/>
    <x v="23"/>
    <x v="3"/>
    <n v="3360.01"/>
    <n v="0.51"/>
    <x v="1039"/>
    <x v="4"/>
    <x v="4"/>
    <x v="1"/>
    <n v="4939.2147000000004"/>
    <n v="1547.22"/>
  </r>
  <r>
    <n v="2764"/>
    <s v="Sandra Hudson"/>
    <x v="3"/>
    <x v="21"/>
    <x v="3"/>
    <n v="2785.79"/>
    <n v="0.51"/>
    <x v="160"/>
    <x v="87"/>
    <x v="1"/>
    <x v="1"/>
    <n v="4095.1112999999996"/>
    <n v="2347.0700000000002"/>
  </r>
  <r>
    <n v="2765"/>
    <s v="Joseph Williams"/>
    <x v="5"/>
    <x v="12"/>
    <x v="3"/>
    <n v="2765.26"/>
    <n v="0.51"/>
    <x v="19"/>
    <x v="74"/>
    <x v="5"/>
    <x v="1"/>
    <n v="4064.9322000000002"/>
    <n v="2047.44"/>
  </r>
  <r>
    <n v="2766"/>
    <s v="Brian Wells"/>
    <x v="0"/>
    <x v="9"/>
    <x v="0"/>
    <n v="2891.64"/>
    <n v="0.51"/>
    <x v="12"/>
    <x v="273"/>
    <x v="5"/>
    <x v="0"/>
    <n v="5667.6143999999995"/>
    <n v="621.85"/>
  </r>
  <r>
    <n v="2767"/>
    <s v="Justin Charles"/>
    <x v="4"/>
    <x v="14"/>
    <x v="0"/>
    <n v="4149.42"/>
    <n v="0.13"/>
    <x v="1040"/>
    <x v="4"/>
    <x v="4"/>
    <x v="1"/>
    <n v="14439.981600000001"/>
    <n v="1926.29"/>
  </r>
  <r>
    <n v="2768"/>
    <s v="Hannah Allen"/>
    <x v="4"/>
    <x v="8"/>
    <x v="3"/>
    <n v="3027.66"/>
    <n v="0.69"/>
    <x v="94"/>
    <x v="323"/>
    <x v="5"/>
    <x v="0"/>
    <n v="2815.7238000000002"/>
    <n v="465.45"/>
  </r>
  <r>
    <n v="2769"/>
    <s v="Jennifer Hall"/>
    <x v="4"/>
    <x v="16"/>
    <x v="0"/>
    <n v="2599.75"/>
    <n v="0.51"/>
    <x v="42"/>
    <x v="121"/>
    <x v="1"/>
    <x v="1"/>
    <n v="5095.51"/>
    <n v="2102.88"/>
  </r>
  <r>
    <n v="2770"/>
    <s v="Angela Carlson"/>
    <x v="4"/>
    <x v="14"/>
    <x v="0"/>
    <n v="1439.18"/>
    <n v="0.49"/>
    <x v="1041"/>
    <x v="456"/>
    <x v="5"/>
    <x v="0"/>
    <n v="2935.9272000000001"/>
    <n v="2007.56"/>
  </r>
  <r>
    <n v="1032"/>
    <s v="David Garner"/>
    <x v="2"/>
    <x v="2"/>
    <x v="0"/>
    <n v="3956.83"/>
    <n v="0.51"/>
    <x v="1042"/>
    <x v="212"/>
    <x v="4"/>
    <x v="1"/>
    <n v="7755.3867999999993"/>
    <n v="1061.44"/>
  </r>
  <r>
    <n v="2772"/>
    <s v="Antonio Crosby"/>
    <x v="0"/>
    <x v="20"/>
    <x v="4"/>
    <n v="2750.33"/>
    <n v="0.51"/>
    <x v="52"/>
    <x v="382"/>
    <x v="4"/>
    <x v="1"/>
    <n v="6738.3085000000001"/>
    <n v="-865.59"/>
  </r>
  <r>
    <n v="2773"/>
    <s v="Erin Kim"/>
    <x v="1"/>
    <x v="15"/>
    <x v="3"/>
    <n v="2229.4899999999998"/>
    <n v="0.51"/>
    <x v="30"/>
    <x v="4"/>
    <x v="1"/>
    <x v="0"/>
    <n v="3277.3502999999996"/>
    <n v="1944.87"/>
  </r>
  <r>
    <n v="2774"/>
    <s v="Paul Harvey"/>
    <x v="3"/>
    <x v="7"/>
    <x v="3"/>
    <n v="2577.6350000000002"/>
    <n v="0.51"/>
    <x v="8"/>
    <x v="447"/>
    <x v="2"/>
    <x v="1"/>
    <n v="3789.12345"/>
    <n v="1081.4100000000001"/>
  </r>
  <r>
    <n v="2775"/>
    <s v="Christopher Kidd"/>
    <x v="2"/>
    <x v="10"/>
    <x v="4"/>
    <n v="2666.2200000000003"/>
    <n v="0.46"/>
    <x v="375"/>
    <x v="503"/>
    <x v="1"/>
    <x v="1"/>
    <n v="7198.7940000000017"/>
    <n v="1182.1199999999999"/>
  </r>
  <r>
    <n v="2776"/>
    <s v="Wesley Valencia"/>
    <x v="1"/>
    <x v="22"/>
    <x v="6"/>
    <n v="891.42"/>
    <n v="0.51"/>
    <x v="1043"/>
    <x v="198"/>
    <x v="2"/>
    <x v="0"/>
    <n v="1528.7852999999998"/>
    <n v="664.02"/>
  </r>
  <r>
    <n v="2777"/>
    <s v="Janet Chang"/>
    <x v="2"/>
    <x v="10"/>
    <x v="0"/>
    <n v="2666.2200000000003"/>
    <n v="0.42"/>
    <x v="142"/>
    <x v="191"/>
    <x v="5"/>
    <x v="1"/>
    <n v="6185.6304000000009"/>
    <n v="1373.67"/>
  </r>
  <r>
    <n v="2778"/>
    <s v="Ashley Bishop"/>
    <x v="5"/>
    <x v="12"/>
    <x v="3"/>
    <n v="578.58000000000004"/>
    <n v="0.51"/>
    <x v="1044"/>
    <x v="124"/>
    <x v="1"/>
    <x v="1"/>
    <n v="850.51260000000013"/>
    <n v="414.18"/>
  </r>
  <r>
    <n v="2779"/>
    <s v="Rebecca Marsh"/>
    <x v="4"/>
    <x v="4"/>
    <x v="0"/>
    <n v="2001.5500000000002"/>
    <n v="0.4"/>
    <x v="5"/>
    <x v="265"/>
    <x v="5"/>
    <x v="1"/>
    <n v="4803.72"/>
    <n v="2573.85"/>
  </r>
  <r>
    <n v="2780"/>
    <s v="Ebony Jones"/>
    <x v="5"/>
    <x v="6"/>
    <x v="0"/>
    <n v="2534.9"/>
    <n v="0.51"/>
    <x v="1045"/>
    <x v="275"/>
    <x v="1"/>
    <x v="1"/>
    <n v="4968.4040000000005"/>
    <n v="1529.17"/>
  </r>
  <r>
    <n v="2781"/>
    <s v="Frederick Henry"/>
    <x v="0"/>
    <x v="9"/>
    <x v="0"/>
    <n v="2891.64"/>
    <n v="0.51"/>
    <x v="12"/>
    <x v="303"/>
    <x v="1"/>
    <x v="0"/>
    <n v="5667.6143999999995"/>
    <n v="1947.29"/>
  </r>
  <r>
    <n v="2782"/>
    <s v="Janet Lopez"/>
    <x v="0"/>
    <x v="20"/>
    <x v="4"/>
    <n v="449.09"/>
    <n v="0.51"/>
    <x v="1046"/>
    <x v="4"/>
    <x v="2"/>
    <x v="1"/>
    <n v="1100.2704999999999"/>
    <n v="275.06762499999996"/>
  </r>
  <r>
    <n v="2783"/>
    <s v="Frank Mitchell"/>
    <x v="3"/>
    <x v="3"/>
    <x v="3"/>
    <n v="2515.415"/>
    <n v="0.51"/>
    <x v="11"/>
    <x v="30"/>
    <x v="2"/>
    <x v="0"/>
    <n v="3697.66005"/>
    <n v="45.06"/>
  </r>
  <r>
    <n v="2784"/>
    <s v="Matthew Cole"/>
    <x v="1"/>
    <x v="15"/>
    <x v="3"/>
    <n v="2229.4899999999998"/>
    <n v="0.51"/>
    <x v="30"/>
    <x v="209"/>
    <x v="5"/>
    <x v="0"/>
    <n v="3277.3502999999996"/>
    <n v="2921.6"/>
  </r>
  <r>
    <n v="2785"/>
    <s v="Daniel Perez"/>
    <x v="2"/>
    <x v="10"/>
    <x v="0"/>
    <n v="2666.2200000000003"/>
    <n v="0.51"/>
    <x v="142"/>
    <x v="107"/>
    <x v="2"/>
    <x v="1"/>
    <n v="5225.7912000000006"/>
    <n v="385.61"/>
  </r>
  <r>
    <n v="1026"/>
    <s v="Caroline Roth"/>
    <x v="1"/>
    <x v="18"/>
    <x v="3"/>
    <n v="2537.59"/>
    <n v="0.03"/>
    <x v="35"/>
    <x v="189"/>
    <x v="0"/>
    <x v="1"/>
    <n v="7384.3869000000004"/>
    <n v="688.48"/>
  </r>
  <r>
    <n v="2787"/>
    <s v="Tami Leonard"/>
    <x v="3"/>
    <x v="23"/>
    <x v="6"/>
    <n v="2338.04"/>
    <n v="0.51"/>
    <x v="171"/>
    <x v="4"/>
    <x v="4"/>
    <x v="1"/>
    <n v="4009.7385999999997"/>
    <n v="1459.62"/>
  </r>
  <r>
    <n v="2788"/>
    <s v="Gerald Snow"/>
    <x v="3"/>
    <x v="7"/>
    <x v="3"/>
    <n v="3267.28"/>
    <n v="0.51"/>
    <x v="1047"/>
    <x v="176"/>
    <x v="3"/>
    <x v="1"/>
    <n v="4802.9016000000001"/>
    <n v="81.99"/>
  </r>
  <r>
    <n v="2789"/>
    <s v="Alexis Wu"/>
    <x v="3"/>
    <x v="3"/>
    <x v="3"/>
    <n v="3735.56"/>
    <n v="0.51"/>
    <x v="1048"/>
    <x v="4"/>
    <x v="5"/>
    <x v="0"/>
    <n v="5491.2731999999996"/>
    <n v="-690.11"/>
  </r>
  <r>
    <n v="2790"/>
    <s v="Angela Miller"/>
    <x v="0"/>
    <x v="5"/>
    <x v="3"/>
    <n v="2675.27"/>
    <n v="0.41"/>
    <x v="1049"/>
    <x v="59"/>
    <x v="0"/>
    <x v="1"/>
    <n v="4735.2279000000008"/>
    <n v="1960.51"/>
  </r>
  <r>
    <n v="2791"/>
    <s v="Stephanie Thomas"/>
    <x v="4"/>
    <x v="14"/>
    <x v="3"/>
    <n v="2765.79"/>
    <n v="0.51"/>
    <x v="281"/>
    <x v="100"/>
    <x v="5"/>
    <x v="1"/>
    <n v="4065.7112999999995"/>
    <n v="-166.3"/>
  </r>
  <r>
    <n v="2792"/>
    <s v="Elizabeth Ford"/>
    <x v="4"/>
    <x v="16"/>
    <x v="0"/>
    <n v="1039.1500000000001"/>
    <n v="0.51"/>
    <x v="1050"/>
    <x v="4"/>
    <x v="5"/>
    <x v="0"/>
    <n v="2036.7340000000002"/>
    <n v="509.18350000000004"/>
  </r>
  <r>
    <n v="2793"/>
    <s v="Scott Kent"/>
    <x v="3"/>
    <x v="3"/>
    <x v="3"/>
    <n v="4836.47"/>
    <n v="0.51"/>
    <x v="1051"/>
    <x v="14"/>
    <x v="1"/>
    <x v="0"/>
    <n v="7109.6108999999997"/>
    <n v="-608.29999999999995"/>
  </r>
  <r>
    <n v="2794"/>
    <s v="Eric Fletcher"/>
    <x v="5"/>
    <x v="19"/>
    <x v="0"/>
    <n v="2889.5349999999999"/>
    <n v="0.51"/>
    <x v="36"/>
    <x v="117"/>
    <x v="3"/>
    <x v="0"/>
    <n v="5663.4885999999997"/>
    <n v="2860.66"/>
  </r>
  <r>
    <n v="2795"/>
    <s v="Paul Smith"/>
    <x v="0"/>
    <x v="5"/>
    <x v="3"/>
    <n v="3008.6549999999997"/>
    <n v="0.51"/>
    <x v="44"/>
    <x v="4"/>
    <x v="2"/>
    <x v="0"/>
    <n v="4422.7228500000001"/>
    <n v="984.22"/>
  </r>
  <r>
    <n v="2796"/>
    <s v="Walter Pham"/>
    <x v="1"/>
    <x v="1"/>
    <x v="3"/>
    <n v="2579.8000000000002"/>
    <n v="0.51"/>
    <x v="257"/>
    <x v="4"/>
    <x v="0"/>
    <x v="1"/>
    <n v="3792.306"/>
    <n v="2.81"/>
  </r>
  <r>
    <n v="2797"/>
    <s v="Kaylee Wilkins"/>
    <x v="3"/>
    <x v="3"/>
    <x v="3"/>
    <n v="1257.81"/>
    <n v="0.51"/>
    <x v="1052"/>
    <x v="341"/>
    <x v="1"/>
    <x v="0"/>
    <n v="1848.9806999999998"/>
    <n v="462.24517499999996"/>
  </r>
  <r>
    <n v="2798"/>
    <s v="Christina Barnes"/>
    <x v="5"/>
    <x v="12"/>
    <x v="3"/>
    <n v="2765.26"/>
    <n v="0.51"/>
    <x v="19"/>
    <x v="344"/>
    <x v="5"/>
    <x v="0"/>
    <n v="4064.9322000000002"/>
    <n v="386.97"/>
  </r>
  <r>
    <n v="2799"/>
    <s v="Mark Olson"/>
    <x v="4"/>
    <x v="14"/>
    <x v="0"/>
    <n v="2765.79"/>
    <n v="0.51"/>
    <x v="25"/>
    <x v="14"/>
    <x v="5"/>
    <x v="1"/>
    <n v="5420.9484000000002"/>
    <n v="683.04"/>
  </r>
  <r>
    <n v="2800"/>
    <s v="Amanda Berry"/>
    <x v="0"/>
    <x v="5"/>
    <x v="3"/>
    <n v="3410.38"/>
    <n v="0.51"/>
    <x v="1053"/>
    <x v="229"/>
    <x v="4"/>
    <x v="1"/>
    <n v="5013.2585999999992"/>
    <n v="1733.81"/>
  </r>
  <r>
    <n v="2801"/>
    <s v="Robert Kelly"/>
    <x v="3"/>
    <x v="21"/>
    <x v="0"/>
    <n v="1870.82"/>
    <n v="0.51"/>
    <x v="1054"/>
    <x v="4"/>
    <x v="1"/>
    <x v="1"/>
    <n v="3666.8071999999997"/>
    <n v="-45.08"/>
  </r>
  <r>
    <n v="2802"/>
    <s v="Sean Medina"/>
    <x v="2"/>
    <x v="10"/>
    <x v="0"/>
    <n v="2666.2200000000003"/>
    <n v="0.51"/>
    <x v="142"/>
    <x v="4"/>
    <x v="3"/>
    <x v="1"/>
    <n v="5225.7912000000006"/>
    <n v="365.63"/>
  </r>
  <r>
    <n v="2803"/>
    <s v="Benjamin Boyd"/>
    <x v="4"/>
    <x v="4"/>
    <x v="4"/>
    <n v="4418.75"/>
    <n v="0.51"/>
    <x v="1055"/>
    <x v="270"/>
    <x v="3"/>
    <x v="1"/>
    <n v="10825.9375"/>
    <n v="693.65"/>
  </r>
  <r>
    <n v="2804"/>
    <s v="Julie Jones"/>
    <x v="3"/>
    <x v="7"/>
    <x v="5"/>
    <n v="4784"/>
    <n v="0.51"/>
    <x v="1056"/>
    <x v="56"/>
    <x v="2"/>
    <x v="1"/>
    <n v="14064.96"/>
    <n v="2969.42"/>
  </r>
  <r>
    <n v="2805"/>
    <s v="Tanner Nguyen"/>
    <x v="2"/>
    <x v="13"/>
    <x v="0"/>
    <n v="4930.08"/>
    <n v="0.92"/>
    <x v="1057"/>
    <x v="250"/>
    <x v="3"/>
    <x v="1"/>
    <n v="1577.6255999999992"/>
    <n v="623.04999999999995"/>
  </r>
  <r>
    <n v="2806"/>
    <s v="Maria Morris"/>
    <x v="0"/>
    <x v="5"/>
    <x v="3"/>
    <n v="3008.6549999999997"/>
    <n v="0.51"/>
    <x v="44"/>
    <x v="107"/>
    <x v="3"/>
    <x v="1"/>
    <n v="4422.7228500000001"/>
    <n v="2658.95"/>
  </r>
  <r>
    <n v="2807"/>
    <s v="Dylan Serrano"/>
    <x v="0"/>
    <x v="0"/>
    <x v="0"/>
    <n v="3064.28"/>
    <n v="0.51"/>
    <x v="1058"/>
    <x v="297"/>
    <x v="4"/>
    <x v="1"/>
    <n v="6005.9888000000001"/>
    <n v="2540.5300000000002"/>
  </r>
  <r>
    <n v="2808"/>
    <s v="Samantha Wells"/>
    <x v="2"/>
    <x v="13"/>
    <x v="0"/>
    <n v="4234.7700000000004"/>
    <n v="0.51"/>
    <x v="1059"/>
    <x v="4"/>
    <x v="0"/>
    <x v="0"/>
    <n v="8300.1491999999998"/>
    <n v="-664.44"/>
  </r>
  <r>
    <n v="1026"/>
    <s v="Mike Velasquez"/>
    <x v="2"/>
    <x v="17"/>
    <x v="3"/>
    <n v="2385.5749999999998"/>
    <n v="0.51"/>
    <x v="91"/>
    <x v="4"/>
    <x v="2"/>
    <x v="0"/>
    <n v="3506.7952499999997"/>
    <n v="1975.98"/>
  </r>
  <r>
    <n v="2810"/>
    <s v="Margaret Hall"/>
    <x v="0"/>
    <x v="5"/>
    <x v="3"/>
    <n v="2038.37"/>
    <n v="0.51"/>
    <x v="1060"/>
    <x v="4"/>
    <x v="2"/>
    <x v="1"/>
    <n v="2996.4038999999998"/>
    <n v="1762.96"/>
  </r>
  <r>
    <n v="2811"/>
    <s v="Robert Perry MD"/>
    <x v="5"/>
    <x v="19"/>
    <x v="0"/>
    <n v="4426.1499999999996"/>
    <n v="0.51"/>
    <x v="1061"/>
    <x v="81"/>
    <x v="0"/>
    <x v="1"/>
    <n v="8675.253999999999"/>
    <n v="1639.67"/>
  </r>
  <r>
    <n v="2812"/>
    <s v="Wesley Lopez"/>
    <x v="4"/>
    <x v="16"/>
    <x v="0"/>
    <n v="2599.75"/>
    <n v="0.51"/>
    <x v="42"/>
    <x v="355"/>
    <x v="5"/>
    <x v="1"/>
    <n v="5095.51"/>
    <n v="-662.74"/>
  </r>
  <r>
    <n v="2813"/>
    <s v="Mary Lopez"/>
    <x v="3"/>
    <x v="3"/>
    <x v="3"/>
    <n v="2515.415"/>
    <n v="0.41"/>
    <x v="11"/>
    <x v="285"/>
    <x v="1"/>
    <x v="1"/>
    <n v="4452.2845500000003"/>
    <n v="-756.66"/>
  </r>
  <r>
    <n v="2814"/>
    <s v="Roger Bennett"/>
    <x v="0"/>
    <x v="5"/>
    <x v="3"/>
    <n v="1888.27"/>
    <n v="0.51"/>
    <x v="1062"/>
    <x v="20"/>
    <x v="2"/>
    <x v="1"/>
    <n v="2775.7568999999999"/>
    <n v="2441.5100000000002"/>
  </r>
  <r>
    <n v="1042"/>
    <s v="Ashley Manning"/>
    <x v="0"/>
    <x v="5"/>
    <x v="5"/>
    <n v="2422.0100000000002"/>
    <n v="0.51"/>
    <x v="1063"/>
    <x v="4"/>
    <x v="5"/>
    <x v="1"/>
    <n v="7120.7094000000006"/>
    <n v="339.16"/>
  </r>
  <r>
    <n v="2816"/>
    <s v="Isaac Watson"/>
    <x v="1"/>
    <x v="18"/>
    <x v="3"/>
    <n v="3817.72"/>
    <n v="0.34"/>
    <x v="1064"/>
    <x v="146"/>
    <x v="1"/>
    <x v="1"/>
    <n v="7559.0855999999994"/>
    <n v="-69.09"/>
  </r>
  <r>
    <n v="2817"/>
    <s v="Timothy Wilson"/>
    <x v="5"/>
    <x v="6"/>
    <x v="0"/>
    <n v="2975.64"/>
    <n v="0.36"/>
    <x v="61"/>
    <x v="86"/>
    <x v="2"/>
    <x v="0"/>
    <n v="7617.6383999999998"/>
    <n v="495.32"/>
  </r>
  <r>
    <n v="2818"/>
    <s v="Larry Yang"/>
    <x v="5"/>
    <x v="12"/>
    <x v="3"/>
    <n v="739.57"/>
    <n v="0.51"/>
    <x v="1065"/>
    <x v="456"/>
    <x v="2"/>
    <x v="0"/>
    <n v="1087.1678999999999"/>
    <n v="271.79197499999998"/>
  </r>
  <r>
    <n v="2819"/>
    <s v="Betty Espinoza MD"/>
    <x v="3"/>
    <x v="21"/>
    <x v="0"/>
    <n v="2785.79"/>
    <n v="0.51"/>
    <x v="110"/>
    <x v="4"/>
    <x v="1"/>
    <x v="0"/>
    <n v="5460.1484"/>
    <n v="526.19000000000005"/>
  </r>
  <r>
    <n v="2820"/>
    <s v="Stephanie Johnson"/>
    <x v="3"/>
    <x v="23"/>
    <x v="1"/>
    <n v="2454.71"/>
    <n v="0.1"/>
    <x v="1066"/>
    <x v="514"/>
    <x v="2"/>
    <x v="1"/>
    <n v="2209.239"/>
    <n v="552.30975000000001"/>
  </r>
  <r>
    <n v="2821"/>
    <s v="Denise Crawford"/>
    <x v="5"/>
    <x v="12"/>
    <x v="3"/>
    <n v="2765.26"/>
    <n v="0.51"/>
    <x v="19"/>
    <x v="487"/>
    <x v="1"/>
    <x v="0"/>
    <n v="4064.9322000000002"/>
    <n v="412.63"/>
  </r>
  <r>
    <n v="2822"/>
    <s v="Matthew Bates"/>
    <x v="4"/>
    <x v="14"/>
    <x v="0"/>
    <n v="3864.37"/>
    <n v="0.51"/>
    <x v="1067"/>
    <x v="253"/>
    <x v="3"/>
    <x v="1"/>
    <n v="7574.1651999999995"/>
    <n v="957.65"/>
  </r>
  <r>
    <n v="2823"/>
    <s v="Julie Gomez"/>
    <x v="1"/>
    <x v="15"/>
    <x v="3"/>
    <n v="2229.4899999999998"/>
    <n v="0.51"/>
    <x v="30"/>
    <x v="493"/>
    <x v="1"/>
    <x v="0"/>
    <n v="3277.3502999999996"/>
    <n v="-724.81"/>
  </r>
  <r>
    <n v="2824"/>
    <s v="Michele Martin"/>
    <x v="2"/>
    <x v="17"/>
    <x v="3"/>
    <n v="2385.5749999999998"/>
    <n v="0.51"/>
    <x v="91"/>
    <x v="445"/>
    <x v="0"/>
    <x v="0"/>
    <n v="3506.7952499999997"/>
    <n v="1113.29"/>
  </r>
  <r>
    <n v="2825"/>
    <s v="James Maddox"/>
    <x v="3"/>
    <x v="3"/>
    <x v="3"/>
    <n v="2515.415"/>
    <n v="0.51"/>
    <x v="11"/>
    <x v="4"/>
    <x v="1"/>
    <x v="1"/>
    <n v="3697.66005"/>
    <n v="2935.9"/>
  </r>
  <r>
    <n v="2826"/>
    <s v="Richard Dyer"/>
    <x v="4"/>
    <x v="14"/>
    <x v="0"/>
    <n v="2765.79"/>
    <n v="0.51"/>
    <x v="25"/>
    <x v="4"/>
    <x v="2"/>
    <x v="0"/>
    <n v="5420.9484000000002"/>
    <n v="2275.7399999999998"/>
  </r>
  <r>
    <n v="2827"/>
    <s v="Tracy Mitchell"/>
    <x v="0"/>
    <x v="0"/>
    <x v="0"/>
    <n v="3996.87"/>
    <n v="0.51"/>
    <x v="1068"/>
    <x v="292"/>
    <x v="2"/>
    <x v="1"/>
    <n v="7833.8651999999993"/>
    <n v="496.23"/>
  </r>
  <r>
    <n v="2828"/>
    <s v="Norman Henderson"/>
    <x v="2"/>
    <x v="2"/>
    <x v="0"/>
    <n v="2963.02"/>
    <n v="0.51"/>
    <x v="1069"/>
    <x v="254"/>
    <x v="3"/>
    <x v="1"/>
    <n v="5807.5191999999997"/>
    <n v="180.31"/>
  </r>
  <r>
    <n v="2829"/>
    <s v="Brent Gutierrez"/>
    <x v="1"/>
    <x v="18"/>
    <x v="3"/>
    <n v="4817.45"/>
    <n v="0.51"/>
    <x v="1070"/>
    <x v="4"/>
    <x v="5"/>
    <x v="1"/>
    <n v="7081.651499999999"/>
    <n v="2048.06"/>
  </r>
  <r>
    <n v="2830"/>
    <s v="Stephen Wright"/>
    <x v="4"/>
    <x v="4"/>
    <x v="0"/>
    <n v="3588.42"/>
    <n v="0.04"/>
    <x v="1071"/>
    <x v="32"/>
    <x v="0"/>
    <x v="1"/>
    <n v="13779.532799999999"/>
    <n v="1952.28"/>
  </r>
  <r>
    <n v="2831"/>
    <s v="Zachary Lee"/>
    <x v="5"/>
    <x v="6"/>
    <x v="0"/>
    <n v="2975.64"/>
    <n v="0.51"/>
    <x v="61"/>
    <x v="131"/>
    <x v="1"/>
    <x v="1"/>
    <n v="5832.2543999999998"/>
    <n v="2091.3000000000002"/>
  </r>
  <r>
    <n v="2832"/>
    <s v="Daryl Reynolds"/>
    <x v="2"/>
    <x v="17"/>
    <x v="3"/>
    <n v="2385.5749999999998"/>
    <n v="0.56000000000000005"/>
    <x v="91"/>
    <x v="423"/>
    <x v="2"/>
    <x v="1"/>
    <n v="3148.9589999999994"/>
    <n v="-402.75"/>
  </r>
  <r>
    <n v="2833"/>
    <s v="Meghan Robinson"/>
    <x v="0"/>
    <x v="20"/>
    <x v="4"/>
    <n v="4273.33"/>
    <n v="0.51"/>
    <x v="1072"/>
    <x v="4"/>
    <x v="3"/>
    <x v="0"/>
    <n v="10469.658500000001"/>
    <n v="900.12"/>
  </r>
  <r>
    <n v="2834"/>
    <s v="Patricia Mcbride"/>
    <x v="1"/>
    <x v="22"/>
    <x v="6"/>
    <n v="3522.98"/>
    <n v="0.51"/>
    <x v="1073"/>
    <x v="340"/>
    <x v="0"/>
    <x v="0"/>
    <n v="6041.9107000000004"/>
    <n v="2242.67"/>
  </r>
  <r>
    <n v="2835"/>
    <s v="Lisa Larsen"/>
    <x v="5"/>
    <x v="11"/>
    <x v="4"/>
    <n v="2731.6350000000002"/>
    <n v="0.98"/>
    <x v="1074"/>
    <x v="199"/>
    <x v="4"/>
    <x v="1"/>
    <n v="273.16350000000028"/>
    <n v="-618.55999999999995"/>
  </r>
  <r>
    <n v="2836"/>
    <s v="Timothy Brown"/>
    <x v="5"/>
    <x v="19"/>
    <x v="0"/>
    <n v="4609.95"/>
    <n v="0.51"/>
    <x v="1075"/>
    <x v="515"/>
    <x v="3"/>
    <x v="1"/>
    <n v="9035.5019999999986"/>
    <n v="-154.75"/>
  </r>
  <r>
    <n v="2837"/>
    <s v="Lindsey Kelly"/>
    <x v="0"/>
    <x v="0"/>
    <x v="0"/>
    <n v="4443.01"/>
    <n v="0.51"/>
    <x v="1076"/>
    <x v="137"/>
    <x v="3"/>
    <x v="1"/>
    <n v="8708.2996000000003"/>
    <n v="-919.16"/>
  </r>
  <r>
    <n v="2838"/>
    <s v="Kathleen Hill"/>
    <x v="5"/>
    <x v="19"/>
    <x v="0"/>
    <n v="2889.5349999999999"/>
    <n v="0.97"/>
    <x v="36"/>
    <x v="4"/>
    <x v="2"/>
    <x v="1"/>
    <n v="346.74420000000026"/>
    <n v="182.38"/>
  </r>
  <r>
    <n v="2839"/>
    <s v="Laura Graham"/>
    <x v="2"/>
    <x v="17"/>
    <x v="3"/>
    <n v="561.24"/>
    <n v="0.51"/>
    <x v="1077"/>
    <x v="516"/>
    <x v="4"/>
    <x v="1"/>
    <n v="825.02279999999996"/>
    <n v="206.25569999999999"/>
  </r>
  <r>
    <n v="2840"/>
    <s v="Kayla Foster"/>
    <x v="1"/>
    <x v="15"/>
    <x v="3"/>
    <n v="2297.54"/>
    <n v="0.51"/>
    <x v="1078"/>
    <x v="123"/>
    <x v="4"/>
    <x v="1"/>
    <n v="3377.3838000000001"/>
    <n v="490.32"/>
  </r>
  <r>
    <n v="2841"/>
    <s v="Rick Peters"/>
    <x v="0"/>
    <x v="20"/>
    <x v="4"/>
    <n v="4154.05"/>
    <n v="0.51"/>
    <x v="1079"/>
    <x v="311"/>
    <x v="2"/>
    <x v="1"/>
    <n v="10177.422500000001"/>
    <n v="265"/>
  </r>
  <r>
    <n v="2842"/>
    <s v="Cindy Simmons"/>
    <x v="3"/>
    <x v="7"/>
    <x v="3"/>
    <n v="1812.58"/>
    <n v="0.51"/>
    <x v="1080"/>
    <x v="272"/>
    <x v="0"/>
    <x v="1"/>
    <n v="2664.4926"/>
    <n v="445.27"/>
  </r>
  <r>
    <n v="2843"/>
    <s v="Natalie Smith"/>
    <x v="4"/>
    <x v="16"/>
    <x v="0"/>
    <n v="1110.1099999999999"/>
    <n v="0.51"/>
    <x v="1081"/>
    <x v="216"/>
    <x v="2"/>
    <x v="1"/>
    <n v="2175.8155999999999"/>
    <n v="543.95389999999998"/>
  </r>
  <r>
    <n v="2844"/>
    <s v="Samuel Torres Jr."/>
    <x v="0"/>
    <x v="9"/>
    <x v="0"/>
    <n v="2549.59"/>
    <n v="0.51"/>
    <x v="1082"/>
    <x v="517"/>
    <x v="0"/>
    <x v="1"/>
    <n v="4997.1963999999998"/>
    <n v="2612.63"/>
  </r>
  <r>
    <n v="2845"/>
    <s v="Robert White"/>
    <x v="1"/>
    <x v="18"/>
    <x v="3"/>
    <n v="2537.59"/>
    <n v="0.51"/>
    <x v="35"/>
    <x v="112"/>
    <x v="0"/>
    <x v="1"/>
    <n v="3730.2573000000002"/>
    <n v="-693.63"/>
  </r>
  <r>
    <n v="2846"/>
    <s v="Cynthia Johnson"/>
    <x v="2"/>
    <x v="13"/>
    <x v="0"/>
    <n v="2525.04"/>
    <n v="0.3"/>
    <x v="1083"/>
    <x v="272"/>
    <x v="4"/>
    <x v="1"/>
    <n v="7070.1119999999992"/>
    <n v="1003.34"/>
  </r>
  <r>
    <n v="2847"/>
    <s v="Ana Davis"/>
    <x v="2"/>
    <x v="17"/>
    <x v="3"/>
    <n v="3424.29"/>
    <n v="0.51"/>
    <x v="1084"/>
    <x v="297"/>
    <x v="5"/>
    <x v="1"/>
    <n v="5033.7062999999998"/>
    <n v="2560.3200000000002"/>
  </r>
  <r>
    <n v="2848"/>
    <s v="Alyssa Patel"/>
    <x v="1"/>
    <x v="22"/>
    <x v="2"/>
    <n v="2752.99"/>
    <n v="0.51"/>
    <x v="622"/>
    <x v="474"/>
    <x v="1"/>
    <x v="0"/>
    <n v="2697.9301999999998"/>
    <n v="2638.28"/>
  </r>
  <r>
    <n v="2849"/>
    <s v="Jennifer Schultz"/>
    <x v="3"/>
    <x v="7"/>
    <x v="3"/>
    <n v="2577.6350000000002"/>
    <n v="0.35"/>
    <x v="8"/>
    <x v="4"/>
    <x v="2"/>
    <x v="1"/>
    <n v="5026.3882500000009"/>
    <n v="1750.23"/>
  </r>
  <r>
    <n v="2850"/>
    <s v="Janice Ballard"/>
    <x v="0"/>
    <x v="0"/>
    <x v="0"/>
    <n v="2687.96"/>
    <n v="0.51"/>
    <x v="1085"/>
    <x v="321"/>
    <x v="0"/>
    <x v="1"/>
    <n v="5268.4016000000001"/>
    <n v="2288"/>
  </r>
  <r>
    <n v="2851"/>
    <s v="Gregg Beck"/>
    <x v="5"/>
    <x v="6"/>
    <x v="0"/>
    <n v="1525.28"/>
    <n v="0.51"/>
    <x v="1086"/>
    <x v="64"/>
    <x v="4"/>
    <x v="0"/>
    <n v="2989.5488"/>
    <n v="-560.49"/>
  </r>
  <r>
    <n v="2852"/>
    <s v="Stephen Rivera"/>
    <x v="2"/>
    <x v="17"/>
    <x v="3"/>
    <n v="1816.76"/>
    <n v="0.51"/>
    <x v="1087"/>
    <x v="4"/>
    <x v="2"/>
    <x v="1"/>
    <n v="2670.6371999999997"/>
    <n v="630.13"/>
  </r>
  <r>
    <n v="2853"/>
    <s v="Phillip Lutz"/>
    <x v="4"/>
    <x v="16"/>
    <x v="0"/>
    <n v="1212.44"/>
    <n v="0.89"/>
    <x v="1088"/>
    <x v="242"/>
    <x v="2"/>
    <x v="0"/>
    <n v="533.47359999999992"/>
    <n v="175.39"/>
  </r>
  <r>
    <n v="2854"/>
    <s v="Robert Miller"/>
    <x v="0"/>
    <x v="0"/>
    <x v="0"/>
    <n v="3303.02"/>
    <n v="0.7"/>
    <x v="1089"/>
    <x v="4"/>
    <x v="2"/>
    <x v="1"/>
    <n v="3963.6240000000007"/>
    <n v="276.29000000000002"/>
  </r>
  <r>
    <n v="2855"/>
    <s v="Jacqueline Cochran"/>
    <x v="0"/>
    <x v="0"/>
    <x v="0"/>
    <n v="1831.4"/>
    <n v="0.51"/>
    <x v="1090"/>
    <x v="274"/>
    <x v="4"/>
    <x v="1"/>
    <n v="3589.5440000000003"/>
    <n v="719.33"/>
  </r>
  <r>
    <n v="2856"/>
    <s v="Stephanie Thompson"/>
    <x v="5"/>
    <x v="12"/>
    <x v="3"/>
    <n v="2765.26"/>
    <n v="0.51"/>
    <x v="19"/>
    <x v="4"/>
    <x v="4"/>
    <x v="1"/>
    <n v="4064.9322000000002"/>
    <n v="1448.8"/>
  </r>
  <r>
    <n v="2857"/>
    <s v="Ricardo Miller"/>
    <x v="0"/>
    <x v="9"/>
    <x v="4"/>
    <n v="2891.64"/>
    <n v="0.51"/>
    <x v="41"/>
    <x v="280"/>
    <x v="2"/>
    <x v="1"/>
    <n v="7084.5179999999991"/>
    <n v="-625.91999999999996"/>
  </r>
  <r>
    <n v="2858"/>
    <s v="Julie Anthony"/>
    <x v="0"/>
    <x v="5"/>
    <x v="3"/>
    <n v="3270.29"/>
    <n v="0.51"/>
    <x v="1091"/>
    <x v="322"/>
    <x v="5"/>
    <x v="0"/>
    <n v="4807.3262999999997"/>
    <n v="-539.25"/>
  </r>
  <r>
    <n v="2859"/>
    <s v="Jonathan Hughes"/>
    <x v="3"/>
    <x v="7"/>
    <x v="3"/>
    <n v="2577.6350000000002"/>
    <n v="0.78"/>
    <x v="8"/>
    <x v="518"/>
    <x v="3"/>
    <x v="1"/>
    <n v="1701.2391"/>
    <n v="1686.29"/>
  </r>
  <r>
    <n v="2860"/>
    <s v="Wanda Ramos"/>
    <x v="0"/>
    <x v="9"/>
    <x v="0"/>
    <n v="4428.24"/>
    <n v="0.09"/>
    <x v="1092"/>
    <x v="4"/>
    <x v="2"/>
    <x v="1"/>
    <n v="16118.793599999999"/>
    <n v="-641.59"/>
  </r>
  <r>
    <n v="2861"/>
    <s v="Joanne Walls"/>
    <x v="5"/>
    <x v="11"/>
    <x v="0"/>
    <n v="2731.6350000000002"/>
    <n v="0.06"/>
    <x v="16"/>
    <x v="199"/>
    <x v="0"/>
    <x v="1"/>
    <n v="10270.9476"/>
    <n v="-936.94"/>
  </r>
  <r>
    <n v="2862"/>
    <s v="Stacie Santiago"/>
    <x v="0"/>
    <x v="9"/>
    <x v="0"/>
    <n v="2891.64"/>
    <n v="0.51"/>
    <x v="12"/>
    <x v="4"/>
    <x v="5"/>
    <x v="0"/>
    <n v="5667.6143999999995"/>
    <n v="824.88"/>
  </r>
  <r>
    <n v="2863"/>
    <s v="Casey Watkins"/>
    <x v="2"/>
    <x v="13"/>
    <x v="5"/>
    <n v="1459.76"/>
    <n v="0.51"/>
    <x v="1093"/>
    <x v="163"/>
    <x v="3"/>
    <x v="1"/>
    <n v="4291.6943999999994"/>
    <n v="2541"/>
  </r>
  <r>
    <n v="2864"/>
    <s v="Felicia Saunders"/>
    <x v="1"/>
    <x v="22"/>
    <x v="4"/>
    <n v="2535.29"/>
    <n v="0.51"/>
    <x v="1094"/>
    <x v="215"/>
    <x v="3"/>
    <x v="1"/>
    <n v="6211.4605000000001"/>
    <n v="-456.39"/>
  </r>
  <r>
    <n v="2865"/>
    <s v="Tina Wilson"/>
    <x v="0"/>
    <x v="5"/>
    <x v="3"/>
    <n v="2043.3"/>
    <n v="0.33"/>
    <x v="1095"/>
    <x v="4"/>
    <x v="1"/>
    <x v="1"/>
    <n v="4107.0329999999994"/>
    <n v="-389.95"/>
  </r>
  <r>
    <n v="2866"/>
    <s v="Richard Sanders"/>
    <x v="0"/>
    <x v="20"/>
    <x v="4"/>
    <n v="2750.33"/>
    <n v="0.51"/>
    <x v="52"/>
    <x v="479"/>
    <x v="3"/>
    <x v="1"/>
    <n v="6738.3085000000001"/>
    <n v="883.66"/>
  </r>
  <r>
    <n v="2867"/>
    <s v="Sherri Roth"/>
    <x v="0"/>
    <x v="20"/>
    <x v="4"/>
    <n v="2750.33"/>
    <n v="0.51"/>
    <x v="52"/>
    <x v="4"/>
    <x v="0"/>
    <x v="0"/>
    <n v="6738.3085000000001"/>
    <n v="478.82"/>
  </r>
  <r>
    <n v="2868"/>
    <s v="Mallory Lee DVM"/>
    <x v="3"/>
    <x v="7"/>
    <x v="0"/>
    <n v="1392.21"/>
    <n v="0.51"/>
    <x v="1096"/>
    <x v="26"/>
    <x v="3"/>
    <x v="1"/>
    <n v="2728.7316000000001"/>
    <n v="758.3"/>
  </r>
  <r>
    <n v="2869"/>
    <s v="Briana Robles"/>
    <x v="5"/>
    <x v="6"/>
    <x v="0"/>
    <n v="4238.91"/>
    <n v="0.51"/>
    <x v="1097"/>
    <x v="4"/>
    <x v="4"/>
    <x v="1"/>
    <n v="8308.2636000000002"/>
    <n v="-746.44"/>
  </r>
  <r>
    <n v="2870"/>
    <s v="Erin Martin"/>
    <x v="0"/>
    <x v="20"/>
    <x v="2"/>
    <n v="839.34"/>
    <n v="0.51"/>
    <x v="1098"/>
    <x v="234"/>
    <x v="5"/>
    <x v="0"/>
    <n v="822.55320000000006"/>
    <n v="367.87"/>
  </r>
  <r>
    <n v="2871"/>
    <s v="Jeffrey Wiggins"/>
    <x v="5"/>
    <x v="12"/>
    <x v="3"/>
    <n v="2765.26"/>
    <n v="0.51"/>
    <x v="19"/>
    <x v="112"/>
    <x v="2"/>
    <x v="0"/>
    <n v="4064.9322000000002"/>
    <n v="2126.04"/>
  </r>
  <r>
    <n v="2872"/>
    <s v="Julie Welch MD"/>
    <x v="0"/>
    <x v="9"/>
    <x v="0"/>
    <n v="2891.64"/>
    <n v="0.51"/>
    <x v="12"/>
    <x v="87"/>
    <x v="3"/>
    <x v="1"/>
    <n v="5667.6143999999995"/>
    <n v="148.19999999999999"/>
  </r>
  <r>
    <n v="2873"/>
    <s v="Jennifer Leblanc"/>
    <x v="2"/>
    <x v="2"/>
    <x v="4"/>
    <n v="1354.14"/>
    <n v="0.51"/>
    <x v="1099"/>
    <x v="159"/>
    <x v="1"/>
    <x v="1"/>
    <n v="3317.6430000000005"/>
    <n v="2535.62"/>
  </r>
  <r>
    <n v="2874"/>
    <s v="Matthew Marshall"/>
    <x v="0"/>
    <x v="5"/>
    <x v="3"/>
    <n v="3754.23"/>
    <n v="0.87"/>
    <x v="1100"/>
    <x v="189"/>
    <x v="2"/>
    <x v="1"/>
    <n v="1464.1497000000002"/>
    <n v="-153.77000000000001"/>
  </r>
  <r>
    <n v="2875"/>
    <s v="James Case DDS"/>
    <x v="1"/>
    <x v="1"/>
    <x v="2"/>
    <n v="2579.8000000000002"/>
    <n v="0.51"/>
    <x v="251"/>
    <x v="21"/>
    <x v="0"/>
    <x v="1"/>
    <n v="2528.2040000000002"/>
    <n v="1291.9000000000001"/>
  </r>
  <r>
    <n v="2876"/>
    <s v="Wesley Jackson"/>
    <x v="0"/>
    <x v="9"/>
    <x v="5"/>
    <n v="3824.82"/>
    <n v="0.82"/>
    <x v="1101"/>
    <x v="177"/>
    <x v="3"/>
    <x v="0"/>
    <n v="4130.8056000000015"/>
    <n v="688.53"/>
  </r>
  <r>
    <n v="2877"/>
    <s v="Joe Schmitt"/>
    <x v="2"/>
    <x v="17"/>
    <x v="3"/>
    <n v="2385.5749999999998"/>
    <n v="0.28999999999999998"/>
    <x v="91"/>
    <x v="4"/>
    <x v="4"/>
    <x v="1"/>
    <n v="5081.2747499999996"/>
    <n v="2293.59"/>
  </r>
  <r>
    <n v="2878"/>
    <s v="Maria Blackburn"/>
    <x v="1"/>
    <x v="15"/>
    <x v="3"/>
    <n v="2229.4899999999998"/>
    <n v="0.51"/>
    <x v="30"/>
    <x v="290"/>
    <x v="4"/>
    <x v="0"/>
    <n v="3277.3502999999996"/>
    <n v="2309.5500000000002"/>
  </r>
  <r>
    <n v="2879"/>
    <s v="Angela Diaz"/>
    <x v="1"/>
    <x v="15"/>
    <x v="3"/>
    <n v="2229.4899999999998"/>
    <n v="0.02"/>
    <x v="30"/>
    <x v="4"/>
    <x v="0"/>
    <x v="1"/>
    <n v="6554.7005999999992"/>
    <n v="1146.23"/>
  </r>
  <r>
    <n v="2880"/>
    <s v="Garrett Hall"/>
    <x v="3"/>
    <x v="3"/>
    <x v="3"/>
    <n v="2515.415"/>
    <n v="0.51"/>
    <x v="11"/>
    <x v="228"/>
    <x v="2"/>
    <x v="0"/>
    <n v="3697.66005"/>
    <n v="970.22"/>
  </r>
  <r>
    <n v="2881"/>
    <s v="Brandi Powell"/>
    <x v="0"/>
    <x v="5"/>
    <x v="3"/>
    <n v="3008.6549999999997"/>
    <n v="0.51"/>
    <x v="44"/>
    <x v="292"/>
    <x v="4"/>
    <x v="0"/>
    <n v="4422.7228500000001"/>
    <n v="1850.77"/>
  </r>
  <r>
    <n v="2882"/>
    <s v="Laura Robertson"/>
    <x v="3"/>
    <x v="23"/>
    <x v="3"/>
    <n v="583.53"/>
    <n v="0.51"/>
    <x v="1102"/>
    <x v="53"/>
    <x v="2"/>
    <x v="1"/>
    <n v="857.78909999999996"/>
    <n v="214.44727499999999"/>
  </r>
  <r>
    <n v="2883"/>
    <s v="Lisa Kline"/>
    <x v="4"/>
    <x v="16"/>
    <x v="0"/>
    <n v="2320.7600000000002"/>
    <n v="0.51"/>
    <x v="1103"/>
    <x v="333"/>
    <x v="1"/>
    <x v="0"/>
    <n v="4548.6896000000006"/>
    <n v="2529.16"/>
  </r>
  <r>
    <n v="2884"/>
    <s v="Emily Rhodes"/>
    <x v="0"/>
    <x v="20"/>
    <x v="2"/>
    <n v="2750.33"/>
    <n v="0.4"/>
    <x v="1104"/>
    <x v="53"/>
    <x v="5"/>
    <x v="1"/>
    <n v="3300.3959999999997"/>
    <n v="896.38"/>
  </r>
  <r>
    <n v="2885"/>
    <s v="Kevin Skinner"/>
    <x v="4"/>
    <x v="14"/>
    <x v="2"/>
    <n v="2666.48"/>
    <n v="0.51"/>
    <x v="1105"/>
    <x v="237"/>
    <x v="5"/>
    <x v="1"/>
    <n v="2613.1504"/>
    <n v="-17.89"/>
  </r>
  <r>
    <n v="2886"/>
    <s v="Kathy Patel"/>
    <x v="4"/>
    <x v="16"/>
    <x v="0"/>
    <n v="3229.15"/>
    <n v="0.51"/>
    <x v="1106"/>
    <x v="126"/>
    <x v="1"/>
    <x v="1"/>
    <n v="6329.134"/>
    <n v="175.26"/>
  </r>
  <r>
    <n v="2887"/>
    <s v="Charles Mcgee"/>
    <x v="0"/>
    <x v="5"/>
    <x v="3"/>
    <n v="3331.72"/>
    <n v="0.51"/>
    <x v="1107"/>
    <x v="4"/>
    <x v="2"/>
    <x v="1"/>
    <n v="4897.6283999999996"/>
    <n v="-267.95999999999998"/>
  </r>
  <r>
    <n v="2888"/>
    <s v="Timothy Farley PhD"/>
    <x v="5"/>
    <x v="6"/>
    <x v="0"/>
    <n v="2975.64"/>
    <n v="0.51"/>
    <x v="61"/>
    <x v="498"/>
    <x v="1"/>
    <x v="1"/>
    <n v="5832.2543999999998"/>
    <n v="2007.16"/>
  </r>
  <r>
    <n v="2889"/>
    <s v="Jasmine Mcgee"/>
    <x v="2"/>
    <x v="2"/>
    <x v="4"/>
    <n v="2933.45"/>
    <n v="0.51"/>
    <x v="472"/>
    <x v="149"/>
    <x v="4"/>
    <x v="1"/>
    <n v="7186.9524999999994"/>
    <n v="1874.28"/>
  </r>
  <r>
    <n v="2890"/>
    <s v="Karen Houston"/>
    <x v="5"/>
    <x v="12"/>
    <x v="1"/>
    <n v="2357.36"/>
    <n v="0.51"/>
    <x v="1108"/>
    <x v="396"/>
    <x v="5"/>
    <x v="1"/>
    <n v="1155.1064000000001"/>
    <n v="468.3"/>
  </r>
  <r>
    <n v="2891"/>
    <s v="Suzanne Thomas"/>
    <x v="1"/>
    <x v="1"/>
    <x v="0"/>
    <n v="2579.8000000000002"/>
    <n v="0.51"/>
    <x v="22"/>
    <x v="4"/>
    <x v="1"/>
    <x v="1"/>
    <n v="5056.4080000000004"/>
    <n v="-363.86"/>
  </r>
  <r>
    <n v="2892"/>
    <s v="Francisco Flowers"/>
    <x v="3"/>
    <x v="3"/>
    <x v="3"/>
    <n v="2515.415"/>
    <n v="0.51"/>
    <x v="11"/>
    <x v="246"/>
    <x v="1"/>
    <x v="1"/>
    <n v="3697.66005"/>
    <n v="-502.19"/>
  </r>
  <r>
    <n v="2893"/>
    <s v="Lisa Reid"/>
    <x v="2"/>
    <x v="2"/>
    <x v="0"/>
    <n v="2933.45"/>
    <n v="0.51"/>
    <x v="13"/>
    <x v="493"/>
    <x v="3"/>
    <x v="1"/>
    <n v="5749.5619999999999"/>
    <n v="1825.47"/>
  </r>
  <r>
    <n v="2894"/>
    <s v="Kathy Tate"/>
    <x v="2"/>
    <x v="2"/>
    <x v="3"/>
    <n v="2933.45"/>
    <n v="0.51"/>
    <x v="414"/>
    <x v="4"/>
    <x v="3"/>
    <x v="1"/>
    <n v="4312.1714999999995"/>
    <n v="1479.24"/>
  </r>
  <r>
    <n v="1006"/>
    <s v="Tara Rivas"/>
    <x v="2"/>
    <x v="17"/>
    <x v="2"/>
    <n v="3593.06"/>
    <n v="0.34"/>
    <x v="1109"/>
    <x v="4"/>
    <x v="4"/>
    <x v="0"/>
    <n v="4742.8391999999994"/>
    <n v="1031.6600000000001"/>
  </r>
  <r>
    <n v="2896"/>
    <s v="Derek Richards"/>
    <x v="5"/>
    <x v="12"/>
    <x v="3"/>
    <n v="2765.26"/>
    <n v="0.51"/>
    <x v="19"/>
    <x v="308"/>
    <x v="4"/>
    <x v="0"/>
    <n v="4064.9322000000002"/>
    <n v="2760.7"/>
  </r>
  <r>
    <n v="2897"/>
    <s v="Lisa James"/>
    <x v="1"/>
    <x v="18"/>
    <x v="1"/>
    <n v="1194.44"/>
    <n v="0.51"/>
    <x v="1110"/>
    <x v="109"/>
    <x v="0"/>
    <x v="1"/>
    <n v="585.27560000000005"/>
    <n v="146.31890000000001"/>
  </r>
  <r>
    <n v="2898"/>
    <s v="Brian Wallace"/>
    <x v="5"/>
    <x v="12"/>
    <x v="5"/>
    <n v="2765.26"/>
    <n v="0.54"/>
    <x v="1111"/>
    <x v="269"/>
    <x v="0"/>
    <x v="1"/>
    <n v="7632.1175999999996"/>
    <n v="-274.57"/>
  </r>
  <r>
    <n v="2899"/>
    <s v="Daniel Reyes"/>
    <x v="3"/>
    <x v="7"/>
    <x v="2"/>
    <n v="3086.59"/>
    <n v="0.51"/>
    <x v="1112"/>
    <x v="368"/>
    <x v="0"/>
    <x v="0"/>
    <n v="3024.8582000000001"/>
    <n v="-745.27"/>
  </r>
  <r>
    <n v="2900"/>
    <s v="Kevin Wong"/>
    <x v="5"/>
    <x v="12"/>
    <x v="3"/>
    <n v="2765.26"/>
    <n v="0.51"/>
    <x v="19"/>
    <x v="4"/>
    <x v="1"/>
    <x v="1"/>
    <n v="4064.9322000000002"/>
    <n v="36.92"/>
  </r>
  <r>
    <n v="2901"/>
    <s v="Kaitlin Baldwin"/>
    <x v="2"/>
    <x v="10"/>
    <x v="2"/>
    <n v="1817.71"/>
    <n v="0.51"/>
    <x v="1113"/>
    <x v="385"/>
    <x v="2"/>
    <x v="0"/>
    <n v="1781.3558"/>
    <n v="391.06"/>
  </r>
  <r>
    <n v="2902"/>
    <s v="Andrew Brown"/>
    <x v="0"/>
    <x v="5"/>
    <x v="4"/>
    <n v="3153.37"/>
    <n v="0.51"/>
    <x v="1114"/>
    <x v="133"/>
    <x v="3"/>
    <x v="1"/>
    <n v="7725.7564999999995"/>
    <n v="-594.19000000000005"/>
  </r>
  <r>
    <n v="2903"/>
    <s v="Danielle Nguyen"/>
    <x v="4"/>
    <x v="14"/>
    <x v="0"/>
    <n v="2765.79"/>
    <n v="0.51"/>
    <x v="25"/>
    <x v="4"/>
    <x v="4"/>
    <x v="0"/>
    <n v="5420.9484000000002"/>
    <n v="2232.1799999999998"/>
  </r>
  <r>
    <n v="2904"/>
    <s v="David Walker"/>
    <x v="4"/>
    <x v="4"/>
    <x v="4"/>
    <n v="1202.73"/>
    <n v="0.51"/>
    <x v="1115"/>
    <x v="97"/>
    <x v="4"/>
    <x v="0"/>
    <n v="2946.6884999999997"/>
    <n v="658.6"/>
  </r>
  <r>
    <n v="2905"/>
    <s v="Tanya Pham"/>
    <x v="0"/>
    <x v="9"/>
    <x v="0"/>
    <n v="1478.93"/>
    <n v="0.51"/>
    <x v="1116"/>
    <x v="0"/>
    <x v="4"/>
    <x v="0"/>
    <n v="2898.7028"/>
    <n v="25.28"/>
  </r>
  <r>
    <n v="2906"/>
    <s v="Sean Cunningham"/>
    <x v="5"/>
    <x v="19"/>
    <x v="0"/>
    <n v="2889.5349999999999"/>
    <n v="0.25"/>
    <x v="36"/>
    <x v="229"/>
    <x v="1"/>
    <x v="1"/>
    <n v="8668.6049999999996"/>
    <n v="-116.3"/>
  </r>
  <r>
    <n v="2907"/>
    <s v="Virginia Rowland"/>
    <x v="4"/>
    <x v="16"/>
    <x v="0"/>
    <n v="2599.75"/>
    <n v="0.51"/>
    <x v="42"/>
    <x v="77"/>
    <x v="4"/>
    <x v="1"/>
    <n v="5095.51"/>
    <n v="-782.3"/>
  </r>
  <r>
    <n v="2908"/>
    <s v="Megan Nixon"/>
    <x v="0"/>
    <x v="9"/>
    <x v="0"/>
    <n v="2891.64"/>
    <n v="0.51"/>
    <x v="12"/>
    <x v="144"/>
    <x v="5"/>
    <x v="0"/>
    <n v="5667.6143999999995"/>
    <n v="-61.23"/>
  </r>
  <r>
    <n v="2909"/>
    <s v="Albert Fowler"/>
    <x v="4"/>
    <x v="4"/>
    <x v="0"/>
    <n v="2928.84"/>
    <n v="0.51"/>
    <x v="1117"/>
    <x v="355"/>
    <x v="0"/>
    <x v="1"/>
    <n v="5740.5263999999997"/>
    <n v="-477.2"/>
  </r>
  <r>
    <n v="2910"/>
    <s v="Michael Garcia"/>
    <x v="5"/>
    <x v="19"/>
    <x v="0"/>
    <n v="1027.54"/>
    <n v="0.55000000000000004"/>
    <x v="1118"/>
    <x v="207"/>
    <x v="1"/>
    <x v="0"/>
    <n v="1849.5719999999997"/>
    <n v="-580.87"/>
  </r>
  <r>
    <n v="2911"/>
    <s v="Matthew Jones"/>
    <x v="5"/>
    <x v="6"/>
    <x v="1"/>
    <n v="2975.64"/>
    <n v="0.51"/>
    <x v="352"/>
    <x v="4"/>
    <x v="1"/>
    <x v="1"/>
    <n v="1458.0636"/>
    <n v="364.51589999999999"/>
  </r>
  <r>
    <n v="2912"/>
    <s v="Stacy Graves"/>
    <x v="2"/>
    <x v="17"/>
    <x v="3"/>
    <n v="2385.5749999999998"/>
    <n v="0.51"/>
    <x v="91"/>
    <x v="177"/>
    <x v="5"/>
    <x v="1"/>
    <n v="3506.7952499999997"/>
    <n v="-97.77"/>
  </r>
  <r>
    <n v="2913"/>
    <s v="Chelsea Hunter"/>
    <x v="2"/>
    <x v="10"/>
    <x v="0"/>
    <n v="2666.2200000000003"/>
    <n v="0.51"/>
    <x v="142"/>
    <x v="4"/>
    <x v="1"/>
    <x v="0"/>
    <n v="5225.7912000000006"/>
    <n v="1693.76"/>
  </r>
  <r>
    <n v="2914"/>
    <s v="Jamie Meyer"/>
    <x v="3"/>
    <x v="3"/>
    <x v="3"/>
    <n v="2515.415"/>
    <n v="0.51"/>
    <x v="11"/>
    <x v="519"/>
    <x v="0"/>
    <x v="1"/>
    <n v="3697.66005"/>
    <n v="2321.6"/>
  </r>
  <r>
    <n v="2915"/>
    <s v="Kimberly Harrison"/>
    <x v="3"/>
    <x v="3"/>
    <x v="3"/>
    <n v="3022.15"/>
    <n v="0.51"/>
    <x v="1119"/>
    <x v="461"/>
    <x v="0"/>
    <x v="1"/>
    <n v="4442.5605000000005"/>
    <n v="-528.82000000000005"/>
  </r>
  <r>
    <n v="2916"/>
    <s v="Edward Anderson"/>
    <x v="1"/>
    <x v="18"/>
    <x v="3"/>
    <n v="2483.4899999999998"/>
    <n v="0.51"/>
    <x v="1120"/>
    <x v="206"/>
    <x v="1"/>
    <x v="1"/>
    <n v="3650.7302999999997"/>
    <n v="370.61"/>
  </r>
  <r>
    <n v="1027"/>
    <s v="Morgan Sharp"/>
    <x v="3"/>
    <x v="21"/>
    <x v="0"/>
    <n v="2092.33"/>
    <n v="0.51"/>
    <x v="1121"/>
    <x v="502"/>
    <x v="1"/>
    <x v="1"/>
    <n v="4100.9668000000001"/>
    <n v="-586.88"/>
  </r>
  <r>
    <n v="2918"/>
    <s v="Nicholas Bryant"/>
    <x v="2"/>
    <x v="10"/>
    <x v="0"/>
    <n v="2666.2200000000003"/>
    <n v="0.51"/>
    <x v="142"/>
    <x v="4"/>
    <x v="0"/>
    <x v="1"/>
    <n v="5225.7912000000006"/>
    <n v="899.98"/>
  </r>
  <r>
    <n v="2919"/>
    <s v="Timothy Peterson"/>
    <x v="0"/>
    <x v="0"/>
    <x v="2"/>
    <n v="535.62"/>
    <n v="0.51"/>
    <x v="1122"/>
    <x v="215"/>
    <x v="3"/>
    <x v="0"/>
    <n v="524.9076"/>
    <n v="-637.47"/>
  </r>
  <r>
    <n v="2920"/>
    <s v="Michael Smith"/>
    <x v="3"/>
    <x v="3"/>
    <x v="1"/>
    <n v="2515.415"/>
    <n v="0.51"/>
    <x v="24"/>
    <x v="192"/>
    <x v="4"/>
    <x v="1"/>
    <n v="1232.5533499999999"/>
    <n v="489.94"/>
  </r>
  <r>
    <n v="2921"/>
    <s v="Andrew Lopez"/>
    <x v="2"/>
    <x v="10"/>
    <x v="5"/>
    <n v="2666.2200000000003"/>
    <n v="0.51"/>
    <x v="14"/>
    <x v="3"/>
    <x v="4"/>
    <x v="1"/>
    <n v="7838.6868000000004"/>
    <n v="-821.17"/>
  </r>
  <r>
    <n v="2922"/>
    <s v="Olivia Decker"/>
    <x v="1"/>
    <x v="22"/>
    <x v="6"/>
    <n v="2488.9499999999998"/>
    <n v="0.51"/>
    <x v="1123"/>
    <x v="4"/>
    <x v="4"/>
    <x v="0"/>
    <n v="4268.5492499999991"/>
    <n v="2827.47"/>
  </r>
  <r>
    <n v="2923"/>
    <s v="Albert Garcia"/>
    <x v="3"/>
    <x v="7"/>
    <x v="3"/>
    <n v="2577.6350000000002"/>
    <n v="0.17"/>
    <x v="8"/>
    <x v="24"/>
    <x v="4"/>
    <x v="0"/>
    <n v="6418.3111500000005"/>
    <n v="-674.63"/>
  </r>
  <r>
    <n v="2924"/>
    <s v="Donald Simmons"/>
    <x v="1"/>
    <x v="15"/>
    <x v="3"/>
    <n v="4151.88"/>
    <n v="0.05"/>
    <x v="1124"/>
    <x v="111"/>
    <x v="5"/>
    <x v="1"/>
    <n v="11832.857999999998"/>
    <n v="577.77"/>
  </r>
  <r>
    <n v="1004"/>
    <s v="Cheryl Baker"/>
    <x v="0"/>
    <x v="0"/>
    <x v="0"/>
    <n v="977.64"/>
    <n v="0.51"/>
    <x v="1125"/>
    <x v="373"/>
    <x v="3"/>
    <x v="1"/>
    <n v="1916.1743999999999"/>
    <n v="479.04359999999997"/>
  </r>
  <r>
    <n v="2926"/>
    <s v="Zachary Robinson"/>
    <x v="5"/>
    <x v="12"/>
    <x v="0"/>
    <n v="3263.06"/>
    <n v="0.16"/>
    <x v="1126"/>
    <x v="26"/>
    <x v="2"/>
    <x v="1"/>
    <n v="10963.881599999999"/>
    <n v="2428.73"/>
  </r>
  <r>
    <n v="2927"/>
    <s v="Mark Bailey"/>
    <x v="5"/>
    <x v="12"/>
    <x v="3"/>
    <n v="2765.26"/>
    <n v="0.51"/>
    <x v="19"/>
    <x v="37"/>
    <x v="2"/>
    <x v="1"/>
    <n v="4064.9322000000002"/>
    <n v="-674.94"/>
  </r>
  <r>
    <n v="2928"/>
    <s v="Christine Davenport"/>
    <x v="2"/>
    <x v="10"/>
    <x v="0"/>
    <n v="2666.2200000000003"/>
    <n v="0.78"/>
    <x v="142"/>
    <x v="340"/>
    <x v="0"/>
    <x v="1"/>
    <n v="2346.2736"/>
    <n v="642.22"/>
  </r>
  <r>
    <n v="2929"/>
    <s v="William Vargas"/>
    <x v="4"/>
    <x v="14"/>
    <x v="0"/>
    <n v="4733.41"/>
    <n v="0.51"/>
    <x v="1127"/>
    <x v="287"/>
    <x v="3"/>
    <x v="0"/>
    <n v="9277.4835999999996"/>
    <n v="2459.5"/>
  </r>
  <r>
    <n v="2930"/>
    <s v="David Quinn"/>
    <x v="5"/>
    <x v="12"/>
    <x v="3"/>
    <n v="2642.73"/>
    <n v="0.09"/>
    <x v="1128"/>
    <x v="357"/>
    <x v="1"/>
    <x v="1"/>
    <n v="7214.652900000001"/>
    <n v="996.68"/>
  </r>
  <r>
    <n v="2931"/>
    <s v="Jeffrey Wilson"/>
    <x v="0"/>
    <x v="20"/>
    <x v="4"/>
    <n v="2629.78"/>
    <n v="0.51"/>
    <x v="1129"/>
    <x v="4"/>
    <x v="0"/>
    <x v="1"/>
    <n v="6442.9610000000002"/>
    <n v="2826.2"/>
  </r>
  <r>
    <n v="2932"/>
    <s v="Sara Woods"/>
    <x v="2"/>
    <x v="10"/>
    <x v="0"/>
    <n v="2666.2200000000003"/>
    <n v="0.51"/>
    <x v="142"/>
    <x v="446"/>
    <x v="4"/>
    <x v="1"/>
    <n v="5225.7912000000006"/>
    <n v="700.64"/>
  </r>
  <r>
    <n v="2933"/>
    <s v="Miguel Reed"/>
    <x v="0"/>
    <x v="9"/>
    <x v="0"/>
    <n v="2891"/>
    <n v="0.51"/>
    <x v="1130"/>
    <x v="456"/>
    <x v="0"/>
    <x v="0"/>
    <n v="5666.36"/>
    <n v="1279.32"/>
  </r>
  <r>
    <n v="2934"/>
    <s v="Cynthia Fox"/>
    <x v="5"/>
    <x v="12"/>
    <x v="4"/>
    <n v="2765.26"/>
    <n v="0.51"/>
    <x v="1131"/>
    <x v="66"/>
    <x v="1"/>
    <x v="1"/>
    <n v="6774.8870000000006"/>
    <n v="-811.78"/>
  </r>
  <r>
    <n v="2935"/>
    <s v="Danielle Hernandez"/>
    <x v="2"/>
    <x v="2"/>
    <x v="0"/>
    <n v="3681.08"/>
    <n v="0.51"/>
    <x v="1132"/>
    <x v="4"/>
    <x v="4"/>
    <x v="1"/>
    <n v="7214.9168"/>
    <n v="2705.42"/>
  </r>
  <r>
    <n v="2936"/>
    <s v="David Davis"/>
    <x v="2"/>
    <x v="2"/>
    <x v="0"/>
    <n v="4487.5"/>
    <n v="0.51"/>
    <x v="1133"/>
    <x v="279"/>
    <x v="5"/>
    <x v="1"/>
    <n v="8795.5"/>
    <n v="2518.5300000000002"/>
  </r>
  <r>
    <n v="2937"/>
    <s v="Megan Johnson"/>
    <x v="3"/>
    <x v="7"/>
    <x v="3"/>
    <n v="2577.6350000000002"/>
    <n v="0.51"/>
    <x v="8"/>
    <x v="408"/>
    <x v="2"/>
    <x v="1"/>
    <n v="3789.12345"/>
    <n v="-889.53"/>
  </r>
  <r>
    <n v="2938"/>
    <s v="Donald Brown"/>
    <x v="2"/>
    <x v="17"/>
    <x v="3"/>
    <n v="2429.63"/>
    <n v="0.51"/>
    <x v="1134"/>
    <x v="4"/>
    <x v="1"/>
    <x v="1"/>
    <n v="3571.5561000000002"/>
    <n v="-7.17"/>
  </r>
  <r>
    <n v="2939"/>
    <s v="Maurice Craig"/>
    <x v="2"/>
    <x v="10"/>
    <x v="0"/>
    <n v="2666.2200000000003"/>
    <n v="0.51"/>
    <x v="142"/>
    <x v="93"/>
    <x v="3"/>
    <x v="1"/>
    <n v="5225.7912000000006"/>
    <n v="2143.94"/>
  </r>
  <r>
    <n v="2940"/>
    <s v="Jerry Gutierrez"/>
    <x v="2"/>
    <x v="13"/>
    <x v="0"/>
    <n v="2538.0450000000001"/>
    <n v="0.51"/>
    <x v="21"/>
    <x v="337"/>
    <x v="4"/>
    <x v="0"/>
    <n v="4974.5681999999997"/>
    <n v="1992.92"/>
  </r>
  <r>
    <n v="2941"/>
    <s v="Lauren Smith"/>
    <x v="1"/>
    <x v="1"/>
    <x v="0"/>
    <n v="2144.36"/>
    <n v="0.51"/>
    <x v="1135"/>
    <x v="447"/>
    <x v="5"/>
    <x v="0"/>
    <n v="4202.9456"/>
    <n v="1435.03"/>
  </r>
  <r>
    <n v="2942"/>
    <s v="Amy Kim"/>
    <x v="3"/>
    <x v="7"/>
    <x v="2"/>
    <n v="2577.6350000000002"/>
    <n v="0.56000000000000005"/>
    <x v="32"/>
    <x v="4"/>
    <x v="5"/>
    <x v="1"/>
    <n v="2268.3188"/>
    <n v="567.0797"/>
  </r>
  <r>
    <n v="2943"/>
    <s v="George Thomas"/>
    <x v="0"/>
    <x v="5"/>
    <x v="3"/>
    <n v="4638.0200000000004"/>
    <n v="0.51"/>
    <x v="1136"/>
    <x v="27"/>
    <x v="5"/>
    <x v="1"/>
    <n v="6817.8894000000009"/>
    <n v="745.3"/>
  </r>
  <r>
    <n v="2944"/>
    <s v="John Blankenship"/>
    <x v="5"/>
    <x v="6"/>
    <x v="1"/>
    <n v="1313.35"/>
    <n v="0.2"/>
    <x v="1137"/>
    <x v="356"/>
    <x v="4"/>
    <x v="0"/>
    <n v="1050.68"/>
    <n v="-384.05"/>
  </r>
  <r>
    <n v="2945"/>
    <s v="Michael Garcia"/>
    <x v="2"/>
    <x v="17"/>
    <x v="1"/>
    <n v="2385.5749999999998"/>
    <n v="0.51"/>
    <x v="1138"/>
    <x v="158"/>
    <x v="2"/>
    <x v="1"/>
    <n v="1168.93175"/>
    <n v="-130.97"/>
  </r>
  <r>
    <n v="2946"/>
    <s v="Chris Russell"/>
    <x v="5"/>
    <x v="12"/>
    <x v="3"/>
    <n v="2765.26"/>
    <n v="0.51"/>
    <x v="19"/>
    <x v="232"/>
    <x v="2"/>
    <x v="1"/>
    <n v="4064.9322000000002"/>
    <n v="2187.48"/>
  </r>
  <r>
    <n v="2947"/>
    <s v="Terri Patton"/>
    <x v="2"/>
    <x v="17"/>
    <x v="2"/>
    <n v="2385.5749999999998"/>
    <n v="0.97"/>
    <x v="502"/>
    <x v="459"/>
    <x v="2"/>
    <x v="0"/>
    <n v="143.13450000000012"/>
    <n v="35.783625000000029"/>
  </r>
  <r>
    <n v="2948"/>
    <s v="Daniel Haney"/>
    <x v="0"/>
    <x v="0"/>
    <x v="4"/>
    <n v="2494.15"/>
    <n v="0.51"/>
    <x v="1139"/>
    <x v="322"/>
    <x v="0"/>
    <x v="1"/>
    <n v="6110.6674999999996"/>
    <n v="-901.7"/>
  </r>
  <r>
    <n v="2949"/>
    <s v="Charlene Knight"/>
    <x v="0"/>
    <x v="5"/>
    <x v="3"/>
    <n v="3008.6549999999997"/>
    <n v="0.1"/>
    <x v="44"/>
    <x v="4"/>
    <x v="5"/>
    <x v="1"/>
    <n v="8123.3685000000005"/>
    <n v="1569.63"/>
  </r>
  <r>
    <n v="2950"/>
    <s v="Karina Lee"/>
    <x v="3"/>
    <x v="3"/>
    <x v="2"/>
    <n v="2515.415"/>
    <n v="0.27"/>
    <x v="1140"/>
    <x v="213"/>
    <x v="3"/>
    <x v="1"/>
    <n v="3672.5058999999997"/>
    <n v="1158.28"/>
  </r>
  <r>
    <n v="2951"/>
    <s v="Rebecca West"/>
    <x v="5"/>
    <x v="12"/>
    <x v="4"/>
    <n v="2765.26"/>
    <n v="0.51"/>
    <x v="1131"/>
    <x v="4"/>
    <x v="0"/>
    <x v="0"/>
    <n v="6774.8870000000006"/>
    <n v="2454.0700000000002"/>
  </r>
  <r>
    <n v="2952"/>
    <s v="Jennifer Simpson"/>
    <x v="2"/>
    <x v="17"/>
    <x v="3"/>
    <n v="470.68"/>
    <n v="0.06"/>
    <x v="1141"/>
    <x v="468"/>
    <x v="1"/>
    <x v="1"/>
    <n v="1327.3175999999999"/>
    <n v="331.82939999999996"/>
  </r>
  <r>
    <n v="2953"/>
    <s v="Ronnie Oconnor"/>
    <x v="2"/>
    <x v="17"/>
    <x v="3"/>
    <n v="3500.98"/>
    <n v="0.51"/>
    <x v="1142"/>
    <x v="4"/>
    <x v="2"/>
    <x v="1"/>
    <n v="5146.4405999999999"/>
    <n v="-865.81"/>
  </r>
  <r>
    <n v="2954"/>
    <s v="Jason Rivera"/>
    <x v="5"/>
    <x v="11"/>
    <x v="3"/>
    <n v="2731.6350000000002"/>
    <n v="0.51"/>
    <x v="60"/>
    <x v="42"/>
    <x v="4"/>
    <x v="1"/>
    <n v="4015.5034500000002"/>
    <n v="1632.71"/>
  </r>
  <r>
    <n v="2955"/>
    <s v="Jody Park"/>
    <x v="5"/>
    <x v="12"/>
    <x v="5"/>
    <n v="2765.26"/>
    <n v="0.51"/>
    <x v="1111"/>
    <x v="109"/>
    <x v="1"/>
    <x v="1"/>
    <n v="8129.8644000000004"/>
    <n v="-646.89"/>
  </r>
  <r>
    <n v="2956"/>
    <s v="Daniel Hicks"/>
    <x v="1"/>
    <x v="1"/>
    <x v="0"/>
    <n v="2710.15"/>
    <n v="0.51"/>
    <x v="1143"/>
    <x v="4"/>
    <x v="0"/>
    <x v="0"/>
    <n v="5311.8940000000002"/>
    <n v="2.2200000000000002"/>
  </r>
  <r>
    <n v="2957"/>
    <s v="Nicholas Molina"/>
    <x v="3"/>
    <x v="3"/>
    <x v="3"/>
    <n v="2515.415"/>
    <n v="0.68"/>
    <x v="11"/>
    <x v="454"/>
    <x v="1"/>
    <x v="0"/>
    <n v="2414.7983999999997"/>
    <n v="301.72000000000003"/>
  </r>
  <r>
    <n v="2958"/>
    <s v="James Juarez"/>
    <x v="4"/>
    <x v="14"/>
    <x v="0"/>
    <n v="2765.79"/>
    <n v="0.51"/>
    <x v="25"/>
    <x v="80"/>
    <x v="5"/>
    <x v="0"/>
    <n v="5420.9484000000002"/>
    <n v="-645.12"/>
  </r>
  <r>
    <n v="2959"/>
    <s v="Gary Smith"/>
    <x v="2"/>
    <x v="2"/>
    <x v="0"/>
    <n v="4113.9799999999996"/>
    <n v="0.51"/>
    <x v="1144"/>
    <x v="67"/>
    <x v="2"/>
    <x v="0"/>
    <n v="8063.4007999999994"/>
    <n v="477.7"/>
  </r>
  <r>
    <n v="2960"/>
    <s v="Angie Garza"/>
    <x v="3"/>
    <x v="3"/>
    <x v="3"/>
    <n v="1536.53"/>
    <n v="0.96"/>
    <x v="1145"/>
    <x v="8"/>
    <x v="3"/>
    <x v="1"/>
    <n v="184.38360000000017"/>
    <n v="46.095900000000043"/>
  </r>
  <r>
    <n v="1021"/>
    <s v="Preston Gomez"/>
    <x v="4"/>
    <x v="14"/>
    <x v="2"/>
    <n v="2765.79"/>
    <n v="0.04"/>
    <x v="118"/>
    <x v="91"/>
    <x v="5"/>
    <x v="0"/>
    <n v="5310.3167999999996"/>
    <n v="796.33"/>
  </r>
  <r>
    <n v="2962"/>
    <s v="Chelsea Singleton"/>
    <x v="3"/>
    <x v="3"/>
    <x v="3"/>
    <n v="2515.415"/>
    <n v="0.87"/>
    <x v="11"/>
    <x v="225"/>
    <x v="0"/>
    <x v="0"/>
    <n v="981.01184999999998"/>
    <n v="-617.13"/>
  </r>
  <r>
    <n v="2963"/>
    <s v="Molly Adams"/>
    <x v="0"/>
    <x v="0"/>
    <x v="0"/>
    <n v="570.21"/>
    <n v="0.51"/>
    <x v="1146"/>
    <x v="306"/>
    <x v="0"/>
    <x v="1"/>
    <n v="1117.6116"/>
    <n v="380.3"/>
  </r>
  <r>
    <n v="2964"/>
    <s v="Mario Ponce"/>
    <x v="2"/>
    <x v="17"/>
    <x v="3"/>
    <n v="2385.5749999999998"/>
    <n v="0.96"/>
    <x v="91"/>
    <x v="337"/>
    <x v="4"/>
    <x v="0"/>
    <n v="286.26900000000023"/>
    <n v="-937.17"/>
  </r>
  <r>
    <n v="1038"/>
    <s v="Joel Martinez"/>
    <x v="2"/>
    <x v="17"/>
    <x v="3"/>
    <n v="2385.5749999999998"/>
    <n v="0.51"/>
    <x v="91"/>
    <x v="452"/>
    <x v="5"/>
    <x v="0"/>
    <n v="3506.7952499999997"/>
    <n v="2689.89"/>
  </r>
  <r>
    <n v="2966"/>
    <s v="Carol Williams"/>
    <x v="4"/>
    <x v="4"/>
    <x v="0"/>
    <n v="1650.01"/>
    <n v="0.51"/>
    <x v="1147"/>
    <x v="520"/>
    <x v="4"/>
    <x v="1"/>
    <n v="3234.0196000000001"/>
    <n v="2561.34"/>
  </r>
  <r>
    <n v="2967"/>
    <s v="Angela Palmer"/>
    <x v="5"/>
    <x v="6"/>
    <x v="0"/>
    <n v="2975.64"/>
    <n v="0.51"/>
    <x v="61"/>
    <x v="200"/>
    <x v="4"/>
    <x v="1"/>
    <n v="5832.2543999999998"/>
    <n v="-346.59"/>
  </r>
  <r>
    <n v="2968"/>
    <s v="Charles Morgan"/>
    <x v="1"/>
    <x v="1"/>
    <x v="0"/>
    <n v="2579.8000000000002"/>
    <n v="0.51"/>
    <x v="22"/>
    <x v="521"/>
    <x v="2"/>
    <x v="1"/>
    <n v="5056.4080000000004"/>
    <n v="768.33"/>
  </r>
  <r>
    <n v="2969"/>
    <s v="Jacob Taylor"/>
    <x v="1"/>
    <x v="22"/>
    <x v="6"/>
    <n v="4858.47"/>
    <n v="0.68"/>
    <x v="1148"/>
    <x v="3"/>
    <x v="3"/>
    <x v="1"/>
    <n v="5441.4863999999989"/>
    <n v="1115.8900000000001"/>
  </r>
  <r>
    <n v="2970"/>
    <s v="Adam Rowe"/>
    <x v="4"/>
    <x v="8"/>
    <x v="1"/>
    <n v="3027.66"/>
    <n v="0.51"/>
    <x v="1149"/>
    <x v="26"/>
    <x v="5"/>
    <x v="0"/>
    <n v="1483.5534"/>
    <n v="1214.1500000000001"/>
  </r>
  <r>
    <n v="2971"/>
    <s v="Danielle Archer"/>
    <x v="5"/>
    <x v="19"/>
    <x v="5"/>
    <n v="1507.6"/>
    <n v="0.51"/>
    <x v="1150"/>
    <x v="459"/>
    <x v="0"/>
    <x v="0"/>
    <n v="4432.3439999999991"/>
    <n v="2280.06"/>
  </r>
  <r>
    <n v="2972"/>
    <s v="Alfred Harris"/>
    <x v="5"/>
    <x v="19"/>
    <x v="4"/>
    <n v="2889.5349999999999"/>
    <n v="0.51"/>
    <x v="372"/>
    <x v="4"/>
    <x v="5"/>
    <x v="1"/>
    <n v="7079.3607499999998"/>
    <n v="2532.7600000000002"/>
  </r>
  <r>
    <n v="2973"/>
    <s v="Joel Johnson MD"/>
    <x v="3"/>
    <x v="3"/>
    <x v="3"/>
    <n v="2515.415"/>
    <n v="0.51"/>
    <x v="11"/>
    <x v="98"/>
    <x v="4"/>
    <x v="0"/>
    <n v="3697.66005"/>
    <n v="1576.16"/>
  </r>
  <r>
    <n v="2974"/>
    <s v="Amy Miller"/>
    <x v="3"/>
    <x v="21"/>
    <x v="5"/>
    <n v="1765.76"/>
    <n v="0.36"/>
    <x v="1151"/>
    <x v="417"/>
    <x v="1"/>
    <x v="1"/>
    <n v="6780.5183999999999"/>
    <n v="2947"/>
  </r>
  <r>
    <n v="2975"/>
    <s v="Alexandra Jones"/>
    <x v="3"/>
    <x v="23"/>
    <x v="6"/>
    <n v="3835.25"/>
    <n v="0.51"/>
    <x v="1152"/>
    <x v="38"/>
    <x v="1"/>
    <x v="1"/>
    <n v="6577.4537499999997"/>
    <n v="2378.4"/>
  </r>
  <r>
    <n v="2976"/>
    <s v="John Lee"/>
    <x v="4"/>
    <x v="14"/>
    <x v="0"/>
    <n v="1572.95"/>
    <n v="0.51"/>
    <x v="1153"/>
    <x v="290"/>
    <x v="4"/>
    <x v="1"/>
    <n v="3082.982"/>
    <n v="2532.02"/>
  </r>
  <r>
    <n v="2977"/>
    <s v="Brendan Martin"/>
    <x v="5"/>
    <x v="6"/>
    <x v="0"/>
    <n v="3205.93"/>
    <n v="0.51"/>
    <x v="1154"/>
    <x v="4"/>
    <x v="2"/>
    <x v="0"/>
    <n v="6283.6227999999992"/>
    <n v="1421.4"/>
  </r>
  <r>
    <n v="2978"/>
    <s v="James Olson"/>
    <x v="5"/>
    <x v="19"/>
    <x v="3"/>
    <n v="2889.5349999999999"/>
    <n v="0.52"/>
    <x v="823"/>
    <x v="96"/>
    <x v="4"/>
    <x v="0"/>
    <n v="4160.9303999999993"/>
    <n v="771.47"/>
  </r>
  <r>
    <n v="2979"/>
    <s v="Christina Simmons"/>
    <x v="4"/>
    <x v="14"/>
    <x v="0"/>
    <n v="2765.79"/>
    <n v="0.23"/>
    <x v="25"/>
    <x v="4"/>
    <x v="2"/>
    <x v="1"/>
    <n v="8518.6332000000002"/>
    <n v="862.17"/>
  </r>
  <r>
    <n v="2980"/>
    <s v="Tina Williams"/>
    <x v="4"/>
    <x v="14"/>
    <x v="0"/>
    <n v="2765.79"/>
    <n v="0.36"/>
    <x v="25"/>
    <x v="146"/>
    <x v="0"/>
    <x v="0"/>
    <n v="7080.4224000000004"/>
    <n v="147.66999999999999"/>
  </r>
  <r>
    <n v="1040"/>
    <s v="Julie Moon MD"/>
    <x v="4"/>
    <x v="4"/>
    <x v="0"/>
    <n v="2001.5500000000002"/>
    <n v="0.51"/>
    <x v="5"/>
    <x v="79"/>
    <x v="0"/>
    <x v="1"/>
    <n v="3923.0380000000005"/>
    <n v="2959.73"/>
  </r>
  <r>
    <n v="2982"/>
    <s v="Bailey Keller"/>
    <x v="4"/>
    <x v="8"/>
    <x v="3"/>
    <n v="2497.52"/>
    <n v="0.51"/>
    <x v="1155"/>
    <x v="232"/>
    <x v="1"/>
    <x v="1"/>
    <n v="3671.3543999999997"/>
    <n v="-523.42999999999995"/>
  </r>
  <r>
    <n v="2983"/>
    <s v="Bryan Conway"/>
    <x v="2"/>
    <x v="10"/>
    <x v="0"/>
    <n v="2666.2200000000003"/>
    <n v="0.51"/>
    <x v="142"/>
    <x v="4"/>
    <x v="5"/>
    <x v="1"/>
    <n v="5225.7912000000006"/>
    <n v="1347.94"/>
  </r>
  <r>
    <n v="2984"/>
    <s v="Alexander Gonzalez"/>
    <x v="2"/>
    <x v="2"/>
    <x v="0"/>
    <n v="2062.9"/>
    <n v="0.51"/>
    <x v="1156"/>
    <x v="177"/>
    <x v="2"/>
    <x v="0"/>
    <n v="4043.2840000000001"/>
    <n v="2471.06"/>
  </r>
  <r>
    <n v="2985"/>
    <s v="Elizabeth Mills"/>
    <x v="0"/>
    <x v="9"/>
    <x v="0"/>
    <n v="2891.64"/>
    <n v="0.51"/>
    <x v="12"/>
    <x v="47"/>
    <x v="4"/>
    <x v="1"/>
    <n v="5667.6143999999995"/>
    <n v="774.28"/>
  </r>
  <r>
    <n v="2986"/>
    <s v="Jeffrey Kennedy"/>
    <x v="5"/>
    <x v="12"/>
    <x v="3"/>
    <n v="2765.26"/>
    <n v="0.51"/>
    <x v="19"/>
    <x v="84"/>
    <x v="2"/>
    <x v="1"/>
    <n v="4064.9322000000002"/>
    <n v="-283.42"/>
  </r>
  <r>
    <n v="2987"/>
    <s v="Lauren Harrell"/>
    <x v="3"/>
    <x v="3"/>
    <x v="5"/>
    <n v="2584.4299999999998"/>
    <n v="0.51"/>
    <x v="1157"/>
    <x v="4"/>
    <x v="0"/>
    <x v="0"/>
    <n v="7598.2241999999987"/>
    <n v="992.21"/>
  </r>
  <r>
    <n v="2988"/>
    <s v="Morgan Bullock"/>
    <x v="4"/>
    <x v="16"/>
    <x v="0"/>
    <n v="2599.75"/>
    <n v="0.51"/>
    <x v="42"/>
    <x v="4"/>
    <x v="5"/>
    <x v="1"/>
    <n v="5095.51"/>
    <n v="2784.91"/>
  </r>
  <r>
    <n v="2989"/>
    <s v="Paige Mosley"/>
    <x v="2"/>
    <x v="17"/>
    <x v="3"/>
    <n v="4084.97"/>
    <n v="0.83"/>
    <x v="1158"/>
    <x v="463"/>
    <x v="2"/>
    <x v="1"/>
    <n v="2083.3347000000003"/>
    <n v="520.83367500000008"/>
  </r>
  <r>
    <n v="2990"/>
    <s v="Johnny Good"/>
    <x v="0"/>
    <x v="0"/>
    <x v="0"/>
    <n v="3205.73"/>
    <n v="0.51"/>
    <x v="1159"/>
    <x v="10"/>
    <x v="2"/>
    <x v="1"/>
    <n v="6283.2308000000003"/>
    <n v="1600.5"/>
  </r>
  <r>
    <n v="2991"/>
    <s v="Brittany Torres"/>
    <x v="5"/>
    <x v="19"/>
    <x v="0"/>
    <n v="2053.65"/>
    <n v="0.51"/>
    <x v="1160"/>
    <x v="95"/>
    <x v="4"/>
    <x v="1"/>
    <n v="4025.154"/>
    <n v="-86.89"/>
  </r>
  <r>
    <n v="2992"/>
    <s v="Kelly Willis"/>
    <x v="0"/>
    <x v="9"/>
    <x v="0"/>
    <n v="4747.16"/>
    <n v="0.9"/>
    <x v="1161"/>
    <x v="522"/>
    <x v="3"/>
    <x v="1"/>
    <n v="1898.8639999999996"/>
    <n v="474.71599999999989"/>
  </r>
  <r>
    <n v="2993"/>
    <s v="Kara Howell"/>
    <x v="3"/>
    <x v="23"/>
    <x v="6"/>
    <n v="2338.04"/>
    <n v="0.51"/>
    <x v="171"/>
    <x v="523"/>
    <x v="2"/>
    <x v="0"/>
    <n v="4009.7385999999997"/>
    <n v="-568.91"/>
  </r>
  <r>
    <n v="2994"/>
    <s v="Christopher Cannon"/>
    <x v="4"/>
    <x v="8"/>
    <x v="4"/>
    <n v="919.26"/>
    <n v="0.51"/>
    <x v="1162"/>
    <x v="4"/>
    <x v="4"/>
    <x v="1"/>
    <n v="2252.1869999999999"/>
    <n v="563.04674999999997"/>
  </r>
  <r>
    <n v="2995"/>
    <s v="Kathleen Rose"/>
    <x v="2"/>
    <x v="10"/>
    <x v="0"/>
    <n v="2617.66"/>
    <n v="0.55000000000000004"/>
    <x v="1163"/>
    <x v="174"/>
    <x v="2"/>
    <x v="1"/>
    <n v="4711.7879999999996"/>
    <n v="1406.13"/>
  </r>
  <r>
    <n v="2996"/>
    <s v="Travis Wells"/>
    <x v="5"/>
    <x v="12"/>
    <x v="2"/>
    <n v="3750.45"/>
    <n v="0.51"/>
    <x v="1164"/>
    <x v="454"/>
    <x v="1"/>
    <x v="1"/>
    <n v="3675.4409999999998"/>
    <n v="1108.3800000000001"/>
  </r>
  <r>
    <n v="1027"/>
    <s v="Christine Cox"/>
    <x v="1"/>
    <x v="15"/>
    <x v="3"/>
    <n v="2229.4899999999998"/>
    <n v="0.51"/>
    <x v="30"/>
    <x v="4"/>
    <x v="4"/>
    <x v="1"/>
    <n v="3277.3502999999996"/>
    <n v="1921.25"/>
  </r>
  <r>
    <n v="2998"/>
    <s v="Christine Wilson"/>
    <x v="1"/>
    <x v="1"/>
    <x v="0"/>
    <n v="3453.58"/>
    <n v="0.51"/>
    <x v="1165"/>
    <x v="524"/>
    <x v="2"/>
    <x v="1"/>
    <n v="6769.0167999999994"/>
    <n v="2018.4"/>
  </r>
  <r>
    <n v="2999"/>
    <s v="Deborah Frederick"/>
    <x v="2"/>
    <x v="2"/>
    <x v="0"/>
    <n v="2933.45"/>
    <n v="0.51"/>
    <x v="13"/>
    <x v="4"/>
    <x v="4"/>
    <x v="1"/>
    <n v="5749.5619999999999"/>
    <n v="-828.2"/>
  </r>
  <r>
    <n v="1034"/>
    <s v="Robert Goodwin"/>
    <x v="5"/>
    <x v="6"/>
    <x v="0"/>
    <n v="2975.64"/>
    <n v="0.51"/>
    <x v="61"/>
    <x v="477"/>
    <x v="4"/>
    <x v="1"/>
    <n v="5832.2543999999998"/>
    <n v="-41.81"/>
  </r>
  <r>
    <n v="3001"/>
    <s v="Amanda Mclaughlin"/>
    <x v="1"/>
    <x v="18"/>
    <x v="3"/>
    <n v="1171.57"/>
    <n v="0.51"/>
    <x v="1166"/>
    <x v="44"/>
    <x v="5"/>
    <x v="1"/>
    <n v="1722.2078999999999"/>
    <n v="430.55197499999997"/>
  </r>
  <r>
    <n v="1046"/>
    <s v="Peter Merritt"/>
    <x v="4"/>
    <x v="8"/>
    <x v="3"/>
    <n v="3027.66"/>
    <n v="0.51"/>
    <x v="94"/>
    <x v="525"/>
    <x v="0"/>
    <x v="1"/>
    <n v="4450.6601999999993"/>
    <n v="900.65"/>
  </r>
  <r>
    <n v="3003"/>
    <s v="Christopher Rice"/>
    <x v="0"/>
    <x v="9"/>
    <x v="0"/>
    <n v="2891.64"/>
    <n v="0.51"/>
    <x v="12"/>
    <x v="33"/>
    <x v="0"/>
    <x v="1"/>
    <n v="5667.6143999999995"/>
    <n v="605.98"/>
  </r>
  <r>
    <n v="3004"/>
    <s v="Laurie Martinez"/>
    <x v="4"/>
    <x v="4"/>
    <x v="3"/>
    <n v="1759.66"/>
    <n v="0.51"/>
    <x v="1167"/>
    <x v="112"/>
    <x v="2"/>
    <x v="1"/>
    <n v="2586.7002000000002"/>
    <n v="1133.07"/>
  </r>
  <r>
    <n v="3005"/>
    <s v="Dave Williams"/>
    <x v="1"/>
    <x v="15"/>
    <x v="3"/>
    <n v="2229.4899999999998"/>
    <n v="0.51"/>
    <x v="30"/>
    <x v="262"/>
    <x v="4"/>
    <x v="0"/>
    <n v="3277.3502999999996"/>
    <n v="2378.14"/>
  </r>
  <r>
    <n v="3006"/>
    <s v="Lori Alexander"/>
    <x v="2"/>
    <x v="2"/>
    <x v="0"/>
    <n v="2933.45"/>
    <n v="0.51"/>
    <x v="13"/>
    <x v="4"/>
    <x v="5"/>
    <x v="1"/>
    <n v="5749.5619999999999"/>
    <n v="1441.9"/>
  </r>
  <r>
    <n v="3007"/>
    <s v="Misty Higgins"/>
    <x v="2"/>
    <x v="2"/>
    <x v="0"/>
    <n v="3922.01"/>
    <n v="0.51"/>
    <x v="1168"/>
    <x v="235"/>
    <x v="3"/>
    <x v="1"/>
    <n v="7687.1396000000004"/>
    <n v="2186.58"/>
  </r>
  <r>
    <n v="3008"/>
    <s v="Brandon Ritter"/>
    <x v="3"/>
    <x v="7"/>
    <x v="3"/>
    <n v="2880.85"/>
    <n v="0.51"/>
    <x v="1169"/>
    <x v="417"/>
    <x v="0"/>
    <x v="0"/>
    <n v="4234.8494999999994"/>
    <n v="2519.23"/>
  </r>
  <r>
    <n v="3009"/>
    <s v="Jacob Conrad"/>
    <x v="0"/>
    <x v="0"/>
    <x v="0"/>
    <n v="2366.6149999999998"/>
    <n v="0.51"/>
    <x v="81"/>
    <x v="479"/>
    <x v="3"/>
    <x v="0"/>
    <n v="4638.5653999999995"/>
    <n v="25.22"/>
  </r>
  <r>
    <n v="3010"/>
    <s v="Jessica Nguyen"/>
    <x v="1"/>
    <x v="1"/>
    <x v="0"/>
    <n v="2579.8000000000002"/>
    <n v="0.68"/>
    <x v="22"/>
    <x v="285"/>
    <x v="4"/>
    <x v="0"/>
    <n v="3302.1439999999998"/>
    <n v="671.7"/>
  </r>
  <r>
    <n v="3011"/>
    <s v="Spencer Collins"/>
    <x v="3"/>
    <x v="3"/>
    <x v="3"/>
    <n v="4016.78"/>
    <n v="0.51"/>
    <x v="1170"/>
    <x v="303"/>
    <x v="0"/>
    <x v="1"/>
    <n v="5904.6665999999996"/>
    <n v="729.73"/>
  </r>
  <r>
    <n v="3012"/>
    <s v="Nathan Lyons"/>
    <x v="3"/>
    <x v="23"/>
    <x v="6"/>
    <n v="673.96"/>
    <n v="0.51"/>
    <x v="1171"/>
    <x v="4"/>
    <x v="3"/>
    <x v="1"/>
    <n v="1155.8414"/>
    <n v="799.35"/>
  </r>
  <r>
    <n v="3013"/>
    <s v="Eric Stone"/>
    <x v="4"/>
    <x v="16"/>
    <x v="0"/>
    <n v="2599.75"/>
    <n v="0.66"/>
    <x v="42"/>
    <x v="401"/>
    <x v="3"/>
    <x v="1"/>
    <n v="3535.66"/>
    <n v="-572.35"/>
  </r>
  <r>
    <n v="3014"/>
    <s v="Anthony Smith"/>
    <x v="4"/>
    <x v="16"/>
    <x v="2"/>
    <n v="2599.75"/>
    <n v="0.51"/>
    <x v="295"/>
    <x v="320"/>
    <x v="0"/>
    <x v="1"/>
    <n v="2547.7550000000001"/>
    <n v="1056.99"/>
  </r>
  <r>
    <n v="3015"/>
    <s v="Lindsey Merritt"/>
    <x v="0"/>
    <x v="20"/>
    <x v="4"/>
    <n v="3211"/>
    <n v="0.56000000000000005"/>
    <x v="1172"/>
    <x v="44"/>
    <x v="0"/>
    <x v="0"/>
    <n v="7064.1999999999989"/>
    <n v="-659.55"/>
  </r>
  <r>
    <n v="3016"/>
    <s v="Richard Fuentes"/>
    <x v="3"/>
    <x v="3"/>
    <x v="4"/>
    <n v="2515.415"/>
    <n v="0.51"/>
    <x v="197"/>
    <x v="72"/>
    <x v="4"/>
    <x v="0"/>
    <n v="6162.7667500000007"/>
    <n v="426.15"/>
  </r>
  <r>
    <n v="3017"/>
    <s v="Kimberly Ward"/>
    <x v="2"/>
    <x v="17"/>
    <x v="3"/>
    <n v="2385.5749999999998"/>
    <n v="0.51"/>
    <x v="91"/>
    <x v="98"/>
    <x v="1"/>
    <x v="0"/>
    <n v="3506.7952499999997"/>
    <n v="1237.1300000000001"/>
  </r>
  <r>
    <n v="3018"/>
    <s v="David Wheeler"/>
    <x v="0"/>
    <x v="0"/>
    <x v="0"/>
    <n v="4744.8599999999997"/>
    <n v="0.51"/>
    <x v="1173"/>
    <x v="371"/>
    <x v="4"/>
    <x v="1"/>
    <n v="9299.9255999999987"/>
    <n v="2963.16"/>
  </r>
  <r>
    <n v="3019"/>
    <s v="Alicia Jones"/>
    <x v="0"/>
    <x v="0"/>
    <x v="0"/>
    <n v="2705.09"/>
    <n v="0.51"/>
    <x v="1174"/>
    <x v="94"/>
    <x v="4"/>
    <x v="0"/>
    <n v="5301.9764000000005"/>
    <n v="-546.72"/>
  </r>
  <r>
    <n v="3020"/>
    <s v="Jonathan Leonard"/>
    <x v="2"/>
    <x v="17"/>
    <x v="3"/>
    <n v="2385.5749999999998"/>
    <n v="0.51"/>
    <x v="91"/>
    <x v="168"/>
    <x v="3"/>
    <x v="1"/>
    <n v="3506.7952499999997"/>
    <n v="134.93"/>
  </r>
  <r>
    <n v="3021"/>
    <s v="Michelle Duncan"/>
    <x v="1"/>
    <x v="15"/>
    <x v="3"/>
    <n v="2229.4899999999998"/>
    <n v="0.51"/>
    <x v="30"/>
    <x v="151"/>
    <x v="2"/>
    <x v="1"/>
    <n v="3277.3502999999996"/>
    <n v="-571.78"/>
  </r>
  <r>
    <n v="3022"/>
    <s v="Jennifer Hancock"/>
    <x v="3"/>
    <x v="3"/>
    <x v="3"/>
    <n v="1695.61"/>
    <n v="0.51"/>
    <x v="1175"/>
    <x v="118"/>
    <x v="0"/>
    <x v="0"/>
    <n v="2492.5466999999999"/>
    <n v="297.83"/>
  </r>
  <r>
    <n v="3023"/>
    <s v="Tamara Ross"/>
    <x v="4"/>
    <x v="8"/>
    <x v="3"/>
    <n v="3027.66"/>
    <n v="0.51"/>
    <x v="94"/>
    <x v="526"/>
    <x v="0"/>
    <x v="0"/>
    <n v="4450.6601999999993"/>
    <n v="2001.88"/>
  </r>
  <r>
    <n v="3024"/>
    <s v="Miranda Gutierrez"/>
    <x v="4"/>
    <x v="14"/>
    <x v="0"/>
    <n v="2765.79"/>
    <n v="0.18"/>
    <x v="25"/>
    <x v="4"/>
    <x v="2"/>
    <x v="1"/>
    <n v="9071.7911999999997"/>
    <n v="1505.68"/>
  </r>
  <r>
    <n v="3025"/>
    <s v="Jennifer Mills"/>
    <x v="3"/>
    <x v="3"/>
    <x v="2"/>
    <n v="2515.415"/>
    <n v="0.51"/>
    <x v="1140"/>
    <x v="183"/>
    <x v="3"/>
    <x v="0"/>
    <n v="2465.1066999999998"/>
    <n v="2275.0700000000002"/>
  </r>
  <r>
    <n v="3026"/>
    <s v="Shawn Campos"/>
    <x v="0"/>
    <x v="9"/>
    <x v="0"/>
    <n v="3345.45"/>
    <n v="0.51"/>
    <x v="1176"/>
    <x v="118"/>
    <x v="4"/>
    <x v="0"/>
    <n v="6557.0819999999994"/>
    <n v="2896.95"/>
  </r>
  <r>
    <n v="3027"/>
    <s v="William Nelson"/>
    <x v="3"/>
    <x v="21"/>
    <x v="0"/>
    <n v="2785.79"/>
    <n v="0.51"/>
    <x v="110"/>
    <x v="134"/>
    <x v="2"/>
    <x v="1"/>
    <n v="5460.1484"/>
    <n v="1256.47"/>
  </r>
  <r>
    <n v="3028"/>
    <s v="Stephen Williamson"/>
    <x v="2"/>
    <x v="13"/>
    <x v="0"/>
    <n v="2538.0450000000001"/>
    <n v="0.74"/>
    <x v="21"/>
    <x v="51"/>
    <x v="3"/>
    <x v="1"/>
    <n v="2639.5668000000001"/>
    <n v="-436.73"/>
  </r>
  <r>
    <n v="1031"/>
    <s v="Brittany Jones"/>
    <x v="0"/>
    <x v="0"/>
    <x v="0"/>
    <n v="2267.3000000000002"/>
    <n v="0.91"/>
    <x v="1177"/>
    <x v="56"/>
    <x v="3"/>
    <x v="0"/>
    <n v="816.22799999999984"/>
    <n v="204.05699999999996"/>
  </r>
  <r>
    <n v="3030"/>
    <s v="Jeffrey Haynes"/>
    <x v="3"/>
    <x v="21"/>
    <x v="0"/>
    <n v="4101.8900000000003"/>
    <n v="0.51"/>
    <x v="1178"/>
    <x v="527"/>
    <x v="0"/>
    <x v="0"/>
    <n v="8039.7044000000005"/>
    <n v="1196.03"/>
  </r>
  <r>
    <n v="3031"/>
    <s v="Amber Morales"/>
    <x v="1"/>
    <x v="22"/>
    <x v="6"/>
    <n v="2752.99"/>
    <n v="0.51"/>
    <x v="201"/>
    <x v="415"/>
    <x v="4"/>
    <x v="0"/>
    <n v="4721.3778499999999"/>
    <n v="-970.17"/>
  </r>
  <r>
    <n v="3032"/>
    <s v="Johnathan Owens"/>
    <x v="2"/>
    <x v="13"/>
    <x v="4"/>
    <n v="3654.9"/>
    <n v="0.51"/>
    <x v="1179"/>
    <x v="4"/>
    <x v="1"/>
    <x v="1"/>
    <n v="8954.5049999999992"/>
    <n v="1069.81"/>
  </r>
  <r>
    <n v="3033"/>
    <s v="Clinton Ross"/>
    <x v="4"/>
    <x v="14"/>
    <x v="0"/>
    <n v="1787.52"/>
    <n v="0.51"/>
    <x v="1180"/>
    <x v="153"/>
    <x v="4"/>
    <x v="1"/>
    <n v="3503.5391999999997"/>
    <n v="2626.27"/>
  </r>
  <r>
    <n v="3034"/>
    <s v="Brian Alexander"/>
    <x v="4"/>
    <x v="8"/>
    <x v="3"/>
    <n v="3027.66"/>
    <n v="0.51"/>
    <x v="94"/>
    <x v="4"/>
    <x v="1"/>
    <x v="1"/>
    <n v="4450.6601999999993"/>
    <n v="2599.13"/>
  </r>
  <r>
    <n v="3035"/>
    <s v="Dylan Harris"/>
    <x v="5"/>
    <x v="6"/>
    <x v="0"/>
    <n v="2975.64"/>
    <n v="1"/>
    <x v="61"/>
    <x v="4"/>
    <x v="3"/>
    <x v="1"/>
    <n v="0"/>
    <n v="0"/>
  </r>
  <r>
    <n v="3036"/>
    <s v="Charlene Garrett"/>
    <x v="5"/>
    <x v="19"/>
    <x v="0"/>
    <n v="3997.83"/>
    <n v="0.51"/>
    <x v="1181"/>
    <x v="510"/>
    <x v="0"/>
    <x v="1"/>
    <n v="7835.7467999999999"/>
    <n v="1399.12"/>
  </r>
  <r>
    <n v="3037"/>
    <s v="Brian Sims"/>
    <x v="1"/>
    <x v="1"/>
    <x v="0"/>
    <n v="2579.8000000000002"/>
    <n v="0.85"/>
    <x v="22"/>
    <x v="42"/>
    <x v="0"/>
    <x v="0"/>
    <n v="1547.8800000000003"/>
    <n v="-298.81"/>
  </r>
  <r>
    <n v="3038"/>
    <s v="Gloria Barrett"/>
    <x v="1"/>
    <x v="15"/>
    <x v="3"/>
    <n v="1318.04"/>
    <n v="0.51"/>
    <x v="1182"/>
    <x v="365"/>
    <x v="1"/>
    <x v="0"/>
    <n v="1937.5187999999998"/>
    <n v="-19.53"/>
  </r>
  <r>
    <n v="3039"/>
    <s v="Edward Porter"/>
    <x v="0"/>
    <x v="0"/>
    <x v="0"/>
    <n v="2366.6149999999998"/>
    <n v="0.51"/>
    <x v="81"/>
    <x v="4"/>
    <x v="5"/>
    <x v="1"/>
    <n v="4638.5653999999995"/>
    <n v="748.79"/>
  </r>
  <r>
    <n v="3040"/>
    <s v="Mark Soto"/>
    <x v="2"/>
    <x v="13"/>
    <x v="0"/>
    <n v="2538.0450000000001"/>
    <n v="0.51"/>
    <x v="21"/>
    <x v="14"/>
    <x v="4"/>
    <x v="1"/>
    <n v="4974.5681999999997"/>
    <n v="2991.73"/>
  </r>
  <r>
    <n v="3041"/>
    <s v="Cameron Medina"/>
    <x v="1"/>
    <x v="15"/>
    <x v="3"/>
    <n v="2229.4899999999998"/>
    <n v="0.51"/>
    <x v="30"/>
    <x v="395"/>
    <x v="4"/>
    <x v="1"/>
    <n v="3277.3502999999996"/>
    <n v="2179.9299999999998"/>
  </r>
  <r>
    <n v="3042"/>
    <s v="Gabriel Chen"/>
    <x v="1"/>
    <x v="22"/>
    <x v="3"/>
    <n v="848.45"/>
    <n v="0.51"/>
    <x v="1183"/>
    <x v="4"/>
    <x v="3"/>
    <x v="0"/>
    <n v="1247.2215000000001"/>
    <n v="311.80537500000003"/>
  </r>
  <r>
    <n v="3043"/>
    <s v="Dennis Bryant"/>
    <x v="3"/>
    <x v="23"/>
    <x v="6"/>
    <n v="1137.77"/>
    <n v="0.51"/>
    <x v="1184"/>
    <x v="528"/>
    <x v="0"/>
    <x v="0"/>
    <n v="1951.2755499999998"/>
    <n v="-471.37"/>
  </r>
  <r>
    <n v="3044"/>
    <s v="Rebecca Newman"/>
    <x v="4"/>
    <x v="8"/>
    <x v="3"/>
    <n v="431.31"/>
    <n v="0.51"/>
    <x v="1185"/>
    <x v="366"/>
    <x v="2"/>
    <x v="0"/>
    <n v="634.02570000000003"/>
    <n v="158.50642500000001"/>
  </r>
  <r>
    <n v="3045"/>
    <s v="Sean Nelson"/>
    <x v="5"/>
    <x v="6"/>
    <x v="0"/>
    <n v="3180.69"/>
    <n v="0.51"/>
    <x v="1186"/>
    <x v="270"/>
    <x v="4"/>
    <x v="1"/>
    <n v="6234.1523999999999"/>
    <n v="2237.56"/>
  </r>
  <r>
    <n v="3046"/>
    <s v="Jeffrey Levy"/>
    <x v="0"/>
    <x v="9"/>
    <x v="0"/>
    <n v="2891.64"/>
    <n v="0.51"/>
    <x v="12"/>
    <x v="4"/>
    <x v="4"/>
    <x v="1"/>
    <n v="5667.6143999999995"/>
    <n v="372.98"/>
  </r>
  <r>
    <n v="1037"/>
    <s v="Mason Ruiz"/>
    <x v="4"/>
    <x v="8"/>
    <x v="3"/>
    <n v="3027.66"/>
    <n v="0.51"/>
    <x v="94"/>
    <x v="4"/>
    <x v="2"/>
    <x v="0"/>
    <n v="4450.6601999999993"/>
    <n v="1396.38"/>
  </r>
  <r>
    <n v="3048"/>
    <s v="Patrick Frye"/>
    <x v="1"/>
    <x v="1"/>
    <x v="0"/>
    <n v="1136.4100000000001"/>
    <n v="0.51"/>
    <x v="1187"/>
    <x v="459"/>
    <x v="1"/>
    <x v="1"/>
    <n v="2227.3636000000001"/>
    <n v="556.84090000000003"/>
  </r>
  <r>
    <n v="3049"/>
    <s v="Heather Gibson"/>
    <x v="5"/>
    <x v="12"/>
    <x v="3"/>
    <n v="2765.26"/>
    <n v="0.51"/>
    <x v="19"/>
    <x v="480"/>
    <x v="2"/>
    <x v="1"/>
    <n v="4064.9322000000002"/>
    <n v="2001.07"/>
  </r>
  <r>
    <n v="3050"/>
    <s v="Nicole Miller MD"/>
    <x v="0"/>
    <x v="20"/>
    <x v="4"/>
    <n v="3177.78"/>
    <n v="0.51"/>
    <x v="1188"/>
    <x v="87"/>
    <x v="1"/>
    <x v="0"/>
    <n v="7785.5610000000006"/>
    <n v="407.14"/>
  </r>
  <r>
    <n v="3051"/>
    <s v="Megan Simpson"/>
    <x v="2"/>
    <x v="2"/>
    <x v="0"/>
    <n v="2933.45"/>
    <n v="0.51"/>
    <x v="13"/>
    <x v="4"/>
    <x v="3"/>
    <x v="1"/>
    <n v="5749.5619999999999"/>
    <n v="1877.82"/>
  </r>
  <r>
    <n v="3052"/>
    <s v="Nathaniel Martin Jr."/>
    <x v="3"/>
    <x v="3"/>
    <x v="3"/>
    <n v="1290.42"/>
    <n v="0.51"/>
    <x v="1189"/>
    <x v="529"/>
    <x v="1"/>
    <x v="1"/>
    <n v="1896.9174"/>
    <n v="-196.63"/>
  </r>
  <r>
    <n v="3053"/>
    <s v="Melissa Fleming"/>
    <x v="2"/>
    <x v="10"/>
    <x v="4"/>
    <n v="2666.2200000000003"/>
    <n v="0.51"/>
    <x v="375"/>
    <x v="4"/>
    <x v="1"/>
    <x v="0"/>
    <n v="6532.2390000000014"/>
    <n v="612.53"/>
  </r>
  <r>
    <n v="3054"/>
    <s v="Mr. Michael Martinez"/>
    <x v="5"/>
    <x v="12"/>
    <x v="4"/>
    <n v="1722.34"/>
    <n v="0.51"/>
    <x v="1190"/>
    <x v="361"/>
    <x v="0"/>
    <x v="1"/>
    <n v="4219.7329999999993"/>
    <n v="2459.2800000000002"/>
  </r>
  <r>
    <n v="3055"/>
    <s v="Jeremy Hendricks"/>
    <x v="5"/>
    <x v="6"/>
    <x v="1"/>
    <n v="2975.64"/>
    <n v="0.51"/>
    <x v="352"/>
    <x v="271"/>
    <x v="2"/>
    <x v="0"/>
    <n v="1458.0636"/>
    <n v="364.51589999999999"/>
  </r>
  <r>
    <n v="3056"/>
    <s v="Harold Adams"/>
    <x v="2"/>
    <x v="10"/>
    <x v="0"/>
    <n v="2666.2200000000003"/>
    <n v="0.51"/>
    <x v="142"/>
    <x v="92"/>
    <x v="2"/>
    <x v="1"/>
    <n v="5225.7912000000006"/>
    <n v="2126.75"/>
  </r>
  <r>
    <n v="3057"/>
    <s v="Angela Kidd"/>
    <x v="1"/>
    <x v="15"/>
    <x v="3"/>
    <n v="2229.4899999999998"/>
    <n v="0.51"/>
    <x v="30"/>
    <x v="199"/>
    <x v="1"/>
    <x v="1"/>
    <n v="3277.3502999999996"/>
    <n v="2241.83"/>
  </r>
  <r>
    <n v="3058"/>
    <s v="Eric Ellison"/>
    <x v="4"/>
    <x v="16"/>
    <x v="0"/>
    <n v="2948.36"/>
    <n v="0.51"/>
    <x v="1191"/>
    <x v="4"/>
    <x v="5"/>
    <x v="1"/>
    <n v="5778.7856000000002"/>
    <n v="1074.3499999999999"/>
  </r>
  <r>
    <n v="3059"/>
    <s v="Douglas Cummings"/>
    <x v="4"/>
    <x v="4"/>
    <x v="0"/>
    <n v="4949.17"/>
    <n v="0.51"/>
    <x v="1192"/>
    <x v="57"/>
    <x v="3"/>
    <x v="1"/>
    <n v="9700.3732"/>
    <n v="1267.49"/>
  </r>
  <r>
    <n v="3060"/>
    <s v="Susan Haynes"/>
    <x v="3"/>
    <x v="21"/>
    <x v="0"/>
    <n v="2785.79"/>
    <n v="0.71"/>
    <x v="110"/>
    <x v="216"/>
    <x v="2"/>
    <x v="1"/>
    <n v="3231.5164000000004"/>
    <n v="1011.23"/>
  </r>
  <r>
    <n v="3061"/>
    <s v="Melissa Mcdonald"/>
    <x v="4"/>
    <x v="4"/>
    <x v="0"/>
    <n v="1873.39"/>
    <n v="0.74"/>
    <x v="1193"/>
    <x v="527"/>
    <x v="4"/>
    <x v="1"/>
    <n v="1948.3256000000001"/>
    <n v="1596.53"/>
  </r>
  <r>
    <n v="3062"/>
    <s v="Christine Lewis"/>
    <x v="4"/>
    <x v="14"/>
    <x v="0"/>
    <n v="4312.55"/>
    <n v="0.51"/>
    <x v="1194"/>
    <x v="106"/>
    <x v="4"/>
    <x v="1"/>
    <n v="8452.598"/>
    <n v="496.16"/>
  </r>
  <r>
    <n v="3063"/>
    <s v="Andrea Smith"/>
    <x v="4"/>
    <x v="16"/>
    <x v="0"/>
    <n v="4971.93"/>
    <n v="0.51"/>
    <x v="1195"/>
    <x v="456"/>
    <x v="4"/>
    <x v="1"/>
    <n v="9744.9827999999998"/>
    <n v="1941.61"/>
  </r>
  <r>
    <n v="3064"/>
    <s v="Alexander Page"/>
    <x v="1"/>
    <x v="1"/>
    <x v="0"/>
    <n v="2579.8000000000002"/>
    <n v="0.51"/>
    <x v="22"/>
    <x v="73"/>
    <x v="4"/>
    <x v="1"/>
    <n v="5056.4080000000004"/>
    <n v="2520.12"/>
  </r>
  <r>
    <n v="3065"/>
    <s v="Kyle Salinas"/>
    <x v="4"/>
    <x v="4"/>
    <x v="0"/>
    <n v="873.64"/>
    <n v="0.17"/>
    <x v="1196"/>
    <x v="421"/>
    <x v="5"/>
    <x v="1"/>
    <n v="2900.4847999999997"/>
    <n v="1107.8499999999999"/>
  </r>
  <r>
    <n v="3066"/>
    <s v="Justin Black"/>
    <x v="2"/>
    <x v="17"/>
    <x v="3"/>
    <n v="2385.5749999999998"/>
    <n v="0.51"/>
    <x v="91"/>
    <x v="182"/>
    <x v="2"/>
    <x v="0"/>
    <n v="3506.7952499999997"/>
    <n v="80.290000000000006"/>
  </r>
  <r>
    <n v="3067"/>
    <s v="Lisa Norris"/>
    <x v="4"/>
    <x v="8"/>
    <x v="3"/>
    <n v="3027.66"/>
    <n v="0.51"/>
    <x v="94"/>
    <x v="99"/>
    <x v="3"/>
    <x v="1"/>
    <n v="4450.6601999999993"/>
    <n v="2711.03"/>
  </r>
  <r>
    <n v="3068"/>
    <s v="Casey Johnson MD"/>
    <x v="2"/>
    <x v="10"/>
    <x v="0"/>
    <n v="2666.2200000000003"/>
    <n v="0.99"/>
    <x v="142"/>
    <x v="4"/>
    <x v="5"/>
    <x v="0"/>
    <n v="106.64880000000011"/>
    <n v="26.662200000000027"/>
  </r>
  <r>
    <n v="3069"/>
    <s v="Timothy Thomas"/>
    <x v="1"/>
    <x v="1"/>
    <x v="0"/>
    <n v="2579.8000000000002"/>
    <n v="0.51"/>
    <x v="22"/>
    <x v="11"/>
    <x v="3"/>
    <x v="1"/>
    <n v="5056.4080000000004"/>
    <n v="-524.33000000000004"/>
  </r>
  <r>
    <n v="3070"/>
    <s v="Robert Ballard"/>
    <x v="1"/>
    <x v="22"/>
    <x v="6"/>
    <n v="2752.99"/>
    <n v="0.51"/>
    <x v="201"/>
    <x v="168"/>
    <x v="0"/>
    <x v="1"/>
    <n v="4721.3778499999999"/>
    <n v="1136.04"/>
  </r>
  <r>
    <n v="3071"/>
    <s v="Michael Martin"/>
    <x v="2"/>
    <x v="10"/>
    <x v="0"/>
    <n v="4617.8500000000004"/>
    <n v="0.51"/>
    <x v="1197"/>
    <x v="530"/>
    <x v="0"/>
    <x v="0"/>
    <n v="9050.9860000000008"/>
    <n v="1778.15"/>
  </r>
  <r>
    <n v="3072"/>
    <s v="George Bishop"/>
    <x v="2"/>
    <x v="17"/>
    <x v="5"/>
    <n v="2385.5749999999998"/>
    <n v="0.51"/>
    <x v="802"/>
    <x v="51"/>
    <x v="1"/>
    <x v="0"/>
    <n v="7013.5904999999993"/>
    <n v="1650.33"/>
  </r>
  <r>
    <n v="3073"/>
    <s v="Jesse Wilson"/>
    <x v="3"/>
    <x v="7"/>
    <x v="1"/>
    <n v="478.6"/>
    <n v="0.51"/>
    <x v="1198"/>
    <x v="50"/>
    <x v="3"/>
    <x v="1"/>
    <n v="234.51400000000001"/>
    <n v="58.628500000000003"/>
  </r>
  <r>
    <n v="3074"/>
    <s v="Robert Cox"/>
    <x v="3"/>
    <x v="23"/>
    <x v="2"/>
    <n v="2338.04"/>
    <n v="0.51"/>
    <x v="688"/>
    <x v="531"/>
    <x v="2"/>
    <x v="1"/>
    <n v="2291.2791999999999"/>
    <n v="-906.63"/>
  </r>
  <r>
    <n v="3075"/>
    <s v="Maria Yang"/>
    <x v="3"/>
    <x v="21"/>
    <x v="0"/>
    <n v="1501.49"/>
    <n v="0.43"/>
    <x v="1199"/>
    <x v="384"/>
    <x v="4"/>
    <x v="0"/>
    <n v="3423.3972000000003"/>
    <n v="-100.14"/>
  </r>
  <r>
    <n v="3076"/>
    <s v="Susan Freeman"/>
    <x v="4"/>
    <x v="4"/>
    <x v="0"/>
    <n v="2001.5500000000002"/>
    <n v="0.51"/>
    <x v="5"/>
    <x v="292"/>
    <x v="5"/>
    <x v="1"/>
    <n v="3923.0380000000005"/>
    <n v="1933.72"/>
  </r>
  <r>
    <n v="3077"/>
    <s v="Frederick Allen"/>
    <x v="5"/>
    <x v="6"/>
    <x v="0"/>
    <n v="2975.64"/>
    <n v="0.92"/>
    <x v="61"/>
    <x v="532"/>
    <x v="1"/>
    <x v="0"/>
    <n v="952.20479999999952"/>
    <n v="-528.22"/>
  </r>
  <r>
    <n v="3078"/>
    <s v="Jesse Bush"/>
    <x v="1"/>
    <x v="1"/>
    <x v="0"/>
    <n v="2563.2399999999998"/>
    <n v="0.51"/>
    <x v="1200"/>
    <x v="4"/>
    <x v="1"/>
    <x v="1"/>
    <n v="5023.9503999999997"/>
    <n v="195.81"/>
  </r>
  <r>
    <n v="3079"/>
    <s v="Kelly Baker"/>
    <x v="2"/>
    <x v="17"/>
    <x v="3"/>
    <n v="2839.98"/>
    <n v="0.51"/>
    <x v="1201"/>
    <x v="246"/>
    <x v="2"/>
    <x v="1"/>
    <n v="4174.7705999999998"/>
    <n v="-48.25"/>
  </r>
  <r>
    <n v="3080"/>
    <s v="Jessica Fox"/>
    <x v="4"/>
    <x v="4"/>
    <x v="0"/>
    <n v="2001.5500000000002"/>
    <n v="0.51"/>
    <x v="5"/>
    <x v="280"/>
    <x v="3"/>
    <x v="1"/>
    <n v="3923.0380000000005"/>
    <n v="2067.89"/>
  </r>
  <r>
    <n v="3081"/>
    <s v="Tammy Vargas"/>
    <x v="4"/>
    <x v="8"/>
    <x v="3"/>
    <n v="3027.66"/>
    <n v="0.51"/>
    <x v="94"/>
    <x v="4"/>
    <x v="1"/>
    <x v="1"/>
    <n v="4450.6601999999993"/>
    <n v="-245.42"/>
  </r>
  <r>
    <n v="3082"/>
    <s v="Shelby Bowen"/>
    <x v="5"/>
    <x v="11"/>
    <x v="4"/>
    <n v="2731.6350000000002"/>
    <n v="0.51"/>
    <x v="1074"/>
    <x v="25"/>
    <x v="5"/>
    <x v="1"/>
    <n v="6692.5057500000003"/>
    <n v="664.73"/>
  </r>
  <r>
    <n v="3083"/>
    <s v="Joy Ingram"/>
    <x v="4"/>
    <x v="4"/>
    <x v="0"/>
    <n v="1573.64"/>
    <n v="0.51"/>
    <x v="1202"/>
    <x v="34"/>
    <x v="0"/>
    <x v="1"/>
    <n v="3084.3344000000002"/>
    <n v="792.35"/>
  </r>
  <r>
    <n v="3084"/>
    <s v="William Gibson"/>
    <x v="4"/>
    <x v="8"/>
    <x v="3"/>
    <n v="2316.64"/>
    <n v="0.7"/>
    <x v="1203"/>
    <x v="428"/>
    <x v="1"/>
    <x v="1"/>
    <n v="2084.9760000000001"/>
    <n v="-657.76"/>
  </r>
  <r>
    <n v="3085"/>
    <s v="Jennifer Buckley"/>
    <x v="4"/>
    <x v="4"/>
    <x v="0"/>
    <n v="2001.5500000000002"/>
    <n v="0.51"/>
    <x v="5"/>
    <x v="347"/>
    <x v="2"/>
    <x v="0"/>
    <n v="3923.0380000000005"/>
    <n v="2563.31"/>
  </r>
  <r>
    <n v="3086"/>
    <s v="Alicia Curry"/>
    <x v="3"/>
    <x v="21"/>
    <x v="0"/>
    <n v="2785.79"/>
    <n v="0.51"/>
    <x v="110"/>
    <x v="232"/>
    <x v="0"/>
    <x v="1"/>
    <n v="5460.1484"/>
    <n v="918.53"/>
  </r>
  <r>
    <n v="3087"/>
    <s v="Rebecca Palmer"/>
    <x v="0"/>
    <x v="0"/>
    <x v="0"/>
    <n v="692.46"/>
    <n v="0.51"/>
    <x v="1204"/>
    <x v="493"/>
    <x v="3"/>
    <x v="1"/>
    <n v="1357.2216000000001"/>
    <n v="-901.21"/>
  </r>
  <r>
    <n v="1028"/>
    <s v="Benjamin Frye"/>
    <x v="0"/>
    <x v="0"/>
    <x v="0"/>
    <n v="3344.74"/>
    <n v="0.51"/>
    <x v="1205"/>
    <x v="151"/>
    <x v="1"/>
    <x v="1"/>
    <n v="6555.6903999999995"/>
    <n v="2728.08"/>
  </r>
  <r>
    <n v="3089"/>
    <s v="Frank Griffin"/>
    <x v="3"/>
    <x v="3"/>
    <x v="3"/>
    <n v="3153.72"/>
    <n v="0.51"/>
    <x v="1206"/>
    <x v="151"/>
    <x v="4"/>
    <x v="1"/>
    <n v="4635.9683999999997"/>
    <n v="2686.96"/>
  </r>
  <r>
    <n v="3090"/>
    <s v="Kenneth Griffith"/>
    <x v="5"/>
    <x v="12"/>
    <x v="3"/>
    <n v="3033.2"/>
    <n v="0.51"/>
    <x v="1207"/>
    <x v="497"/>
    <x v="5"/>
    <x v="1"/>
    <n v="4458.8039999999992"/>
    <n v="490.69"/>
  </r>
  <r>
    <n v="3091"/>
    <s v="Rick Taylor"/>
    <x v="3"/>
    <x v="21"/>
    <x v="0"/>
    <n v="1091.76"/>
    <n v="0.54"/>
    <x v="1208"/>
    <x v="373"/>
    <x v="4"/>
    <x v="1"/>
    <n v="2008.8383999999999"/>
    <n v="502.20959999999997"/>
  </r>
  <r>
    <n v="3092"/>
    <s v="Susan Barajas"/>
    <x v="1"/>
    <x v="1"/>
    <x v="0"/>
    <n v="2579.8000000000002"/>
    <n v="0.51"/>
    <x v="22"/>
    <x v="310"/>
    <x v="3"/>
    <x v="1"/>
    <n v="5056.4080000000004"/>
    <n v="250.05"/>
  </r>
  <r>
    <n v="3093"/>
    <s v="Randy Burke"/>
    <x v="2"/>
    <x v="17"/>
    <x v="2"/>
    <n v="1551.41"/>
    <n v="0.54"/>
    <x v="1209"/>
    <x v="527"/>
    <x v="0"/>
    <x v="0"/>
    <n v="1427.2972"/>
    <n v="763.37"/>
  </r>
  <r>
    <n v="3094"/>
    <s v="Thomas Martin"/>
    <x v="5"/>
    <x v="12"/>
    <x v="3"/>
    <n v="4382.8599999999997"/>
    <n v="0.51"/>
    <x v="1210"/>
    <x v="139"/>
    <x v="5"/>
    <x v="1"/>
    <n v="6442.8041999999987"/>
    <n v="1172.7"/>
  </r>
  <r>
    <n v="3095"/>
    <s v="Peggy Hill"/>
    <x v="3"/>
    <x v="21"/>
    <x v="1"/>
    <n v="2785.79"/>
    <n v="0.51"/>
    <x v="712"/>
    <x v="199"/>
    <x v="5"/>
    <x v="1"/>
    <n v="1365.0371"/>
    <n v="341.259275"/>
  </r>
  <r>
    <n v="3096"/>
    <s v="Charles Francis"/>
    <x v="2"/>
    <x v="17"/>
    <x v="2"/>
    <n v="2312.09"/>
    <n v="0.51"/>
    <x v="1211"/>
    <x v="271"/>
    <x v="3"/>
    <x v="1"/>
    <n v="2265.8481999999999"/>
    <n v="508.96"/>
  </r>
  <r>
    <n v="3097"/>
    <s v="Tracy Mejia"/>
    <x v="2"/>
    <x v="17"/>
    <x v="3"/>
    <n v="3111.65"/>
    <n v="0.51"/>
    <x v="1212"/>
    <x v="292"/>
    <x v="4"/>
    <x v="1"/>
    <n v="4574.1255000000001"/>
    <n v="2868.09"/>
  </r>
  <r>
    <n v="1028"/>
    <s v="Miguel Edwards"/>
    <x v="5"/>
    <x v="11"/>
    <x v="3"/>
    <n v="2996.43"/>
    <n v="0.51"/>
    <x v="1213"/>
    <x v="4"/>
    <x v="5"/>
    <x v="0"/>
    <n v="4404.7520999999997"/>
    <n v="2205.5700000000002"/>
  </r>
  <r>
    <n v="3099"/>
    <s v="Jessica Hudson"/>
    <x v="3"/>
    <x v="21"/>
    <x v="0"/>
    <n v="4426.87"/>
    <n v="0.51"/>
    <x v="1214"/>
    <x v="4"/>
    <x v="5"/>
    <x v="1"/>
    <n v="8676.6651999999995"/>
    <n v="2480.9499999999998"/>
  </r>
  <r>
    <n v="3100"/>
    <s v="Mr. Mark Wolfe"/>
    <x v="1"/>
    <x v="22"/>
    <x v="6"/>
    <n v="2752.99"/>
    <n v="0.51"/>
    <x v="201"/>
    <x v="230"/>
    <x v="1"/>
    <x v="1"/>
    <n v="4721.3778499999999"/>
    <n v="2379.7399999999998"/>
  </r>
  <r>
    <n v="3101"/>
    <s v="Mary Long"/>
    <x v="3"/>
    <x v="3"/>
    <x v="1"/>
    <n v="2515.415"/>
    <n v="0.51"/>
    <x v="24"/>
    <x v="17"/>
    <x v="2"/>
    <x v="1"/>
    <n v="1232.5533499999999"/>
    <n v="478.53"/>
  </r>
  <r>
    <n v="1025"/>
    <s v="Michael Pierce"/>
    <x v="5"/>
    <x v="11"/>
    <x v="3"/>
    <n v="2731.6350000000002"/>
    <n v="0.51"/>
    <x v="60"/>
    <x v="103"/>
    <x v="1"/>
    <x v="1"/>
    <n v="4015.5034500000002"/>
    <n v="-861.84"/>
  </r>
  <r>
    <n v="3103"/>
    <s v="Paul Frederick"/>
    <x v="4"/>
    <x v="16"/>
    <x v="4"/>
    <n v="2599.75"/>
    <n v="0.51"/>
    <x v="870"/>
    <x v="154"/>
    <x v="3"/>
    <x v="0"/>
    <n v="6369.3874999999998"/>
    <n v="654.74"/>
  </r>
  <r>
    <n v="3104"/>
    <s v="Connie Meyer"/>
    <x v="5"/>
    <x v="6"/>
    <x v="0"/>
    <n v="4274.01"/>
    <n v="0.28000000000000003"/>
    <x v="1215"/>
    <x v="287"/>
    <x v="1"/>
    <x v="1"/>
    <n v="12309.148800000001"/>
    <n v="2263.5700000000002"/>
  </r>
  <r>
    <n v="3105"/>
    <s v="Christina Crawford"/>
    <x v="3"/>
    <x v="3"/>
    <x v="3"/>
    <n v="2515.415"/>
    <n v="0.51"/>
    <x v="11"/>
    <x v="406"/>
    <x v="4"/>
    <x v="0"/>
    <n v="3697.66005"/>
    <n v="1488.64"/>
  </r>
  <r>
    <n v="3106"/>
    <s v="Luis Flores"/>
    <x v="3"/>
    <x v="7"/>
    <x v="5"/>
    <n v="2577.6350000000002"/>
    <n v="0.51"/>
    <x v="47"/>
    <x v="140"/>
    <x v="0"/>
    <x v="1"/>
    <n v="7578.2469000000001"/>
    <n v="-521.15"/>
  </r>
  <r>
    <n v="3107"/>
    <s v="Catherine Mendoza"/>
    <x v="0"/>
    <x v="0"/>
    <x v="0"/>
    <n v="2068.64"/>
    <n v="0.51"/>
    <x v="1216"/>
    <x v="4"/>
    <x v="2"/>
    <x v="0"/>
    <n v="4054.5343999999996"/>
    <n v="2447.29"/>
  </r>
  <r>
    <n v="3108"/>
    <s v="Matthew Thomas"/>
    <x v="5"/>
    <x v="12"/>
    <x v="3"/>
    <n v="2765.26"/>
    <n v="0.51"/>
    <x v="19"/>
    <x v="119"/>
    <x v="2"/>
    <x v="1"/>
    <n v="4064.9322000000002"/>
    <n v="-815.76"/>
  </r>
  <r>
    <n v="3109"/>
    <s v="Ryan Porter"/>
    <x v="4"/>
    <x v="4"/>
    <x v="4"/>
    <n v="2001.5500000000002"/>
    <n v="0.35"/>
    <x v="144"/>
    <x v="4"/>
    <x v="1"/>
    <x v="1"/>
    <n v="6505.0375000000004"/>
    <n v="445.05"/>
  </r>
  <r>
    <n v="3110"/>
    <s v="Amy Kline"/>
    <x v="0"/>
    <x v="5"/>
    <x v="3"/>
    <n v="4103.32"/>
    <n v="0.51"/>
    <x v="1217"/>
    <x v="357"/>
    <x v="0"/>
    <x v="1"/>
    <n v="6031.8803999999991"/>
    <n v="-828.25"/>
  </r>
  <r>
    <n v="3111"/>
    <s v="Joel Chambers"/>
    <x v="4"/>
    <x v="14"/>
    <x v="0"/>
    <n v="839.87"/>
    <n v="0.51"/>
    <x v="1218"/>
    <x v="4"/>
    <x v="3"/>
    <x v="0"/>
    <n v="1646.1451999999999"/>
    <n v="-286.10000000000002"/>
  </r>
  <r>
    <n v="3112"/>
    <s v="Joseph Gilmore MD"/>
    <x v="2"/>
    <x v="2"/>
    <x v="0"/>
    <n v="3026.75"/>
    <n v="0.51"/>
    <x v="1219"/>
    <x v="347"/>
    <x v="0"/>
    <x v="1"/>
    <n v="5932.43"/>
    <n v="-565.91999999999996"/>
  </r>
  <r>
    <n v="3113"/>
    <s v="Veronica Goodwin"/>
    <x v="2"/>
    <x v="2"/>
    <x v="0"/>
    <n v="3256.86"/>
    <n v="0.77"/>
    <x v="1220"/>
    <x v="485"/>
    <x v="3"/>
    <x v="1"/>
    <n v="2996.3112000000001"/>
    <n v="-109.08"/>
  </r>
  <r>
    <n v="3114"/>
    <s v="Eric Bridges"/>
    <x v="0"/>
    <x v="0"/>
    <x v="2"/>
    <n v="4082.61"/>
    <n v="0.51"/>
    <x v="1221"/>
    <x v="4"/>
    <x v="5"/>
    <x v="1"/>
    <n v="4000.9578000000001"/>
    <n v="-454.61"/>
  </r>
  <r>
    <n v="3115"/>
    <s v="Vickie Brown DDS"/>
    <x v="3"/>
    <x v="23"/>
    <x v="6"/>
    <n v="2338.04"/>
    <n v="0.51"/>
    <x v="171"/>
    <x v="450"/>
    <x v="4"/>
    <x v="1"/>
    <n v="4009.7385999999997"/>
    <n v="-546.69000000000005"/>
  </r>
  <r>
    <n v="3116"/>
    <s v="Margaret Porter"/>
    <x v="5"/>
    <x v="12"/>
    <x v="3"/>
    <n v="1237.1500000000001"/>
    <n v="0.51"/>
    <x v="1222"/>
    <x v="159"/>
    <x v="3"/>
    <x v="1"/>
    <n v="1818.6105"/>
    <n v="1357.42"/>
  </r>
  <r>
    <n v="3117"/>
    <s v="Whitney Nelson"/>
    <x v="1"/>
    <x v="18"/>
    <x v="0"/>
    <n v="2537.59"/>
    <n v="0.28999999999999998"/>
    <x v="264"/>
    <x v="133"/>
    <x v="3"/>
    <x v="1"/>
    <n v="7206.7556000000004"/>
    <n v="-706.51"/>
  </r>
  <r>
    <n v="3118"/>
    <s v="Karen Harmon"/>
    <x v="1"/>
    <x v="1"/>
    <x v="0"/>
    <n v="948.06"/>
    <n v="0.6"/>
    <x v="1223"/>
    <x v="26"/>
    <x v="5"/>
    <x v="1"/>
    <n v="1516.896"/>
    <n v="69.349999999999994"/>
  </r>
  <r>
    <n v="3119"/>
    <s v="Andrew Forbes"/>
    <x v="0"/>
    <x v="0"/>
    <x v="0"/>
    <n v="722.74"/>
    <n v="0.51"/>
    <x v="1224"/>
    <x v="287"/>
    <x v="5"/>
    <x v="0"/>
    <n v="1416.5704000000001"/>
    <n v="354.14260000000002"/>
  </r>
  <r>
    <n v="3120"/>
    <s v="David Chambers"/>
    <x v="3"/>
    <x v="7"/>
    <x v="3"/>
    <n v="824.59"/>
    <n v="0.13"/>
    <x v="1225"/>
    <x v="211"/>
    <x v="4"/>
    <x v="1"/>
    <n v="2152.1799000000001"/>
    <n v="-276.22000000000003"/>
  </r>
  <r>
    <n v="3121"/>
    <s v="Alyssa Nichols"/>
    <x v="1"/>
    <x v="15"/>
    <x v="3"/>
    <n v="1049.27"/>
    <n v="0.51"/>
    <x v="1226"/>
    <x v="533"/>
    <x v="4"/>
    <x v="0"/>
    <n v="1542.4268999999999"/>
    <n v="-648.45000000000005"/>
  </r>
  <r>
    <n v="3122"/>
    <s v="Joshua Oconnor"/>
    <x v="3"/>
    <x v="3"/>
    <x v="3"/>
    <n v="2515.415"/>
    <n v="0.51"/>
    <x v="11"/>
    <x v="41"/>
    <x v="5"/>
    <x v="0"/>
    <n v="3697.66005"/>
    <n v="551.79"/>
  </r>
  <r>
    <n v="3123"/>
    <s v="Edward Fischer"/>
    <x v="1"/>
    <x v="15"/>
    <x v="4"/>
    <n v="2229.4899999999998"/>
    <n v="0.51"/>
    <x v="1227"/>
    <x v="356"/>
    <x v="4"/>
    <x v="0"/>
    <n v="5462.2504999999992"/>
    <n v="1980.42"/>
  </r>
  <r>
    <n v="3124"/>
    <s v="Mark West PhD"/>
    <x v="4"/>
    <x v="4"/>
    <x v="0"/>
    <n v="2001.5500000000002"/>
    <n v="0.87"/>
    <x v="5"/>
    <x v="431"/>
    <x v="5"/>
    <x v="1"/>
    <n v="1040.806"/>
    <n v="-399.81"/>
  </r>
  <r>
    <n v="3125"/>
    <s v="Stephanie Cook"/>
    <x v="5"/>
    <x v="6"/>
    <x v="4"/>
    <n v="4264.79"/>
    <n v="0.51"/>
    <x v="1228"/>
    <x v="236"/>
    <x v="1"/>
    <x v="0"/>
    <n v="10448.735500000001"/>
    <n v="2388.91"/>
  </r>
  <r>
    <n v="3126"/>
    <s v="Marilyn Garcia"/>
    <x v="4"/>
    <x v="16"/>
    <x v="0"/>
    <n v="2599.75"/>
    <n v="0.51"/>
    <x v="42"/>
    <x v="21"/>
    <x v="2"/>
    <x v="1"/>
    <n v="5095.51"/>
    <n v="2624.13"/>
  </r>
  <r>
    <n v="3127"/>
    <s v="Suzanne Doyle"/>
    <x v="2"/>
    <x v="17"/>
    <x v="3"/>
    <n v="491.77"/>
    <n v="0.9"/>
    <x v="1229"/>
    <x v="290"/>
    <x v="5"/>
    <x v="1"/>
    <n v="147.53099999999995"/>
    <n v="36.882749999999987"/>
  </r>
  <r>
    <n v="3128"/>
    <s v="Maria Garcia"/>
    <x v="5"/>
    <x v="6"/>
    <x v="0"/>
    <n v="3216.9"/>
    <n v="0.51"/>
    <x v="1230"/>
    <x v="366"/>
    <x v="4"/>
    <x v="1"/>
    <n v="6305.1239999999998"/>
    <n v="192.22"/>
  </r>
  <r>
    <n v="3129"/>
    <s v="Michael Knight"/>
    <x v="0"/>
    <x v="9"/>
    <x v="0"/>
    <n v="3201.09"/>
    <n v="0.51"/>
    <x v="1231"/>
    <x v="250"/>
    <x v="5"/>
    <x v="0"/>
    <n v="6274.1364000000003"/>
    <n v="2989.88"/>
  </r>
  <r>
    <n v="3130"/>
    <s v="Shelly Jordan"/>
    <x v="5"/>
    <x v="6"/>
    <x v="0"/>
    <n v="3742.62"/>
    <n v="0.51"/>
    <x v="1232"/>
    <x v="141"/>
    <x v="2"/>
    <x v="0"/>
    <n v="7335.5351999999993"/>
    <n v="2886.26"/>
  </r>
  <r>
    <n v="3131"/>
    <s v="Andrea Perry"/>
    <x v="3"/>
    <x v="3"/>
    <x v="3"/>
    <n v="4938.03"/>
    <n v="0.51"/>
    <x v="1233"/>
    <x v="534"/>
    <x v="0"/>
    <x v="1"/>
    <n v="7258.9040999999997"/>
    <n v="878.99"/>
  </r>
  <r>
    <n v="3132"/>
    <s v="Raymond Robinson"/>
    <x v="1"/>
    <x v="18"/>
    <x v="5"/>
    <n v="2940.45"/>
    <n v="0.51"/>
    <x v="1234"/>
    <x v="4"/>
    <x v="4"/>
    <x v="0"/>
    <n v="8644.9229999999989"/>
    <n v="-583.80999999999995"/>
  </r>
  <r>
    <n v="3133"/>
    <s v="Catherine Spencer"/>
    <x v="1"/>
    <x v="18"/>
    <x v="1"/>
    <n v="974.54"/>
    <n v="0.44"/>
    <x v="1235"/>
    <x v="94"/>
    <x v="4"/>
    <x v="1"/>
    <n v="545.74239999999998"/>
    <n v="136.43559999999999"/>
  </r>
  <r>
    <n v="3134"/>
    <s v="Tara Day"/>
    <x v="1"/>
    <x v="15"/>
    <x v="3"/>
    <n v="2229.4899999999998"/>
    <n v="0.53"/>
    <x v="30"/>
    <x v="4"/>
    <x v="1"/>
    <x v="1"/>
    <n v="3143.5808999999995"/>
    <n v="1130.74"/>
  </r>
  <r>
    <n v="3135"/>
    <s v="Heather Knight"/>
    <x v="1"/>
    <x v="1"/>
    <x v="1"/>
    <n v="2579.8000000000002"/>
    <n v="0.67"/>
    <x v="90"/>
    <x v="4"/>
    <x v="4"/>
    <x v="1"/>
    <n v="851.33399999999995"/>
    <n v="212.83349999999999"/>
  </r>
  <r>
    <n v="3136"/>
    <s v="Patricia Jackson"/>
    <x v="4"/>
    <x v="16"/>
    <x v="0"/>
    <n v="3622.93"/>
    <n v="0.51"/>
    <x v="1236"/>
    <x v="457"/>
    <x v="0"/>
    <x v="0"/>
    <n v="7100.9427999999998"/>
    <n v="813.36"/>
  </r>
  <r>
    <n v="3137"/>
    <s v="Taylor Maxwell"/>
    <x v="1"/>
    <x v="1"/>
    <x v="0"/>
    <n v="2579.8000000000002"/>
    <n v="0.51"/>
    <x v="22"/>
    <x v="373"/>
    <x v="3"/>
    <x v="1"/>
    <n v="5056.4080000000004"/>
    <n v="-122.35"/>
  </r>
  <r>
    <n v="3138"/>
    <s v="Justin Rice"/>
    <x v="3"/>
    <x v="23"/>
    <x v="6"/>
    <n v="855.81"/>
    <n v="0.31"/>
    <x v="1237"/>
    <x v="374"/>
    <x v="0"/>
    <x v="0"/>
    <n v="2066.7811499999998"/>
    <n v="1801"/>
  </r>
  <r>
    <n v="3139"/>
    <s v="Valerie Grant"/>
    <x v="4"/>
    <x v="8"/>
    <x v="5"/>
    <n v="3027.66"/>
    <n v="0.51"/>
    <x v="1238"/>
    <x v="4"/>
    <x v="4"/>
    <x v="1"/>
    <n v="8901.3203999999987"/>
    <n v="563.12"/>
  </r>
  <r>
    <n v="3140"/>
    <s v="Trevor Higgins"/>
    <x v="0"/>
    <x v="20"/>
    <x v="4"/>
    <n v="2750.33"/>
    <n v="0.51"/>
    <x v="52"/>
    <x v="4"/>
    <x v="1"/>
    <x v="1"/>
    <n v="6738.3085000000001"/>
    <n v="2551.31"/>
  </r>
  <r>
    <n v="3141"/>
    <s v="Rodney Ellis"/>
    <x v="1"/>
    <x v="18"/>
    <x v="3"/>
    <n v="2537.59"/>
    <n v="0.51"/>
    <x v="35"/>
    <x v="172"/>
    <x v="2"/>
    <x v="0"/>
    <n v="3730.2573000000002"/>
    <n v="2279.1799999999998"/>
  </r>
  <r>
    <n v="3142"/>
    <s v="Dale Davis"/>
    <x v="5"/>
    <x v="19"/>
    <x v="1"/>
    <n v="4887.3599999999997"/>
    <n v="0.51"/>
    <x v="1239"/>
    <x v="524"/>
    <x v="4"/>
    <x v="1"/>
    <n v="2394.8063999999999"/>
    <n v="-243.32"/>
  </r>
  <r>
    <n v="3143"/>
    <s v="Paul Lewis"/>
    <x v="4"/>
    <x v="8"/>
    <x v="3"/>
    <n v="3027.66"/>
    <n v="0.51"/>
    <x v="94"/>
    <x v="4"/>
    <x v="4"/>
    <x v="1"/>
    <n v="4450.6601999999993"/>
    <n v="-525.49"/>
  </r>
  <r>
    <n v="3144"/>
    <s v="Daniel Blanchard"/>
    <x v="5"/>
    <x v="6"/>
    <x v="0"/>
    <n v="2664.43"/>
    <n v="0.51"/>
    <x v="1240"/>
    <x v="265"/>
    <x v="4"/>
    <x v="1"/>
    <n v="5222.2828"/>
    <n v="1324.18"/>
  </r>
  <r>
    <n v="3145"/>
    <s v="Rachel Harris"/>
    <x v="1"/>
    <x v="15"/>
    <x v="3"/>
    <n v="4414.97"/>
    <n v="0.51"/>
    <x v="1241"/>
    <x v="4"/>
    <x v="4"/>
    <x v="1"/>
    <n v="6490.0059000000001"/>
    <n v="2754.74"/>
  </r>
  <r>
    <n v="3146"/>
    <s v="Patricia Moore"/>
    <x v="1"/>
    <x v="15"/>
    <x v="3"/>
    <n v="2229.4899999999998"/>
    <n v="0.51"/>
    <x v="30"/>
    <x v="4"/>
    <x v="4"/>
    <x v="1"/>
    <n v="3277.3502999999996"/>
    <n v="146.19"/>
  </r>
  <r>
    <n v="3147"/>
    <s v="Andrew Williams"/>
    <x v="5"/>
    <x v="6"/>
    <x v="0"/>
    <n v="2975.64"/>
    <n v="0.51"/>
    <x v="61"/>
    <x v="1"/>
    <x v="3"/>
    <x v="1"/>
    <n v="5832.2543999999998"/>
    <n v="2987.89"/>
  </r>
  <r>
    <n v="3148"/>
    <s v="Linda Dunn"/>
    <x v="5"/>
    <x v="6"/>
    <x v="5"/>
    <n v="2975.64"/>
    <n v="0.5"/>
    <x v="634"/>
    <x v="114"/>
    <x v="1"/>
    <x v="0"/>
    <n v="8926.92"/>
    <n v="605.46"/>
  </r>
  <r>
    <n v="3149"/>
    <s v="Kendra May"/>
    <x v="2"/>
    <x v="2"/>
    <x v="4"/>
    <n v="2933.45"/>
    <n v="0.51"/>
    <x v="472"/>
    <x v="4"/>
    <x v="3"/>
    <x v="0"/>
    <n v="7186.9524999999994"/>
    <n v="-681.76"/>
  </r>
  <r>
    <n v="3150"/>
    <s v="Lori Martin"/>
    <x v="4"/>
    <x v="16"/>
    <x v="0"/>
    <n v="850.69"/>
    <n v="0.41"/>
    <x v="1242"/>
    <x v="150"/>
    <x v="3"/>
    <x v="1"/>
    <n v="2007.6284000000005"/>
    <n v="501.90710000000013"/>
  </r>
  <r>
    <n v="3151"/>
    <s v="Justin Walker"/>
    <x v="0"/>
    <x v="0"/>
    <x v="0"/>
    <n v="2366.6149999999998"/>
    <n v="0.19"/>
    <x v="81"/>
    <x v="45"/>
    <x v="2"/>
    <x v="1"/>
    <n v="7667.8325999999997"/>
    <n v="-858.13"/>
  </r>
  <r>
    <n v="3152"/>
    <s v="Brianna Patel"/>
    <x v="4"/>
    <x v="16"/>
    <x v="0"/>
    <n v="2116.65"/>
    <n v="0.21"/>
    <x v="1243"/>
    <x v="133"/>
    <x v="2"/>
    <x v="1"/>
    <n v="6688.6140000000005"/>
    <n v="385.42"/>
  </r>
  <r>
    <n v="3153"/>
    <s v="Jennifer Anderson"/>
    <x v="5"/>
    <x v="6"/>
    <x v="0"/>
    <n v="4723.0200000000004"/>
    <n v="0.52"/>
    <x v="1244"/>
    <x v="4"/>
    <x v="1"/>
    <x v="1"/>
    <n v="9068.1984000000011"/>
    <n v="316.63"/>
  </r>
  <r>
    <n v="1047"/>
    <s v="Wendy Sandoval"/>
    <x v="4"/>
    <x v="8"/>
    <x v="1"/>
    <n v="3154.48"/>
    <n v="0.51"/>
    <x v="1245"/>
    <x v="415"/>
    <x v="1"/>
    <x v="0"/>
    <n v="1545.6951999999999"/>
    <n v="-243.92"/>
  </r>
  <r>
    <n v="3155"/>
    <s v="Paul Allen"/>
    <x v="3"/>
    <x v="23"/>
    <x v="6"/>
    <n v="2338.04"/>
    <n v="0.27"/>
    <x v="171"/>
    <x v="4"/>
    <x v="2"/>
    <x v="0"/>
    <n v="5973.6921999999995"/>
    <n v="2621.96"/>
  </r>
  <r>
    <n v="3156"/>
    <s v="Scott Griffin"/>
    <x v="2"/>
    <x v="2"/>
    <x v="1"/>
    <n v="2933.45"/>
    <n v="0.52"/>
    <x v="993"/>
    <x v="4"/>
    <x v="1"/>
    <x v="0"/>
    <n v="1408.0559999999998"/>
    <n v="352.01399999999995"/>
  </r>
  <r>
    <n v="3157"/>
    <s v="Matthew Bryant"/>
    <x v="3"/>
    <x v="23"/>
    <x v="5"/>
    <n v="1768.88"/>
    <n v="0.51"/>
    <x v="1246"/>
    <x v="535"/>
    <x v="5"/>
    <x v="1"/>
    <n v="5200.5072"/>
    <n v="-750.14"/>
  </r>
  <r>
    <n v="3158"/>
    <s v="Melinda Hood"/>
    <x v="2"/>
    <x v="17"/>
    <x v="3"/>
    <n v="2385.5749999999998"/>
    <n v="0.51"/>
    <x v="91"/>
    <x v="215"/>
    <x v="5"/>
    <x v="1"/>
    <n v="3506.7952499999997"/>
    <n v="-274.08999999999997"/>
  </r>
  <r>
    <n v="3159"/>
    <s v="Tiffany Smith"/>
    <x v="4"/>
    <x v="16"/>
    <x v="0"/>
    <n v="2599.75"/>
    <n v="0.51"/>
    <x v="42"/>
    <x v="155"/>
    <x v="0"/>
    <x v="1"/>
    <n v="5095.51"/>
    <n v="1668.66"/>
  </r>
  <r>
    <n v="3160"/>
    <s v="Denise Ashley"/>
    <x v="0"/>
    <x v="20"/>
    <x v="5"/>
    <n v="4976.8100000000004"/>
    <n v="0.51"/>
    <x v="1247"/>
    <x v="480"/>
    <x v="1"/>
    <x v="0"/>
    <n v="14631.821400000001"/>
    <n v="845.06"/>
  </r>
  <r>
    <n v="3161"/>
    <s v="Donna Rodriguez"/>
    <x v="3"/>
    <x v="3"/>
    <x v="3"/>
    <n v="2515.415"/>
    <n v="0.51"/>
    <x v="11"/>
    <x v="536"/>
    <x v="2"/>
    <x v="0"/>
    <n v="3697.66005"/>
    <n v="1399.1"/>
  </r>
  <r>
    <n v="3162"/>
    <s v="Scott Lee"/>
    <x v="3"/>
    <x v="7"/>
    <x v="3"/>
    <n v="2577.6350000000002"/>
    <n v="0.51"/>
    <x v="8"/>
    <x v="267"/>
    <x v="3"/>
    <x v="1"/>
    <n v="3789.12345"/>
    <n v="344.06"/>
  </r>
  <r>
    <n v="3163"/>
    <s v="Michelle Cruz"/>
    <x v="0"/>
    <x v="20"/>
    <x v="4"/>
    <n v="2750.33"/>
    <n v="0.51"/>
    <x v="52"/>
    <x v="204"/>
    <x v="1"/>
    <x v="0"/>
    <n v="6738.3085000000001"/>
    <n v="-13.76"/>
  </r>
  <r>
    <n v="3164"/>
    <s v="Michelle Morrow"/>
    <x v="1"/>
    <x v="15"/>
    <x v="3"/>
    <n v="2229.4899999999998"/>
    <n v="0.09"/>
    <x v="30"/>
    <x v="152"/>
    <x v="3"/>
    <x v="0"/>
    <n v="6086.5076999999992"/>
    <n v="-750.61"/>
  </r>
  <r>
    <n v="3165"/>
    <s v="Tina Hartman"/>
    <x v="5"/>
    <x v="19"/>
    <x v="0"/>
    <n v="2994.31"/>
    <n v="0.51"/>
    <x v="1248"/>
    <x v="4"/>
    <x v="3"/>
    <x v="0"/>
    <n v="5868.8476000000001"/>
    <n v="-990.57"/>
  </r>
  <r>
    <n v="3166"/>
    <s v="Gregory Pierce"/>
    <x v="5"/>
    <x v="19"/>
    <x v="0"/>
    <n v="2889.5349999999999"/>
    <n v="0.51"/>
    <x v="36"/>
    <x v="473"/>
    <x v="5"/>
    <x v="1"/>
    <n v="5663.4885999999997"/>
    <n v="1384.25"/>
  </r>
  <r>
    <n v="3167"/>
    <s v="Christine Brock"/>
    <x v="0"/>
    <x v="20"/>
    <x v="4"/>
    <n v="2750.33"/>
    <n v="0.51"/>
    <x v="52"/>
    <x v="167"/>
    <x v="2"/>
    <x v="1"/>
    <n v="6738.3085000000001"/>
    <n v="1078.74"/>
  </r>
  <r>
    <n v="3168"/>
    <s v="Christine Young"/>
    <x v="0"/>
    <x v="20"/>
    <x v="4"/>
    <n v="1845.75"/>
    <n v="0.51"/>
    <x v="1249"/>
    <x v="197"/>
    <x v="3"/>
    <x v="1"/>
    <n v="4522.0874999999996"/>
    <n v="268.45"/>
  </r>
  <r>
    <n v="3169"/>
    <s v="James Villarreal"/>
    <x v="1"/>
    <x v="1"/>
    <x v="0"/>
    <n v="2579.8000000000002"/>
    <n v="0.51"/>
    <x v="22"/>
    <x v="302"/>
    <x v="4"/>
    <x v="0"/>
    <n v="5056.4080000000004"/>
    <n v="796.19"/>
  </r>
  <r>
    <n v="3170"/>
    <s v="Timothy Sheppard"/>
    <x v="1"/>
    <x v="18"/>
    <x v="2"/>
    <n v="2229.77"/>
    <n v="0.51"/>
    <x v="1250"/>
    <x v="4"/>
    <x v="1"/>
    <x v="0"/>
    <n v="2185.1745999999998"/>
    <n v="546.29364999999996"/>
  </r>
  <r>
    <n v="3171"/>
    <s v="William Goodman"/>
    <x v="4"/>
    <x v="14"/>
    <x v="0"/>
    <n v="3618.17"/>
    <n v="0.51"/>
    <x v="1251"/>
    <x v="204"/>
    <x v="1"/>
    <x v="1"/>
    <n v="7091.6131999999998"/>
    <n v="726.81"/>
  </r>
  <r>
    <n v="3172"/>
    <s v="Robert Rogers"/>
    <x v="2"/>
    <x v="10"/>
    <x v="3"/>
    <n v="4433.3500000000004"/>
    <n v="0.51"/>
    <x v="1252"/>
    <x v="132"/>
    <x v="5"/>
    <x v="1"/>
    <n v="6517.0245000000004"/>
    <n v="329.75"/>
  </r>
  <r>
    <n v="1050"/>
    <s v="Robin Ortiz"/>
    <x v="2"/>
    <x v="10"/>
    <x v="0"/>
    <n v="1205.98"/>
    <n v="0.51"/>
    <x v="1253"/>
    <x v="4"/>
    <x v="0"/>
    <x v="0"/>
    <n v="2363.7208000000001"/>
    <n v="-794.73"/>
  </r>
  <r>
    <n v="3174"/>
    <s v="Gerald Drake"/>
    <x v="1"/>
    <x v="1"/>
    <x v="0"/>
    <n v="4345.79"/>
    <n v="0.51"/>
    <x v="1254"/>
    <x v="201"/>
    <x v="5"/>
    <x v="1"/>
    <n v="8517.7484000000004"/>
    <n v="2747.47"/>
  </r>
  <r>
    <n v="3175"/>
    <s v="Brittany Brown"/>
    <x v="0"/>
    <x v="9"/>
    <x v="3"/>
    <n v="2937.09"/>
    <n v="0.51"/>
    <x v="1255"/>
    <x v="114"/>
    <x v="5"/>
    <x v="0"/>
    <n v="4317.5223000000005"/>
    <n v="2471.63"/>
  </r>
  <r>
    <n v="3176"/>
    <s v="Shelby Johnson"/>
    <x v="5"/>
    <x v="12"/>
    <x v="3"/>
    <n v="4473.84"/>
    <n v="0.3"/>
    <x v="1256"/>
    <x v="233"/>
    <x v="5"/>
    <x v="1"/>
    <n v="9395.0640000000003"/>
    <n v="2874.33"/>
  </r>
  <r>
    <n v="3177"/>
    <s v="Melissa Larson"/>
    <x v="0"/>
    <x v="0"/>
    <x v="0"/>
    <n v="2366.6149999999998"/>
    <n v="0.51"/>
    <x v="81"/>
    <x v="337"/>
    <x v="1"/>
    <x v="0"/>
    <n v="4638.5653999999995"/>
    <n v="2693.49"/>
  </r>
  <r>
    <n v="3178"/>
    <s v="Cindy Bowen"/>
    <x v="1"/>
    <x v="18"/>
    <x v="3"/>
    <n v="2537.59"/>
    <n v="0.66"/>
    <x v="35"/>
    <x v="4"/>
    <x v="4"/>
    <x v="0"/>
    <n v="2588.3417999999997"/>
    <n v="-174.17"/>
  </r>
  <r>
    <n v="3179"/>
    <s v="Christopher Martin"/>
    <x v="1"/>
    <x v="1"/>
    <x v="1"/>
    <n v="2057.88"/>
    <n v="0.51"/>
    <x v="1257"/>
    <x v="84"/>
    <x v="1"/>
    <x v="0"/>
    <n v="1008.3612000000001"/>
    <n v="932.33"/>
  </r>
  <r>
    <n v="3180"/>
    <s v="Elizabeth Deleon"/>
    <x v="2"/>
    <x v="17"/>
    <x v="4"/>
    <n v="1981.32"/>
    <n v="0.51"/>
    <x v="1258"/>
    <x v="246"/>
    <x v="3"/>
    <x v="1"/>
    <n v="4854.2340000000004"/>
    <n v="1113.19"/>
  </r>
  <r>
    <n v="3181"/>
    <s v="Timothy Tyler"/>
    <x v="2"/>
    <x v="2"/>
    <x v="0"/>
    <n v="2933.45"/>
    <n v="0.51"/>
    <x v="13"/>
    <x v="475"/>
    <x v="1"/>
    <x v="1"/>
    <n v="5749.5619999999999"/>
    <n v="1727.03"/>
  </r>
  <r>
    <n v="3182"/>
    <s v="Christopher Martinez"/>
    <x v="5"/>
    <x v="12"/>
    <x v="3"/>
    <n v="3078.92"/>
    <n v="0.51"/>
    <x v="1259"/>
    <x v="4"/>
    <x v="4"/>
    <x v="1"/>
    <n v="4526.0123999999996"/>
    <n v="1935.04"/>
  </r>
  <r>
    <n v="3183"/>
    <s v="Danielle Jones"/>
    <x v="3"/>
    <x v="21"/>
    <x v="0"/>
    <n v="2785.79"/>
    <n v="0.51"/>
    <x v="110"/>
    <x v="537"/>
    <x v="3"/>
    <x v="1"/>
    <n v="5460.1484"/>
    <n v="2332.84"/>
  </r>
  <r>
    <n v="3184"/>
    <s v="Jeffrey Maynard"/>
    <x v="2"/>
    <x v="13"/>
    <x v="3"/>
    <n v="2538.0450000000001"/>
    <n v="1"/>
    <x v="1260"/>
    <x v="60"/>
    <x v="5"/>
    <x v="1"/>
    <n v="0"/>
    <n v="0"/>
  </r>
  <r>
    <n v="3185"/>
    <s v="Bonnie Huerta"/>
    <x v="0"/>
    <x v="20"/>
    <x v="2"/>
    <n v="2750.33"/>
    <n v="0.51"/>
    <x v="1104"/>
    <x v="44"/>
    <x v="1"/>
    <x v="1"/>
    <n v="2695.3233999999998"/>
    <n v="-726.08"/>
  </r>
  <r>
    <n v="3186"/>
    <s v="Xavier Sampson"/>
    <x v="0"/>
    <x v="20"/>
    <x v="4"/>
    <n v="2750.33"/>
    <n v="0.51"/>
    <x v="52"/>
    <x v="4"/>
    <x v="4"/>
    <x v="1"/>
    <n v="6738.3085000000001"/>
    <n v="-637.71"/>
  </r>
  <r>
    <n v="3187"/>
    <s v="Karen Clayton"/>
    <x v="5"/>
    <x v="11"/>
    <x v="5"/>
    <n v="3998.97"/>
    <n v="0.51"/>
    <x v="1261"/>
    <x v="442"/>
    <x v="2"/>
    <x v="0"/>
    <n v="11756.971799999999"/>
    <n v="716.49"/>
  </r>
  <r>
    <n v="3188"/>
    <s v="Mr. David Green MD"/>
    <x v="3"/>
    <x v="3"/>
    <x v="3"/>
    <n v="936.76"/>
    <n v="0.51"/>
    <x v="1262"/>
    <x v="4"/>
    <x v="4"/>
    <x v="1"/>
    <n v="1377.0371999999998"/>
    <n v="1308.49"/>
  </r>
  <r>
    <n v="3189"/>
    <s v="Jason Watson"/>
    <x v="2"/>
    <x v="17"/>
    <x v="3"/>
    <n v="1299.74"/>
    <n v="0.09"/>
    <x v="1263"/>
    <x v="487"/>
    <x v="3"/>
    <x v="0"/>
    <n v="3548.2902000000004"/>
    <n v="1607.44"/>
  </r>
  <r>
    <n v="3190"/>
    <s v="Tammy Smith"/>
    <x v="2"/>
    <x v="10"/>
    <x v="0"/>
    <n v="2666.2200000000003"/>
    <n v="0.44"/>
    <x v="142"/>
    <x v="4"/>
    <x v="4"/>
    <x v="1"/>
    <n v="5972.332800000001"/>
    <n v="620.19000000000005"/>
  </r>
  <r>
    <n v="3191"/>
    <s v="David Gillespie"/>
    <x v="1"/>
    <x v="18"/>
    <x v="3"/>
    <n v="2537.59"/>
    <n v="0.51"/>
    <x v="35"/>
    <x v="338"/>
    <x v="0"/>
    <x v="1"/>
    <n v="3730.2573000000002"/>
    <n v="173.16"/>
  </r>
  <r>
    <n v="3192"/>
    <s v="Brittany Sweeney"/>
    <x v="0"/>
    <x v="9"/>
    <x v="0"/>
    <n v="3568.45"/>
    <n v="0.37"/>
    <x v="1264"/>
    <x v="144"/>
    <x v="0"/>
    <x v="0"/>
    <n v="8992.4939999999988"/>
    <n v="1683.74"/>
  </r>
  <r>
    <n v="3193"/>
    <s v="Michelle Kennedy"/>
    <x v="0"/>
    <x v="5"/>
    <x v="3"/>
    <n v="3008.6549999999997"/>
    <n v="0.51"/>
    <x v="44"/>
    <x v="145"/>
    <x v="1"/>
    <x v="0"/>
    <n v="4422.7228500000001"/>
    <n v="1236.54"/>
  </r>
  <r>
    <n v="1022"/>
    <s v="Bryan Molina"/>
    <x v="2"/>
    <x v="10"/>
    <x v="0"/>
    <n v="3611.35"/>
    <n v="0.51"/>
    <x v="1265"/>
    <x v="389"/>
    <x v="1"/>
    <x v="1"/>
    <n v="7078.2460000000001"/>
    <n v="-200.64"/>
  </r>
  <r>
    <n v="3195"/>
    <s v="Cody Williams"/>
    <x v="1"/>
    <x v="18"/>
    <x v="3"/>
    <n v="958.16"/>
    <n v="0.51"/>
    <x v="1266"/>
    <x v="500"/>
    <x v="0"/>
    <x v="0"/>
    <n v="1408.4952000000001"/>
    <n v="352.12380000000002"/>
  </r>
  <r>
    <n v="3196"/>
    <s v="Kelly Henry"/>
    <x v="5"/>
    <x v="12"/>
    <x v="3"/>
    <n v="4897.24"/>
    <n v="0.51"/>
    <x v="1267"/>
    <x v="42"/>
    <x v="5"/>
    <x v="1"/>
    <n v="7198.9427999999998"/>
    <n v="2989.6"/>
  </r>
  <r>
    <n v="3197"/>
    <s v="Brian Clark"/>
    <x v="3"/>
    <x v="23"/>
    <x v="4"/>
    <n v="2338.04"/>
    <n v="0.51"/>
    <x v="1268"/>
    <x v="166"/>
    <x v="4"/>
    <x v="0"/>
    <n v="5728.1980000000003"/>
    <n v="2348.85"/>
  </r>
  <r>
    <n v="3198"/>
    <s v="Dale Palmer"/>
    <x v="1"/>
    <x v="1"/>
    <x v="0"/>
    <n v="2579.8000000000002"/>
    <n v="0.51"/>
    <x v="22"/>
    <x v="71"/>
    <x v="5"/>
    <x v="0"/>
    <n v="5056.4080000000004"/>
    <n v="816.72"/>
  </r>
  <r>
    <n v="1003"/>
    <s v="Sandra Ho"/>
    <x v="0"/>
    <x v="0"/>
    <x v="0"/>
    <n v="2366.6149999999998"/>
    <n v="0.51"/>
    <x v="81"/>
    <x v="538"/>
    <x v="2"/>
    <x v="0"/>
    <n v="4638.5653999999995"/>
    <n v="-756.14"/>
  </r>
  <r>
    <n v="3200"/>
    <s v="Andrew Perry"/>
    <x v="3"/>
    <x v="23"/>
    <x v="6"/>
    <n v="2338.04"/>
    <n v="0.51"/>
    <x v="171"/>
    <x v="402"/>
    <x v="2"/>
    <x v="1"/>
    <n v="4009.7385999999997"/>
    <n v="2779.48"/>
  </r>
  <r>
    <n v="3201"/>
    <s v="Jennifer Casey"/>
    <x v="2"/>
    <x v="10"/>
    <x v="0"/>
    <n v="3494.89"/>
    <n v="0.51"/>
    <x v="1269"/>
    <x v="202"/>
    <x v="4"/>
    <x v="0"/>
    <n v="6849.9843999999994"/>
    <n v="1036.32"/>
  </r>
  <r>
    <n v="1006"/>
    <s v="Jeffrey Dalton"/>
    <x v="2"/>
    <x v="2"/>
    <x v="0"/>
    <n v="2520.44"/>
    <n v="0.15"/>
    <x v="1270"/>
    <x v="31"/>
    <x v="3"/>
    <x v="0"/>
    <n v="8569.4959999999992"/>
    <n v="2408.2800000000002"/>
  </r>
  <r>
    <n v="3203"/>
    <s v="Nicholas Mclaughlin"/>
    <x v="1"/>
    <x v="18"/>
    <x v="3"/>
    <n v="4883.5200000000004"/>
    <n v="0.51"/>
    <x v="1271"/>
    <x v="4"/>
    <x v="5"/>
    <x v="1"/>
    <n v="7178.7744000000002"/>
    <n v="1510.55"/>
  </r>
  <r>
    <n v="3204"/>
    <s v="Juan Morris"/>
    <x v="3"/>
    <x v="7"/>
    <x v="3"/>
    <n v="781.13"/>
    <n v="0.51"/>
    <x v="1272"/>
    <x v="415"/>
    <x v="2"/>
    <x v="0"/>
    <n v="1148.2610999999999"/>
    <n v="287.06527499999999"/>
  </r>
  <r>
    <n v="3205"/>
    <s v="Patrick Olson"/>
    <x v="2"/>
    <x v="10"/>
    <x v="0"/>
    <n v="2666.2200000000003"/>
    <n v="0.51"/>
    <x v="142"/>
    <x v="527"/>
    <x v="4"/>
    <x v="1"/>
    <n v="5225.7912000000006"/>
    <n v="1723.22"/>
  </r>
  <r>
    <n v="3206"/>
    <s v="Yvonne Gibbs"/>
    <x v="5"/>
    <x v="19"/>
    <x v="0"/>
    <n v="2889.5349999999999"/>
    <n v="0.54"/>
    <x v="36"/>
    <x v="375"/>
    <x v="0"/>
    <x v="0"/>
    <n v="5316.7443999999996"/>
    <n v="550.46"/>
  </r>
  <r>
    <n v="3207"/>
    <s v="Monique Robles"/>
    <x v="0"/>
    <x v="9"/>
    <x v="0"/>
    <n v="2891.64"/>
    <n v="0.51"/>
    <x v="12"/>
    <x v="4"/>
    <x v="1"/>
    <x v="0"/>
    <n v="5667.6143999999995"/>
    <n v="-547.29"/>
  </r>
  <r>
    <n v="3208"/>
    <s v="Melissa Davila"/>
    <x v="3"/>
    <x v="21"/>
    <x v="0"/>
    <n v="4280.7"/>
    <n v="0.51"/>
    <x v="1273"/>
    <x v="419"/>
    <x v="5"/>
    <x v="1"/>
    <n v="8390.1719999999987"/>
    <n v="68.36"/>
  </r>
  <r>
    <n v="3209"/>
    <s v="Jessica Ward"/>
    <x v="2"/>
    <x v="17"/>
    <x v="3"/>
    <n v="3221.55"/>
    <n v="0.51"/>
    <x v="1274"/>
    <x v="472"/>
    <x v="1"/>
    <x v="1"/>
    <n v="4735.6785000000009"/>
    <n v="1996.4"/>
  </r>
  <r>
    <n v="3210"/>
    <s v="Nicholas Glenn"/>
    <x v="0"/>
    <x v="20"/>
    <x v="4"/>
    <n v="2750.33"/>
    <n v="0.51"/>
    <x v="52"/>
    <x v="171"/>
    <x v="2"/>
    <x v="1"/>
    <n v="6738.3085000000001"/>
    <n v="1580.66"/>
  </r>
  <r>
    <n v="3211"/>
    <s v="Linda Taylor"/>
    <x v="4"/>
    <x v="4"/>
    <x v="0"/>
    <n v="1624.28"/>
    <n v="0.51"/>
    <x v="1275"/>
    <x v="337"/>
    <x v="3"/>
    <x v="1"/>
    <n v="3183.5888"/>
    <n v="1863.17"/>
  </r>
  <r>
    <n v="3212"/>
    <s v="David Walker"/>
    <x v="1"/>
    <x v="1"/>
    <x v="0"/>
    <n v="4606.8500000000004"/>
    <n v="0.28000000000000003"/>
    <x v="1276"/>
    <x v="273"/>
    <x v="1"/>
    <x v="0"/>
    <n v="13267.728000000001"/>
    <n v="188.97"/>
  </r>
  <r>
    <n v="3213"/>
    <s v="Cynthia Vargas DDS"/>
    <x v="1"/>
    <x v="15"/>
    <x v="5"/>
    <n v="1213.25"/>
    <n v="0.51"/>
    <x v="1277"/>
    <x v="158"/>
    <x v="1"/>
    <x v="0"/>
    <n v="3566.9549999999999"/>
    <n v="-82.79"/>
  </r>
  <r>
    <n v="3214"/>
    <s v="Taylor Martin"/>
    <x v="0"/>
    <x v="20"/>
    <x v="4"/>
    <n v="2750.33"/>
    <n v="0.51"/>
    <x v="52"/>
    <x v="265"/>
    <x v="2"/>
    <x v="0"/>
    <n v="6738.3085000000001"/>
    <n v="1084.99"/>
  </r>
  <r>
    <n v="3215"/>
    <s v="Kelly Contreras"/>
    <x v="0"/>
    <x v="20"/>
    <x v="1"/>
    <n v="552.80999999999995"/>
    <n v="0.56999999999999995"/>
    <x v="1278"/>
    <x v="4"/>
    <x v="0"/>
    <x v="1"/>
    <n v="237.70830000000001"/>
    <n v="206.75"/>
  </r>
  <r>
    <n v="3216"/>
    <s v="Mathew Jackson"/>
    <x v="2"/>
    <x v="10"/>
    <x v="0"/>
    <n v="2666.2200000000003"/>
    <n v="7.0000000000000007E-2"/>
    <x v="142"/>
    <x v="225"/>
    <x v="5"/>
    <x v="1"/>
    <n v="9918.3384000000005"/>
    <n v="1989.05"/>
  </r>
  <r>
    <n v="3217"/>
    <s v="Kathleen Villarreal"/>
    <x v="5"/>
    <x v="12"/>
    <x v="3"/>
    <n v="1039.75"/>
    <n v="0.51"/>
    <x v="1279"/>
    <x v="144"/>
    <x v="5"/>
    <x v="0"/>
    <n v="1528.4324999999999"/>
    <n v="902.04"/>
  </r>
  <r>
    <n v="3218"/>
    <s v="Nancy Guerrero"/>
    <x v="4"/>
    <x v="4"/>
    <x v="0"/>
    <n v="2001.5500000000002"/>
    <n v="0.16"/>
    <x v="5"/>
    <x v="319"/>
    <x v="5"/>
    <x v="1"/>
    <n v="6725.2080000000005"/>
    <n v="946.6"/>
  </r>
  <r>
    <n v="3219"/>
    <s v="Melissa Parker"/>
    <x v="2"/>
    <x v="17"/>
    <x v="4"/>
    <n v="2385.5749999999998"/>
    <n v="0.51"/>
    <x v="1280"/>
    <x v="539"/>
    <x v="3"/>
    <x v="0"/>
    <n v="5844.6587499999996"/>
    <n v="908.45"/>
  </r>
  <r>
    <n v="1006"/>
    <s v="Kenneth Harris"/>
    <x v="0"/>
    <x v="20"/>
    <x v="4"/>
    <n v="732.96"/>
    <n v="0.21"/>
    <x v="1281"/>
    <x v="4"/>
    <x v="4"/>
    <x v="1"/>
    <n v="2895.1920000000005"/>
    <n v="-702.58"/>
  </r>
  <r>
    <n v="3221"/>
    <s v="Paul Orozco"/>
    <x v="3"/>
    <x v="3"/>
    <x v="3"/>
    <n v="2515.415"/>
    <n v="0.51"/>
    <x v="11"/>
    <x v="96"/>
    <x v="5"/>
    <x v="1"/>
    <n v="3697.66005"/>
    <n v="2141.34"/>
  </r>
  <r>
    <n v="3222"/>
    <s v="Edward Saunders"/>
    <x v="5"/>
    <x v="19"/>
    <x v="0"/>
    <n v="2889.5349999999999"/>
    <n v="0.51"/>
    <x v="36"/>
    <x v="240"/>
    <x v="5"/>
    <x v="1"/>
    <n v="5663.4885999999997"/>
    <n v="-545.96"/>
  </r>
  <r>
    <n v="3223"/>
    <s v="Christopher Haley"/>
    <x v="4"/>
    <x v="16"/>
    <x v="0"/>
    <n v="2599.75"/>
    <n v="0.51"/>
    <x v="42"/>
    <x v="136"/>
    <x v="2"/>
    <x v="0"/>
    <n v="5095.51"/>
    <n v="1477.87"/>
  </r>
  <r>
    <n v="3224"/>
    <s v="Elizabeth Smith"/>
    <x v="0"/>
    <x v="0"/>
    <x v="5"/>
    <n v="878.95"/>
    <n v="0.01"/>
    <x v="1282"/>
    <x v="186"/>
    <x v="2"/>
    <x v="1"/>
    <n v="5220.9630000000006"/>
    <n v="2099.52"/>
  </r>
  <r>
    <n v="3225"/>
    <s v="Daniel Burnett"/>
    <x v="5"/>
    <x v="6"/>
    <x v="5"/>
    <n v="2975.64"/>
    <n v="0.51"/>
    <x v="634"/>
    <x v="4"/>
    <x v="5"/>
    <x v="1"/>
    <n v="8748.3816000000006"/>
    <n v="2666.58"/>
  </r>
  <r>
    <n v="3226"/>
    <s v="Michelle Gonzalez"/>
    <x v="5"/>
    <x v="12"/>
    <x v="3"/>
    <n v="2765.26"/>
    <n v="0.51"/>
    <x v="19"/>
    <x v="540"/>
    <x v="3"/>
    <x v="0"/>
    <n v="4064.9322000000002"/>
    <n v="2715.65"/>
  </r>
  <r>
    <n v="3227"/>
    <s v="Cheryl Allen"/>
    <x v="3"/>
    <x v="3"/>
    <x v="3"/>
    <n v="2515.415"/>
    <n v="0.51"/>
    <x v="11"/>
    <x v="361"/>
    <x v="2"/>
    <x v="0"/>
    <n v="3697.66005"/>
    <n v="2498.2199999999998"/>
  </r>
  <r>
    <n v="3228"/>
    <s v="Scott Levine"/>
    <x v="4"/>
    <x v="16"/>
    <x v="0"/>
    <n v="2125.02"/>
    <n v="0.51"/>
    <x v="1283"/>
    <x v="133"/>
    <x v="4"/>
    <x v="0"/>
    <n v="4165.0392000000002"/>
    <n v="1154.25"/>
  </r>
  <r>
    <n v="3229"/>
    <s v="Kimberly Lee"/>
    <x v="3"/>
    <x v="23"/>
    <x v="6"/>
    <n v="2338.04"/>
    <n v="0.51"/>
    <x v="171"/>
    <x v="4"/>
    <x v="0"/>
    <x v="0"/>
    <n v="4009.7385999999997"/>
    <n v="1178.45"/>
  </r>
  <r>
    <n v="3230"/>
    <s v="Dana Erickson"/>
    <x v="1"/>
    <x v="1"/>
    <x v="3"/>
    <n v="4694.3100000000004"/>
    <n v="0.09"/>
    <x v="1284"/>
    <x v="4"/>
    <x v="3"/>
    <x v="1"/>
    <n v="12815.4663"/>
    <n v="-215.18"/>
  </r>
  <r>
    <n v="3231"/>
    <s v="Paul West"/>
    <x v="2"/>
    <x v="2"/>
    <x v="0"/>
    <n v="2933.45"/>
    <n v="0.51"/>
    <x v="13"/>
    <x v="541"/>
    <x v="5"/>
    <x v="1"/>
    <n v="5749.5619999999999"/>
    <n v="2837.72"/>
  </r>
  <r>
    <n v="3232"/>
    <s v="Jeremy Garcia"/>
    <x v="1"/>
    <x v="1"/>
    <x v="0"/>
    <n v="2579.8000000000002"/>
    <n v="0.3"/>
    <x v="22"/>
    <x v="184"/>
    <x v="3"/>
    <x v="1"/>
    <n v="7223.44"/>
    <n v="1045.42"/>
  </r>
  <r>
    <n v="3233"/>
    <s v="Briana Greer"/>
    <x v="4"/>
    <x v="4"/>
    <x v="0"/>
    <n v="2654.66"/>
    <n v="0.51"/>
    <x v="1285"/>
    <x v="261"/>
    <x v="3"/>
    <x v="1"/>
    <n v="5203.1335999999992"/>
    <n v="2008.66"/>
  </r>
  <r>
    <n v="3234"/>
    <s v="Thomas White"/>
    <x v="0"/>
    <x v="20"/>
    <x v="4"/>
    <n v="2068.3000000000002"/>
    <n v="0.51"/>
    <x v="1286"/>
    <x v="371"/>
    <x v="4"/>
    <x v="1"/>
    <n v="5067.335"/>
    <n v="-896.79"/>
  </r>
  <r>
    <n v="3235"/>
    <s v="Elaine Cohen"/>
    <x v="2"/>
    <x v="2"/>
    <x v="0"/>
    <n v="3466.1"/>
    <n v="0.51"/>
    <x v="1287"/>
    <x v="8"/>
    <x v="3"/>
    <x v="1"/>
    <n v="6793.5559999999996"/>
    <n v="1011.48"/>
  </r>
  <r>
    <n v="3236"/>
    <s v="Caroline Perry"/>
    <x v="1"/>
    <x v="22"/>
    <x v="6"/>
    <n v="3253.51"/>
    <n v="0.55000000000000004"/>
    <x v="1288"/>
    <x v="331"/>
    <x v="5"/>
    <x v="0"/>
    <n v="5124.2782499999994"/>
    <n v="713.71"/>
  </r>
  <r>
    <n v="3237"/>
    <s v="Joyce Dixon"/>
    <x v="1"/>
    <x v="1"/>
    <x v="3"/>
    <n v="2579.8000000000002"/>
    <n v="0.51"/>
    <x v="257"/>
    <x v="335"/>
    <x v="1"/>
    <x v="1"/>
    <n v="3792.306"/>
    <n v="1866.05"/>
  </r>
  <r>
    <n v="3238"/>
    <s v="John Woods"/>
    <x v="4"/>
    <x v="14"/>
    <x v="0"/>
    <n v="2765.79"/>
    <n v="0.87"/>
    <x v="25"/>
    <x v="272"/>
    <x v="0"/>
    <x v="1"/>
    <n v="1438.2108000000001"/>
    <n v="744.17"/>
  </r>
  <r>
    <n v="3239"/>
    <s v="Mariah Kidd"/>
    <x v="0"/>
    <x v="9"/>
    <x v="1"/>
    <n v="4585.71"/>
    <n v="0.51"/>
    <x v="1289"/>
    <x v="269"/>
    <x v="1"/>
    <x v="1"/>
    <n v="2246.9978999999998"/>
    <n v="1277.56"/>
  </r>
  <r>
    <n v="3240"/>
    <s v="Sabrina Copeland"/>
    <x v="5"/>
    <x v="6"/>
    <x v="0"/>
    <n v="2975.64"/>
    <n v="0.51"/>
    <x v="61"/>
    <x v="99"/>
    <x v="3"/>
    <x v="1"/>
    <n v="5832.2543999999998"/>
    <n v="940.05"/>
  </r>
  <r>
    <n v="1026"/>
    <s v="Brandi Walker"/>
    <x v="4"/>
    <x v="4"/>
    <x v="0"/>
    <n v="3186.11"/>
    <n v="0.74"/>
    <x v="1290"/>
    <x v="542"/>
    <x v="1"/>
    <x v="0"/>
    <n v="3313.5544000000004"/>
    <n v="2939.87"/>
  </r>
  <r>
    <n v="3242"/>
    <s v="Sarah Clark"/>
    <x v="2"/>
    <x v="2"/>
    <x v="0"/>
    <n v="2933.45"/>
    <n v="0.16"/>
    <x v="13"/>
    <x v="390"/>
    <x v="2"/>
    <x v="1"/>
    <n v="9856.3919999999998"/>
    <n v="2996.49"/>
  </r>
  <r>
    <n v="3243"/>
    <s v="Daniel Bernard"/>
    <x v="5"/>
    <x v="19"/>
    <x v="0"/>
    <n v="2889.5349999999999"/>
    <n v="0.87"/>
    <x v="36"/>
    <x v="4"/>
    <x v="0"/>
    <x v="1"/>
    <n v="1502.5581999999999"/>
    <n v="1345.46"/>
  </r>
  <r>
    <n v="3244"/>
    <s v="Jennifer Manning"/>
    <x v="3"/>
    <x v="21"/>
    <x v="0"/>
    <n v="2785.79"/>
    <n v="0.47"/>
    <x v="110"/>
    <x v="310"/>
    <x v="1"/>
    <x v="1"/>
    <n v="5905.8748000000005"/>
    <n v="2205.34"/>
  </r>
  <r>
    <n v="3245"/>
    <s v="Gregory Daugherty"/>
    <x v="2"/>
    <x v="10"/>
    <x v="0"/>
    <n v="2666.2200000000003"/>
    <n v="0.51"/>
    <x v="142"/>
    <x v="288"/>
    <x v="4"/>
    <x v="1"/>
    <n v="5225.7912000000006"/>
    <n v="1403.98"/>
  </r>
  <r>
    <n v="3246"/>
    <s v="Brenda Rodriguez"/>
    <x v="0"/>
    <x v="5"/>
    <x v="3"/>
    <n v="4842.74"/>
    <n v="0.51"/>
    <x v="1291"/>
    <x v="4"/>
    <x v="5"/>
    <x v="1"/>
    <n v="7118.8277999999991"/>
    <n v="2628.24"/>
  </r>
  <r>
    <n v="3247"/>
    <s v="Pamela Wolf"/>
    <x v="5"/>
    <x v="6"/>
    <x v="0"/>
    <n v="2975.64"/>
    <n v="0.51"/>
    <x v="61"/>
    <x v="395"/>
    <x v="0"/>
    <x v="1"/>
    <n v="5832.2543999999998"/>
    <n v="2182.4899999999998"/>
  </r>
  <r>
    <n v="3248"/>
    <s v="Angela Leon"/>
    <x v="5"/>
    <x v="6"/>
    <x v="0"/>
    <n v="2061.91"/>
    <n v="0.51"/>
    <x v="1292"/>
    <x v="440"/>
    <x v="1"/>
    <x v="1"/>
    <n v="4041.3435999999997"/>
    <n v="-729.1"/>
  </r>
  <r>
    <n v="3249"/>
    <s v="Jeffery Hubbard"/>
    <x v="4"/>
    <x v="4"/>
    <x v="0"/>
    <n v="2001.5500000000002"/>
    <n v="0.51"/>
    <x v="5"/>
    <x v="4"/>
    <x v="0"/>
    <x v="1"/>
    <n v="3923.0380000000005"/>
    <n v="1787.82"/>
  </r>
  <r>
    <n v="3250"/>
    <s v="Dawn Barrett"/>
    <x v="4"/>
    <x v="4"/>
    <x v="0"/>
    <n v="2001.5500000000002"/>
    <n v="0.51"/>
    <x v="5"/>
    <x v="4"/>
    <x v="3"/>
    <x v="1"/>
    <n v="3923.0380000000005"/>
    <n v="2200.6"/>
  </r>
  <r>
    <n v="3251"/>
    <s v="Evelyn Mckenzie"/>
    <x v="5"/>
    <x v="11"/>
    <x v="3"/>
    <n v="2731.6350000000002"/>
    <n v="0.51"/>
    <x v="60"/>
    <x v="47"/>
    <x v="0"/>
    <x v="0"/>
    <n v="4015.5034500000002"/>
    <n v="2977.81"/>
  </r>
  <r>
    <n v="3252"/>
    <s v="Michelle Smith"/>
    <x v="2"/>
    <x v="13"/>
    <x v="0"/>
    <n v="2538.0450000000001"/>
    <n v="0.51"/>
    <x v="21"/>
    <x v="38"/>
    <x v="1"/>
    <x v="1"/>
    <n v="4974.5681999999997"/>
    <n v="-544.70000000000005"/>
  </r>
  <r>
    <n v="3253"/>
    <s v="Anita Ramirez"/>
    <x v="1"/>
    <x v="15"/>
    <x v="4"/>
    <n v="4429.95"/>
    <n v="0.35"/>
    <x v="1293"/>
    <x v="355"/>
    <x v="4"/>
    <x v="1"/>
    <n v="14397.3375"/>
    <n v="-746.94"/>
  </r>
  <r>
    <n v="3254"/>
    <s v="Donna Terry"/>
    <x v="1"/>
    <x v="15"/>
    <x v="3"/>
    <n v="2229.4899999999998"/>
    <n v="0.51"/>
    <x v="30"/>
    <x v="436"/>
    <x v="5"/>
    <x v="0"/>
    <n v="3277.3502999999996"/>
    <n v="2285.19"/>
  </r>
  <r>
    <n v="3255"/>
    <s v="George Gonzales"/>
    <x v="3"/>
    <x v="21"/>
    <x v="5"/>
    <n v="3904.86"/>
    <n v="0.51"/>
    <x v="1294"/>
    <x v="129"/>
    <x v="2"/>
    <x v="0"/>
    <n v="11480.288399999999"/>
    <n v="1504.25"/>
  </r>
  <r>
    <n v="3256"/>
    <s v="Samantha Mora"/>
    <x v="4"/>
    <x v="4"/>
    <x v="2"/>
    <n v="2001.5500000000002"/>
    <n v="0.51"/>
    <x v="325"/>
    <x v="242"/>
    <x v="2"/>
    <x v="1"/>
    <n v="1961.5190000000002"/>
    <n v="298.94"/>
  </r>
  <r>
    <n v="3257"/>
    <s v="Nicholas Lee"/>
    <x v="4"/>
    <x v="16"/>
    <x v="0"/>
    <n v="2599.75"/>
    <n v="0.51"/>
    <x v="42"/>
    <x v="266"/>
    <x v="4"/>
    <x v="1"/>
    <n v="5095.51"/>
    <n v="-271.48"/>
  </r>
  <r>
    <n v="3258"/>
    <s v="Max Everett"/>
    <x v="2"/>
    <x v="2"/>
    <x v="0"/>
    <n v="2933.45"/>
    <n v="0.51"/>
    <x v="13"/>
    <x v="356"/>
    <x v="1"/>
    <x v="1"/>
    <n v="5749.5619999999999"/>
    <n v="682.17"/>
  </r>
  <r>
    <n v="3259"/>
    <s v="Crystal Thomas"/>
    <x v="2"/>
    <x v="17"/>
    <x v="3"/>
    <n v="2385.5749999999998"/>
    <n v="0.51"/>
    <x v="91"/>
    <x v="532"/>
    <x v="2"/>
    <x v="1"/>
    <n v="3506.7952499999997"/>
    <n v="2448.2199999999998"/>
  </r>
  <r>
    <n v="1024"/>
    <s v="William Johnson"/>
    <x v="3"/>
    <x v="21"/>
    <x v="0"/>
    <n v="940.64"/>
    <n v="0.67"/>
    <x v="1295"/>
    <x v="122"/>
    <x v="2"/>
    <x v="0"/>
    <n v="1241.6447999999998"/>
    <n v="310.41119999999995"/>
  </r>
  <r>
    <n v="3261"/>
    <s v="Henry Bryan"/>
    <x v="1"/>
    <x v="18"/>
    <x v="3"/>
    <n v="2537.59"/>
    <n v="0.51"/>
    <x v="35"/>
    <x v="205"/>
    <x v="5"/>
    <x v="0"/>
    <n v="3730.2573000000002"/>
    <n v="-602.39"/>
  </r>
  <r>
    <n v="3262"/>
    <s v="Melanie Wolf"/>
    <x v="3"/>
    <x v="23"/>
    <x v="6"/>
    <n v="3727.53"/>
    <n v="0.51"/>
    <x v="1296"/>
    <x v="4"/>
    <x v="1"/>
    <x v="1"/>
    <n v="6392.7139500000003"/>
    <n v="29.62"/>
  </r>
  <r>
    <n v="3263"/>
    <s v="Tammy Hatfield"/>
    <x v="2"/>
    <x v="10"/>
    <x v="5"/>
    <n v="3121.49"/>
    <n v="0.51"/>
    <x v="1297"/>
    <x v="207"/>
    <x v="3"/>
    <x v="1"/>
    <n v="9177.1805999999997"/>
    <n v="1156.27"/>
  </r>
  <r>
    <n v="3264"/>
    <s v="Erin Beck"/>
    <x v="5"/>
    <x v="12"/>
    <x v="3"/>
    <n v="944.36"/>
    <n v="7.0000000000000007E-2"/>
    <x v="1298"/>
    <x v="279"/>
    <x v="4"/>
    <x v="1"/>
    <n v="2634.7643999999996"/>
    <n v="1133.74"/>
  </r>
  <r>
    <n v="3265"/>
    <s v="Sandra Patrick"/>
    <x v="1"/>
    <x v="22"/>
    <x v="6"/>
    <n v="1882.93"/>
    <n v="0.51"/>
    <x v="1299"/>
    <x v="83"/>
    <x v="3"/>
    <x v="1"/>
    <n v="3229.2249499999998"/>
    <n v="520.85"/>
  </r>
  <r>
    <n v="3266"/>
    <s v="Alan Hall"/>
    <x v="4"/>
    <x v="14"/>
    <x v="0"/>
    <n v="3349.58"/>
    <n v="0.51"/>
    <x v="1300"/>
    <x v="4"/>
    <x v="2"/>
    <x v="1"/>
    <n v="6565.1768000000002"/>
    <n v="1085.2"/>
  </r>
  <r>
    <n v="3267"/>
    <s v="Cathy Zamora"/>
    <x v="5"/>
    <x v="11"/>
    <x v="1"/>
    <n v="3965.8"/>
    <n v="0.48"/>
    <x v="1301"/>
    <x v="13"/>
    <x v="3"/>
    <x v="1"/>
    <n v="2062.2160000000003"/>
    <n v="1222.8499999999999"/>
  </r>
  <r>
    <n v="1045"/>
    <s v="Jennifer Fowler"/>
    <x v="3"/>
    <x v="7"/>
    <x v="3"/>
    <n v="2577.6350000000002"/>
    <n v="0.51"/>
    <x v="8"/>
    <x v="543"/>
    <x v="5"/>
    <x v="0"/>
    <n v="3789.12345"/>
    <n v="454.74"/>
  </r>
  <r>
    <n v="3269"/>
    <s v="Lindsay Harris"/>
    <x v="4"/>
    <x v="4"/>
    <x v="0"/>
    <n v="2998.25"/>
    <n v="0.51"/>
    <x v="1302"/>
    <x v="302"/>
    <x v="1"/>
    <x v="1"/>
    <n v="5876.57"/>
    <n v="-781.65"/>
  </r>
  <r>
    <n v="3270"/>
    <s v="Richard Gregory"/>
    <x v="4"/>
    <x v="8"/>
    <x v="3"/>
    <n v="3190.74"/>
    <n v="0.96"/>
    <x v="1303"/>
    <x v="4"/>
    <x v="1"/>
    <x v="1"/>
    <n v="382.88880000000029"/>
    <n v="95.722200000000072"/>
  </r>
  <r>
    <n v="3271"/>
    <s v="Matthew Ortega"/>
    <x v="3"/>
    <x v="21"/>
    <x v="0"/>
    <n v="2672.26"/>
    <n v="0.28999999999999998"/>
    <x v="1304"/>
    <x v="300"/>
    <x v="1"/>
    <x v="0"/>
    <n v="7589.2184000000007"/>
    <n v="722.57"/>
  </r>
  <r>
    <n v="3272"/>
    <s v="Christopher Davis"/>
    <x v="2"/>
    <x v="17"/>
    <x v="3"/>
    <n v="4236.45"/>
    <n v="0.51"/>
    <x v="1305"/>
    <x v="116"/>
    <x v="2"/>
    <x v="0"/>
    <n v="6227.5814999999993"/>
    <n v="-849.83"/>
  </r>
  <r>
    <n v="3273"/>
    <s v="Leslie Clark"/>
    <x v="2"/>
    <x v="17"/>
    <x v="3"/>
    <n v="4089.68"/>
    <n v="0.51"/>
    <x v="1306"/>
    <x v="297"/>
    <x v="3"/>
    <x v="1"/>
    <n v="6011.8295999999991"/>
    <n v="-713.14"/>
  </r>
  <r>
    <n v="3274"/>
    <s v="Nathan Maynard"/>
    <x v="5"/>
    <x v="6"/>
    <x v="0"/>
    <n v="4409.22"/>
    <n v="0.51"/>
    <x v="1307"/>
    <x v="544"/>
    <x v="0"/>
    <x v="0"/>
    <n v="8642.0712000000003"/>
    <n v="2886.62"/>
  </r>
  <r>
    <n v="3275"/>
    <s v="Stacie Duncan"/>
    <x v="3"/>
    <x v="21"/>
    <x v="5"/>
    <n v="2785.79"/>
    <n v="0.51"/>
    <x v="642"/>
    <x v="319"/>
    <x v="1"/>
    <x v="0"/>
    <n v="8190.2225999999991"/>
    <n v="-733.06"/>
  </r>
  <r>
    <n v="3276"/>
    <s v="Hannah Nguyen"/>
    <x v="4"/>
    <x v="8"/>
    <x v="5"/>
    <n v="3027.66"/>
    <n v="0.51"/>
    <x v="1238"/>
    <x v="51"/>
    <x v="5"/>
    <x v="0"/>
    <n v="8901.3203999999987"/>
    <n v="-659.65"/>
  </r>
  <r>
    <n v="3277"/>
    <s v="Keith Jones"/>
    <x v="1"/>
    <x v="18"/>
    <x v="3"/>
    <n v="3583.06"/>
    <n v="0.51"/>
    <x v="1308"/>
    <x v="4"/>
    <x v="1"/>
    <x v="0"/>
    <n v="5267.0982000000004"/>
    <n v="2185.25"/>
  </r>
  <r>
    <n v="3278"/>
    <s v="Barbara Gutierrez"/>
    <x v="3"/>
    <x v="3"/>
    <x v="3"/>
    <n v="3767.69"/>
    <n v="0.46"/>
    <x v="1309"/>
    <x v="10"/>
    <x v="3"/>
    <x v="0"/>
    <n v="6103.6578"/>
    <n v="746.84"/>
  </r>
  <r>
    <n v="3279"/>
    <s v="Christine Burns"/>
    <x v="3"/>
    <x v="21"/>
    <x v="0"/>
    <n v="4643.96"/>
    <n v="0.82"/>
    <x v="1310"/>
    <x v="428"/>
    <x v="3"/>
    <x v="0"/>
    <n v="3343.6512000000012"/>
    <n v="2569.86"/>
  </r>
  <r>
    <n v="3280"/>
    <s v="Courtney Munoz"/>
    <x v="5"/>
    <x v="12"/>
    <x v="3"/>
    <n v="2765.26"/>
    <n v="0.51"/>
    <x v="19"/>
    <x v="545"/>
    <x v="4"/>
    <x v="1"/>
    <n v="4064.9322000000002"/>
    <n v="601.65"/>
  </r>
  <r>
    <n v="3281"/>
    <s v="Jason Bradley"/>
    <x v="1"/>
    <x v="15"/>
    <x v="3"/>
    <n v="2229.4899999999998"/>
    <n v="0.23"/>
    <x v="30"/>
    <x v="546"/>
    <x v="3"/>
    <x v="1"/>
    <n v="5150.1218999999992"/>
    <n v="1469.72"/>
  </r>
  <r>
    <n v="3282"/>
    <s v="Nicholas Cox"/>
    <x v="0"/>
    <x v="20"/>
    <x v="2"/>
    <n v="4405.96"/>
    <n v="0.28000000000000003"/>
    <x v="1311"/>
    <x v="525"/>
    <x v="3"/>
    <x v="1"/>
    <n v="6344.5824000000002"/>
    <n v="503.27"/>
  </r>
  <r>
    <n v="3283"/>
    <s v="Emily Sosa"/>
    <x v="5"/>
    <x v="6"/>
    <x v="3"/>
    <n v="2975.64"/>
    <n v="0.51"/>
    <x v="126"/>
    <x v="4"/>
    <x v="2"/>
    <x v="0"/>
    <n v="4374.1908000000003"/>
    <n v="1653.09"/>
  </r>
  <r>
    <n v="3284"/>
    <s v="Daniel Mullins"/>
    <x v="3"/>
    <x v="7"/>
    <x v="2"/>
    <n v="2577.6350000000002"/>
    <n v="0.51"/>
    <x v="32"/>
    <x v="14"/>
    <x v="0"/>
    <x v="0"/>
    <n v="2526.0823"/>
    <n v="1560.64"/>
  </r>
  <r>
    <n v="3285"/>
    <s v="Jessica Villa DDS"/>
    <x v="4"/>
    <x v="16"/>
    <x v="0"/>
    <n v="4347.43"/>
    <n v="0.51"/>
    <x v="1312"/>
    <x v="357"/>
    <x v="0"/>
    <x v="1"/>
    <n v="8520.9628000000012"/>
    <n v="1440.27"/>
  </r>
  <r>
    <n v="3286"/>
    <s v="Benjamin Jenkins"/>
    <x v="1"/>
    <x v="18"/>
    <x v="3"/>
    <n v="2537.59"/>
    <n v="0.51"/>
    <x v="35"/>
    <x v="43"/>
    <x v="4"/>
    <x v="1"/>
    <n v="3730.2573000000002"/>
    <n v="2616.2800000000002"/>
  </r>
  <r>
    <n v="3287"/>
    <s v="Jennifer Johnson"/>
    <x v="1"/>
    <x v="22"/>
    <x v="6"/>
    <n v="2752.99"/>
    <n v="0.21"/>
    <x v="201"/>
    <x v="547"/>
    <x v="3"/>
    <x v="0"/>
    <n v="7612.0173500000001"/>
    <n v="1684.69"/>
  </r>
  <r>
    <n v="3288"/>
    <s v="Amanda Simmons"/>
    <x v="1"/>
    <x v="15"/>
    <x v="4"/>
    <n v="2229.4899999999998"/>
    <n v="0.51"/>
    <x v="1227"/>
    <x v="4"/>
    <x v="3"/>
    <x v="0"/>
    <n v="5462.2504999999992"/>
    <n v="1657.65"/>
  </r>
  <r>
    <n v="3289"/>
    <s v="Kevin Carson"/>
    <x v="3"/>
    <x v="7"/>
    <x v="3"/>
    <n v="2577.6350000000002"/>
    <n v="0.51"/>
    <x v="8"/>
    <x v="4"/>
    <x v="1"/>
    <x v="1"/>
    <n v="3789.12345"/>
    <n v="-272.83999999999997"/>
  </r>
  <r>
    <n v="3290"/>
    <s v="Lauren Cook"/>
    <x v="1"/>
    <x v="1"/>
    <x v="0"/>
    <n v="2579.8000000000002"/>
    <n v="0.51"/>
    <x v="22"/>
    <x v="227"/>
    <x v="5"/>
    <x v="1"/>
    <n v="5056.4080000000004"/>
    <n v="1001.31"/>
  </r>
  <r>
    <n v="3291"/>
    <s v="Wendy Coleman"/>
    <x v="3"/>
    <x v="3"/>
    <x v="3"/>
    <n v="2515.415"/>
    <n v="0.27"/>
    <x v="11"/>
    <x v="408"/>
    <x v="0"/>
    <x v="0"/>
    <n v="5508.7588500000002"/>
    <n v="1907.94"/>
  </r>
  <r>
    <n v="3292"/>
    <s v="Jessica Bradley"/>
    <x v="4"/>
    <x v="8"/>
    <x v="3"/>
    <n v="3027.66"/>
    <n v="0.5"/>
    <x v="94"/>
    <x v="114"/>
    <x v="4"/>
    <x v="1"/>
    <n v="4541.49"/>
    <n v="-774.38"/>
  </r>
  <r>
    <n v="1045"/>
    <s v="Michelle Clayton"/>
    <x v="4"/>
    <x v="16"/>
    <x v="0"/>
    <n v="2599.75"/>
    <n v="0.98"/>
    <x v="42"/>
    <x v="68"/>
    <x v="5"/>
    <x v="1"/>
    <n v="207.98000000000019"/>
    <n v="51.995000000000047"/>
  </r>
  <r>
    <n v="3294"/>
    <s v="Gregory Mitchell"/>
    <x v="4"/>
    <x v="8"/>
    <x v="0"/>
    <n v="1316.9"/>
    <n v="0.11"/>
    <x v="1313"/>
    <x v="427"/>
    <x v="0"/>
    <x v="0"/>
    <n v="4688.1640000000007"/>
    <n v="2743.65"/>
  </r>
  <r>
    <n v="3295"/>
    <s v="Justin Frye"/>
    <x v="4"/>
    <x v="4"/>
    <x v="0"/>
    <n v="2001.5500000000002"/>
    <n v="0.51"/>
    <x v="5"/>
    <x v="4"/>
    <x v="4"/>
    <x v="1"/>
    <n v="3923.0380000000005"/>
    <n v="-623.54999999999995"/>
  </r>
  <r>
    <n v="1022"/>
    <s v="Julia Campbell"/>
    <x v="4"/>
    <x v="4"/>
    <x v="4"/>
    <n v="2001.5500000000002"/>
    <n v="0.39"/>
    <x v="144"/>
    <x v="4"/>
    <x v="1"/>
    <x v="1"/>
    <n v="6104.7275"/>
    <n v="-63"/>
  </r>
  <r>
    <n v="3297"/>
    <s v="George Macdonald"/>
    <x v="2"/>
    <x v="13"/>
    <x v="0"/>
    <n v="2538.0450000000001"/>
    <n v="0.51"/>
    <x v="21"/>
    <x v="207"/>
    <x v="0"/>
    <x v="0"/>
    <n v="4974.5681999999997"/>
    <n v="1746.36"/>
  </r>
  <r>
    <n v="3298"/>
    <s v="Christopher Gordon"/>
    <x v="3"/>
    <x v="3"/>
    <x v="1"/>
    <n v="2124.13"/>
    <n v="0.85"/>
    <x v="1314"/>
    <x v="221"/>
    <x v="4"/>
    <x v="1"/>
    <n v="318.61950000000007"/>
    <n v="79.654875000000018"/>
  </r>
  <r>
    <n v="3299"/>
    <s v="Kristen Alexander"/>
    <x v="1"/>
    <x v="22"/>
    <x v="6"/>
    <n v="4090.34"/>
    <n v="0.99"/>
    <x v="1315"/>
    <x v="325"/>
    <x v="2"/>
    <x v="1"/>
    <n v="143.16190000000014"/>
    <n v="35.790475000000036"/>
  </r>
  <r>
    <n v="3300"/>
    <s v="Debbie Cross"/>
    <x v="3"/>
    <x v="7"/>
    <x v="4"/>
    <n v="2577.6350000000002"/>
    <n v="0.51"/>
    <x v="117"/>
    <x v="4"/>
    <x v="3"/>
    <x v="0"/>
    <n v="6315.2057500000001"/>
    <n v="525.1"/>
  </r>
  <r>
    <n v="3301"/>
    <s v="Holly Lopez"/>
    <x v="4"/>
    <x v="16"/>
    <x v="4"/>
    <n v="2590.44"/>
    <n v="0.51"/>
    <x v="1316"/>
    <x v="326"/>
    <x v="4"/>
    <x v="1"/>
    <n v="6346.5780000000004"/>
    <n v="-613.96"/>
  </r>
  <r>
    <n v="3302"/>
    <s v="Leslie Castro"/>
    <x v="0"/>
    <x v="9"/>
    <x v="3"/>
    <n v="2891.64"/>
    <n v="0.51"/>
    <x v="40"/>
    <x v="8"/>
    <x v="0"/>
    <x v="1"/>
    <n v="4250.7107999999998"/>
    <n v="2938.26"/>
  </r>
  <r>
    <n v="3303"/>
    <s v="Joshua Carter"/>
    <x v="2"/>
    <x v="13"/>
    <x v="0"/>
    <n v="2538.0450000000001"/>
    <n v="0.51"/>
    <x v="21"/>
    <x v="462"/>
    <x v="4"/>
    <x v="1"/>
    <n v="4974.5681999999997"/>
    <n v="295.89"/>
  </r>
  <r>
    <n v="3304"/>
    <s v="Cheyenne Benson"/>
    <x v="3"/>
    <x v="21"/>
    <x v="0"/>
    <n v="4452.04"/>
    <n v="0.51"/>
    <x v="1317"/>
    <x v="114"/>
    <x v="3"/>
    <x v="0"/>
    <n v="8725.9984000000004"/>
    <n v="2932.37"/>
  </r>
  <r>
    <n v="3305"/>
    <s v="Allison Hill"/>
    <x v="0"/>
    <x v="5"/>
    <x v="3"/>
    <n v="3008.6549999999997"/>
    <n v="0.51"/>
    <x v="44"/>
    <x v="371"/>
    <x v="2"/>
    <x v="0"/>
    <n v="4422.7228500000001"/>
    <n v="1362.42"/>
  </r>
  <r>
    <n v="3306"/>
    <s v="John Davis"/>
    <x v="4"/>
    <x v="8"/>
    <x v="3"/>
    <n v="4536.09"/>
    <n v="0.51"/>
    <x v="1318"/>
    <x v="4"/>
    <x v="4"/>
    <x v="1"/>
    <n v="6668.0523000000003"/>
    <n v="1015.71"/>
  </r>
  <r>
    <n v="3307"/>
    <s v="Cynthia Fisher"/>
    <x v="3"/>
    <x v="7"/>
    <x v="3"/>
    <n v="3896.07"/>
    <n v="0.51"/>
    <x v="1319"/>
    <x v="291"/>
    <x v="5"/>
    <x v="0"/>
    <n v="5727.2229000000007"/>
    <n v="409.14"/>
  </r>
  <r>
    <n v="3308"/>
    <s v="Carolyn Mitchell"/>
    <x v="1"/>
    <x v="18"/>
    <x v="3"/>
    <n v="2537.59"/>
    <n v="0.51"/>
    <x v="35"/>
    <x v="351"/>
    <x v="1"/>
    <x v="0"/>
    <n v="3730.2573000000002"/>
    <n v="1711.84"/>
  </r>
  <r>
    <n v="3309"/>
    <s v="Katrina Pugh"/>
    <x v="5"/>
    <x v="6"/>
    <x v="0"/>
    <n v="3944.46"/>
    <n v="0.51"/>
    <x v="1320"/>
    <x v="548"/>
    <x v="1"/>
    <x v="0"/>
    <n v="7731.1415999999999"/>
    <n v="1392.37"/>
  </r>
  <r>
    <n v="3310"/>
    <s v="Marissa Howard"/>
    <x v="5"/>
    <x v="12"/>
    <x v="3"/>
    <n v="2765.26"/>
    <n v="0.51"/>
    <x v="19"/>
    <x v="549"/>
    <x v="5"/>
    <x v="0"/>
    <n v="4064.9322000000002"/>
    <n v="463.6"/>
  </r>
  <r>
    <n v="3311"/>
    <s v="Amanda Dixon"/>
    <x v="5"/>
    <x v="11"/>
    <x v="3"/>
    <n v="3108.69"/>
    <n v="0.51"/>
    <x v="1321"/>
    <x v="23"/>
    <x v="0"/>
    <x v="1"/>
    <n v="4569.7743"/>
    <n v="2986.53"/>
  </r>
  <r>
    <n v="3312"/>
    <s v="Sarah Bradley DDS"/>
    <x v="4"/>
    <x v="14"/>
    <x v="2"/>
    <n v="4878.8100000000004"/>
    <n v="0.51"/>
    <x v="1322"/>
    <x v="497"/>
    <x v="3"/>
    <x v="1"/>
    <n v="4781.2338"/>
    <n v="327.38"/>
  </r>
  <r>
    <n v="3313"/>
    <s v="Dylan Price"/>
    <x v="5"/>
    <x v="19"/>
    <x v="4"/>
    <n v="2889.5349999999999"/>
    <n v="0.51"/>
    <x v="372"/>
    <x v="110"/>
    <x v="3"/>
    <x v="1"/>
    <n v="7079.3607499999998"/>
    <n v="2022.75"/>
  </r>
  <r>
    <n v="3314"/>
    <s v="Kevin Walker"/>
    <x v="1"/>
    <x v="18"/>
    <x v="3"/>
    <n v="2537.59"/>
    <n v="0.51"/>
    <x v="35"/>
    <x v="189"/>
    <x v="5"/>
    <x v="1"/>
    <n v="3730.2573000000002"/>
    <n v="2708.81"/>
  </r>
  <r>
    <n v="3315"/>
    <s v="Caitlin Baker"/>
    <x v="5"/>
    <x v="19"/>
    <x v="0"/>
    <n v="2889.5349999999999"/>
    <n v="0.51"/>
    <x v="36"/>
    <x v="4"/>
    <x v="4"/>
    <x v="0"/>
    <n v="5663.4885999999997"/>
    <n v="2293.04"/>
  </r>
  <r>
    <n v="3316"/>
    <s v="Cassandra Gill"/>
    <x v="0"/>
    <x v="0"/>
    <x v="0"/>
    <n v="2366.6149999999998"/>
    <n v="0.51"/>
    <x v="81"/>
    <x v="304"/>
    <x v="2"/>
    <x v="0"/>
    <n v="4638.5653999999995"/>
    <n v="1628.03"/>
  </r>
  <r>
    <n v="3317"/>
    <s v="Joy Hester"/>
    <x v="1"/>
    <x v="22"/>
    <x v="6"/>
    <n v="2140.2199999999998"/>
    <n v="0.51"/>
    <x v="1323"/>
    <x v="157"/>
    <x v="1"/>
    <x v="1"/>
    <n v="3670.4772999999996"/>
    <n v="-415.92"/>
  </r>
  <r>
    <n v="3318"/>
    <s v="James Cooper"/>
    <x v="3"/>
    <x v="21"/>
    <x v="0"/>
    <n v="2912.6"/>
    <n v="0.51"/>
    <x v="1324"/>
    <x v="291"/>
    <x v="0"/>
    <x v="1"/>
    <n v="5708.6959999999999"/>
    <n v="1847.45"/>
  </r>
  <r>
    <n v="3319"/>
    <s v="Christopher Bell"/>
    <x v="2"/>
    <x v="2"/>
    <x v="0"/>
    <n v="2933.45"/>
    <n v="0.51"/>
    <x v="13"/>
    <x v="183"/>
    <x v="1"/>
    <x v="1"/>
    <n v="5749.5619999999999"/>
    <n v="1419.51"/>
  </r>
  <r>
    <n v="3320"/>
    <s v="Erin Rodriguez"/>
    <x v="2"/>
    <x v="13"/>
    <x v="0"/>
    <n v="2538.0450000000001"/>
    <n v="0.51"/>
    <x v="21"/>
    <x v="550"/>
    <x v="5"/>
    <x v="1"/>
    <n v="4974.5681999999997"/>
    <n v="-251.71"/>
  </r>
  <r>
    <n v="3321"/>
    <s v="Hector Morris"/>
    <x v="1"/>
    <x v="15"/>
    <x v="4"/>
    <n v="1804.56"/>
    <n v="0.51"/>
    <x v="1325"/>
    <x v="551"/>
    <x v="4"/>
    <x v="1"/>
    <n v="4421.1719999999996"/>
    <n v="2534.37"/>
  </r>
  <r>
    <n v="3322"/>
    <s v="Regina Wilson"/>
    <x v="4"/>
    <x v="8"/>
    <x v="3"/>
    <n v="4480.24"/>
    <n v="0.51"/>
    <x v="1326"/>
    <x v="444"/>
    <x v="0"/>
    <x v="0"/>
    <n v="6585.9527999999991"/>
    <n v="397.15"/>
  </r>
  <r>
    <n v="3323"/>
    <s v="Felicia Young"/>
    <x v="2"/>
    <x v="17"/>
    <x v="3"/>
    <n v="4009.45"/>
    <n v="0.51"/>
    <x v="1327"/>
    <x v="4"/>
    <x v="4"/>
    <x v="1"/>
    <n v="5893.8914999999988"/>
    <n v="-495.81"/>
  </r>
  <r>
    <n v="3324"/>
    <s v="Rachel Martin"/>
    <x v="5"/>
    <x v="6"/>
    <x v="0"/>
    <n v="2975.64"/>
    <n v="0.51"/>
    <x v="61"/>
    <x v="4"/>
    <x v="1"/>
    <x v="0"/>
    <n v="5832.2543999999998"/>
    <n v="-214.24"/>
  </r>
  <r>
    <n v="3325"/>
    <s v="John Brown MD"/>
    <x v="5"/>
    <x v="11"/>
    <x v="5"/>
    <n v="2731.6350000000002"/>
    <n v="0.61"/>
    <x v="169"/>
    <x v="101"/>
    <x v="3"/>
    <x v="1"/>
    <n v="6392.0259000000005"/>
    <n v="686.84"/>
  </r>
  <r>
    <n v="3326"/>
    <s v="Shawn Campbell"/>
    <x v="2"/>
    <x v="17"/>
    <x v="3"/>
    <n v="3047.68"/>
    <n v="0.51"/>
    <x v="1328"/>
    <x v="9"/>
    <x v="3"/>
    <x v="0"/>
    <n v="4480.0895999999993"/>
    <n v="827.95"/>
  </r>
  <r>
    <n v="3327"/>
    <s v="Andrew Berger"/>
    <x v="0"/>
    <x v="9"/>
    <x v="0"/>
    <n v="2891.64"/>
    <n v="0.96"/>
    <x v="12"/>
    <x v="4"/>
    <x v="3"/>
    <x v="1"/>
    <n v="462.66240000000039"/>
    <n v="-361.79"/>
  </r>
  <r>
    <n v="3328"/>
    <s v="Scott Hernandez"/>
    <x v="0"/>
    <x v="5"/>
    <x v="1"/>
    <n v="4390.32"/>
    <n v="0.51"/>
    <x v="1329"/>
    <x v="434"/>
    <x v="3"/>
    <x v="1"/>
    <n v="2151.2567999999997"/>
    <n v="537.81419999999991"/>
  </r>
  <r>
    <n v="3329"/>
    <s v="Zachary Price"/>
    <x v="1"/>
    <x v="1"/>
    <x v="0"/>
    <n v="2579.8000000000002"/>
    <n v="0.51"/>
    <x v="22"/>
    <x v="46"/>
    <x v="0"/>
    <x v="0"/>
    <n v="5056.4080000000004"/>
    <n v="1954.02"/>
  </r>
  <r>
    <n v="3330"/>
    <s v="Adrian Cross"/>
    <x v="2"/>
    <x v="2"/>
    <x v="5"/>
    <n v="2217.9499999999998"/>
    <n v="0.51"/>
    <x v="1330"/>
    <x v="3"/>
    <x v="4"/>
    <x v="1"/>
    <n v="6520.7729999999992"/>
    <n v="146.52000000000001"/>
  </r>
  <r>
    <n v="1012"/>
    <s v="Katie Ryan"/>
    <x v="1"/>
    <x v="18"/>
    <x v="3"/>
    <n v="1364.73"/>
    <n v="0.71"/>
    <x v="1331"/>
    <x v="235"/>
    <x v="2"/>
    <x v="1"/>
    <n v="1187.3151000000003"/>
    <n v="-909.85"/>
  </r>
  <r>
    <n v="3332"/>
    <s v="Mark Peters"/>
    <x v="2"/>
    <x v="2"/>
    <x v="4"/>
    <n v="1297.04"/>
    <n v="0.3"/>
    <x v="1332"/>
    <x v="4"/>
    <x v="4"/>
    <x v="1"/>
    <n v="4539.6399999999994"/>
    <n v="2887.23"/>
  </r>
  <r>
    <n v="3333"/>
    <s v="Tanner Gates"/>
    <x v="1"/>
    <x v="22"/>
    <x v="6"/>
    <n v="2752.99"/>
    <n v="0.51"/>
    <x v="201"/>
    <x v="552"/>
    <x v="2"/>
    <x v="0"/>
    <n v="4721.3778499999999"/>
    <n v="617.99"/>
  </r>
  <r>
    <n v="3334"/>
    <s v="Steve Gonzalez"/>
    <x v="0"/>
    <x v="5"/>
    <x v="3"/>
    <n v="3008.6549999999997"/>
    <n v="0.51"/>
    <x v="44"/>
    <x v="323"/>
    <x v="4"/>
    <x v="1"/>
    <n v="4422.7228500000001"/>
    <n v="-933.34"/>
  </r>
  <r>
    <n v="3335"/>
    <s v="Hector Brewer"/>
    <x v="1"/>
    <x v="15"/>
    <x v="4"/>
    <n v="4289.91"/>
    <n v="0.51"/>
    <x v="1333"/>
    <x v="274"/>
    <x v="5"/>
    <x v="1"/>
    <n v="10510.279499999999"/>
    <n v="533.83000000000004"/>
  </r>
  <r>
    <n v="3336"/>
    <s v="Rebecca Burnett"/>
    <x v="1"/>
    <x v="18"/>
    <x v="2"/>
    <n v="2537.59"/>
    <n v="0.51"/>
    <x v="741"/>
    <x v="3"/>
    <x v="1"/>
    <x v="1"/>
    <n v="2486.8382000000001"/>
    <n v="1872.26"/>
  </r>
  <r>
    <n v="1018"/>
    <s v="Thomas Cole"/>
    <x v="5"/>
    <x v="11"/>
    <x v="1"/>
    <n v="2847.86"/>
    <n v="0.7"/>
    <x v="1334"/>
    <x v="553"/>
    <x v="0"/>
    <x v="0"/>
    <n v="854.35800000000017"/>
    <n v="213.58950000000004"/>
  </r>
  <r>
    <n v="3338"/>
    <s v="Wesley Walker"/>
    <x v="5"/>
    <x v="12"/>
    <x v="3"/>
    <n v="2765.26"/>
    <n v="0.06"/>
    <x v="19"/>
    <x v="17"/>
    <x v="5"/>
    <x v="0"/>
    <n v="7798.0331999999999"/>
    <n v="1067.6600000000001"/>
  </r>
  <r>
    <n v="3339"/>
    <s v="Corey Sanchez"/>
    <x v="3"/>
    <x v="21"/>
    <x v="0"/>
    <n v="2785.79"/>
    <n v="0.51"/>
    <x v="110"/>
    <x v="390"/>
    <x v="0"/>
    <x v="0"/>
    <n v="5460.1484"/>
    <n v="-735.83"/>
  </r>
  <r>
    <n v="3340"/>
    <s v="Christopher Stone"/>
    <x v="2"/>
    <x v="10"/>
    <x v="5"/>
    <n v="3924.28"/>
    <n v="0.15"/>
    <x v="1335"/>
    <x v="347"/>
    <x v="3"/>
    <x v="1"/>
    <n v="20013.828000000001"/>
    <n v="-831.93"/>
  </r>
  <r>
    <n v="3341"/>
    <s v="Ricky Hudson"/>
    <x v="3"/>
    <x v="21"/>
    <x v="2"/>
    <n v="2080.09"/>
    <n v="0.51"/>
    <x v="1336"/>
    <x v="4"/>
    <x v="4"/>
    <x v="1"/>
    <n v="2038.4882"/>
    <n v="1818.51"/>
  </r>
  <r>
    <n v="3342"/>
    <s v="April Anderson"/>
    <x v="2"/>
    <x v="2"/>
    <x v="2"/>
    <n v="2109.83"/>
    <n v="0.51"/>
    <x v="1337"/>
    <x v="4"/>
    <x v="5"/>
    <x v="1"/>
    <n v="2067.6333999999997"/>
    <n v="546.26"/>
  </r>
  <r>
    <n v="3343"/>
    <s v="Anthony Patrick"/>
    <x v="4"/>
    <x v="16"/>
    <x v="0"/>
    <n v="3677.95"/>
    <n v="0.42"/>
    <x v="1338"/>
    <x v="547"/>
    <x v="2"/>
    <x v="0"/>
    <n v="8532.844000000001"/>
    <n v="958.93"/>
  </r>
  <r>
    <n v="3344"/>
    <s v="Shelly Garcia"/>
    <x v="1"/>
    <x v="1"/>
    <x v="0"/>
    <n v="2579.8000000000002"/>
    <n v="0.51"/>
    <x v="22"/>
    <x v="366"/>
    <x v="1"/>
    <x v="1"/>
    <n v="5056.4080000000004"/>
    <n v="1933.51"/>
  </r>
  <r>
    <n v="3345"/>
    <s v="Barbara Moore"/>
    <x v="5"/>
    <x v="12"/>
    <x v="3"/>
    <n v="2765.26"/>
    <n v="0.51"/>
    <x v="19"/>
    <x v="216"/>
    <x v="3"/>
    <x v="1"/>
    <n v="4064.9322000000002"/>
    <n v="461.25"/>
  </r>
  <r>
    <n v="3346"/>
    <s v="Calvin Wright"/>
    <x v="2"/>
    <x v="10"/>
    <x v="2"/>
    <n v="1266.23"/>
    <n v="0.81"/>
    <x v="1339"/>
    <x v="173"/>
    <x v="1"/>
    <x v="1"/>
    <n v="481.16739999999987"/>
    <n v="416.5"/>
  </r>
  <r>
    <n v="3347"/>
    <s v="Alicia White"/>
    <x v="1"/>
    <x v="18"/>
    <x v="3"/>
    <n v="3873.27"/>
    <n v="0.51"/>
    <x v="1340"/>
    <x v="66"/>
    <x v="2"/>
    <x v="1"/>
    <n v="5693.7068999999992"/>
    <n v="212.7"/>
  </r>
  <r>
    <n v="3348"/>
    <s v="Patrick Mendez"/>
    <x v="1"/>
    <x v="22"/>
    <x v="6"/>
    <n v="2752.99"/>
    <n v="0.98"/>
    <x v="201"/>
    <x v="158"/>
    <x v="4"/>
    <x v="1"/>
    <n v="192.70930000000018"/>
    <n v="48.177325000000046"/>
  </r>
  <r>
    <n v="3349"/>
    <s v="Cindy Webb"/>
    <x v="1"/>
    <x v="15"/>
    <x v="3"/>
    <n v="1866.28"/>
    <n v="0.51"/>
    <x v="1341"/>
    <x v="320"/>
    <x v="5"/>
    <x v="1"/>
    <n v="2743.4315999999999"/>
    <n v="1605.37"/>
  </r>
  <r>
    <n v="3350"/>
    <s v="Nicholas Callahan"/>
    <x v="2"/>
    <x v="13"/>
    <x v="0"/>
    <n v="2538.0450000000001"/>
    <n v="0.51"/>
    <x v="21"/>
    <x v="330"/>
    <x v="2"/>
    <x v="0"/>
    <n v="4974.5681999999997"/>
    <n v="14.57"/>
  </r>
  <r>
    <n v="3351"/>
    <s v="Olivia Knox"/>
    <x v="0"/>
    <x v="5"/>
    <x v="3"/>
    <n v="3008.6549999999997"/>
    <n v="0.56999999999999995"/>
    <x v="44"/>
    <x v="212"/>
    <x v="5"/>
    <x v="0"/>
    <n v="3881.1649500000003"/>
    <n v="211.03"/>
  </r>
  <r>
    <n v="3352"/>
    <s v="Jonathan Blake"/>
    <x v="3"/>
    <x v="3"/>
    <x v="3"/>
    <n v="2559.35"/>
    <n v="0.51"/>
    <x v="1342"/>
    <x v="309"/>
    <x v="1"/>
    <x v="1"/>
    <n v="3762.2444999999998"/>
    <n v="1386.39"/>
  </r>
  <r>
    <n v="3353"/>
    <s v="David Wilson"/>
    <x v="1"/>
    <x v="22"/>
    <x v="6"/>
    <n v="2752.99"/>
    <n v="0.51"/>
    <x v="201"/>
    <x v="198"/>
    <x v="2"/>
    <x v="1"/>
    <n v="4721.3778499999999"/>
    <n v="-766.44"/>
  </r>
  <r>
    <n v="3354"/>
    <s v="Stephen Jensen"/>
    <x v="1"/>
    <x v="22"/>
    <x v="6"/>
    <n v="2752.99"/>
    <n v="0.74"/>
    <x v="201"/>
    <x v="120"/>
    <x v="2"/>
    <x v="1"/>
    <n v="2505.2209000000003"/>
    <n v="626.30522500000006"/>
  </r>
  <r>
    <n v="3355"/>
    <s v="Diane Powers"/>
    <x v="3"/>
    <x v="3"/>
    <x v="3"/>
    <n v="3111.18"/>
    <n v="0.03"/>
    <x v="1343"/>
    <x v="4"/>
    <x v="1"/>
    <x v="1"/>
    <n v="9053.5337999999992"/>
    <n v="1851.74"/>
  </r>
  <r>
    <n v="3356"/>
    <s v="Jill Singh"/>
    <x v="2"/>
    <x v="13"/>
    <x v="1"/>
    <n v="966.41"/>
    <n v="0.51"/>
    <x v="1344"/>
    <x v="175"/>
    <x v="3"/>
    <x v="0"/>
    <n v="473.54089999999997"/>
    <n v="118.38522499999999"/>
  </r>
  <r>
    <n v="3357"/>
    <s v="Rebecca Mullins"/>
    <x v="5"/>
    <x v="11"/>
    <x v="3"/>
    <n v="4909.58"/>
    <n v="0.51"/>
    <x v="1345"/>
    <x v="404"/>
    <x v="5"/>
    <x v="1"/>
    <n v="7217.0825999999997"/>
    <n v="-500.19"/>
  </r>
  <r>
    <n v="3358"/>
    <s v="Sarah Cruz"/>
    <x v="5"/>
    <x v="12"/>
    <x v="3"/>
    <n v="2765.26"/>
    <n v="0.51"/>
    <x v="19"/>
    <x v="445"/>
    <x v="0"/>
    <x v="0"/>
    <n v="4064.9322000000002"/>
    <n v="1541.97"/>
  </r>
  <r>
    <n v="3359"/>
    <s v="Suzanne Medina"/>
    <x v="5"/>
    <x v="11"/>
    <x v="3"/>
    <n v="1380.44"/>
    <n v="0.51"/>
    <x v="1346"/>
    <x v="4"/>
    <x v="2"/>
    <x v="1"/>
    <n v="2029.2467999999999"/>
    <n v="-329.81"/>
  </r>
  <r>
    <n v="3360"/>
    <s v="Sean Pruitt"/>
    <x v="0"/>
    <x v="0"/>
    <x v="4"/>
    <n v="2366.6149999999998"/>
    <n v="0.51"/>
    <x v="1347"/>
    <x v="459"/>
    <x v="4"/>
    <x v="1"/>
    <n v="5798.2067499999994"/>
    <n v="2229.54"/>
  </r>
  <r>
    <n v="3361"/>
    <s v="Mark Frazier"/>
    <x v="3"/>
    <x v="23"/>
    <x v="2"/>
    <n v="2338.04"/>
    <n v="0.51"/>
    <x v="688"/>
    <x v="4"/>
    <x v="3"/>
    <x v="1"/>
    <n v="2291.2791999999999"/>
    <n v="1648.42"/>
  </r>
  <r>
    <n v="3362"/>
    <s v="Linda Simpson"/>
    <x v="3"/>
    <x v="3"/>
    <x v="2"/>
    <n v="2515.415"/>
    <n v="0.51"/>
    <x v="1140"/>
    <x v="343"/>
    <x v="4"/>
    <x v="1"/>
    <n v="2465.1066999999998"/>
    <n v="1445.86"/>
  </r>
  <r>
    <n v="3363"/>
    <s v="Amanda Mckenzie"/>
    <x v="1"/>
    <x v="1"/>
    <x v="0"/>
    <n v="3754.24"/>
    <n v="0.51"/>
    <x v="1348"/>
    <x v="4"/>
    <x v="0"/>
    <x v="1"/>
    <n v="7358.3103999999994"/>
    <n v="461.46"/>
  </r>
  <r>
    <n v="3364"/>
    <s v="Eric Perry MD"/>
    <x v="1"/>
    <x v="22"/>
    <x v="6"/>
    <n v="2752.99"/>
    <n v="0.51"/>
    <x v="201"/>
    <x v="34"/>
    <x v="1"/>
    <x v="1"/>
    <n v="4721.3778499999999"/>
    <n v="-552.42999999999995"/>
  </r>
  <r>
    <n v="3365"/>
    <s v="Dwayne Hampton"/>
    <x v="2"/>
    <x v="2"/>
    <x v="0"/>
    <n v="2414.9299999999998"/>
    <n v="0.51"/>
    <x v="1349"/>
    <x v="200"/>
    <x v="3"/>
    <x v="1"/>
    <n v="4733.2627999999995"/>
    <n v="2493.6"/>
  </r>
  <r>
    <n v="3366"/>
    <s v="Mary Smith"/>
    <x v="1"/>
    <x v="22"/>
    <x v="4"/>
    <n v="636.53"/>
    <n v="0.51"/>
    <x v="1350"/>
    <x v="71"/>
    <x v="2"/>
    <x v="1"/>
    <n v="1559.4984999999997"/>
    <n v="-513.44000000000005"/>
  </r>
  <r>
    <n v="3367"/>
    <s v="Monica Young"/>
    <x v="3"/>
    <x v="21"/>
    <x v="0"/>
    <n v="4206.91"/>
    <n v="0.51"/>
    <x v="1351"/>
    <x v="554"/>
    <x v="3"/>
    <x v="0"/>
    <n v="8245.5435999999991"/>
    <n v="818.99"/>
  </r>
  <r>
    <n v="3368"/>
    <s v="Allison Franklin"/>
    <x v="3"/>
    <x v="7"/>
    <x v="0"/>
    <n v="2577.6350000000002"/>
    <n v="0.51"/>
    <x v="1352"/>
    <x v="4"/>
    <x v="1"/>
    <x v="1"/>
    <n v="5052.1646000000001"/>
    <n v="-862.24"/>
  </r>
  <r>
    <n v="3369"/>
    <s v="Luis Gardner"/>
    <x v="0"/>
    <x v="5"/>
    <x v="3"/>
    <n v="3008.6549999999997"/>
    <n v="0.51"/>
    <x v="44"/>
    <x v="207"/>
    <x v="3"/>
    <x v="1"/>
    <n v="4422.7228500000001"/>
    <n v="245.55"/>
  </r>
  <r>
    <n v="3370"/>
    <s v="Christina Odonnell"/>
    <x v="1"/>
    <x v="18"/>
    <x v="3"/>
    <n v="2537.59"/>
    <n v="0.51"/>
    <x v="35"/>
    <x v="543"/>
    <x v="3"/>
    <x v="1"/>
    <n v="3730.2573000000002"/>
    <n v="1069.18"/>
  </r>
  <r>
    <n v="3371"/>
    <s v="Raymond Vincent"/>
    <x v="0"/>
    <x v="9"/>
    <x v="4"/>
    <n v="2891.64"/>
    <n v="0.51"/>
    <x v="41"/>
    <x v="129"/>
    <x v="0"/>
    <x v="1"/>
    <n v="7084.5179999999991"/>
    <n v="-276.12"/>
  </r>
  <r>
    <n v="3372"/>
    <s v="Crystal Martin"/>
    <x v="0"/>
    <x v="0"/>
    <x v="0"/>
    <n v="2291.31"/>
    <n v="0.51"/>
    <x v="1353"/>
    <x v="180"/>
    <x v="4"/>
    <x v="1"/>
    <n v="4490.9675999999999"/>
    <n v="-169.68"/>
  </r>
  <r>
    <n v="3373"/>
    <s v="Emily Kennedy"/>
    <x v="2"/>
    <x v="13"/>
    <x v="0"/>
    <n v="3507.48"/>
    <n v="0.51"/>
    <x v="1354"/>
    <x v="72"/>
    <x v="2"/>
    <x v="1"/>
    <n v="6874.6607999999997"/>
    <n v="2821.27"/>
  </r>
  <r>
    <n v="3374"/>
    <s v="Michelle Scott"/>
    <x v="5"/>
    <x v="12"/>
    <x v="3"/>
    <n v="2489.23"/>
    <n v="0.51"/>
    <x v="1355"/>
    <x v="106"/>
    <x v="4"/>
    <x v="0"/>
    <n v="3659.1681000000003"/>
    <n v="2977.05"/>
  </r>
  <r>
    <n v="3375"/>
    <s v="Jeffery Howard"/>
    <x v="1"/>
    <x v="18"/>
    <x v="3"/>
    <n v="442.08"/>
    <n v="0.51"/>
    <x v="1356"/>
    <x v="47"/>
    <x v="4"/>
    <x v="1"/>
    <n v="649.85760000000005"/>
    <n v="162.46440000000001"/>
  </r>
  <r>
    <n v="3376"/>
    <s v="Michelle Chapman"/>
    <x v="0"/>
    <x v="20"/>
    <x v="4"/>
    <n v="2750.33"/>
    <n v="0.51"/>
    <x v="52"/>
    <x v="248"/>
    <x v="0"/>
    <x v="1"/>
    <n v="6738.3085000000001"/>
    <n v="1936.25"/>
  </r>
  <r>
    <n v="3377"/>
    <s v="Derek Holder"/>
    <x v="5"/>
    <x v="12"/>
    <x v="3"/>
    <n v="1064.3699999999999"/>
    <n v="0.51"/>
    <x v="1357"/>
    <x v="204"/>
    <x v="0"/>
    <x v="1"/>
    <n v="1564.6238999999998"/>
    <n v="-671.09"/>
  </r>
  <r>
    <n v="3378"/>
    <s v="Kathleen Collins"/>
    <x v="1"/>
    <x v="22"/>
    <x v="6"/>
    <n v="3675"/>
    <n v="0.51"/>
    <x v="1358"/>
    <x v="4"/>
    <x v="5"/>
    <x v="0"/>
    <n v="6302.625"/>
    <n v="2641.65"/>
  </r>
  <r>
    <n v="3379"/>
    <s v="Alyssa Figueroa"/>
    <x v="3"/>
    <x v="23"/>
    <x v="6"/>
    <n v="2338.04"/>
    <n v="0.51"/>
    <x v="171"/>
    <x v="238"/>
    <x v="5"/>
    <x v="0"/>
    <n v="4009.7385999999997"/>
    <n v="-861.83"/>
  </r>
  <r>
    <n v="3380"/>
    <s v="Crystal Beasley"/>
    <x v="5"/>
    <x v="19"/>
    <x v="2"/>
    <n v="4166.34"/>
    <n v="0.51"/>
    <x v="1359"/>
    <x v="550"/>
    <x v="4"/>
    <x v="1"/>
    <n v="4083.0131999999999"/>
    <n v="317.31"/>
  </r>
  <r>
    <n v="3381"/>
    <s v="Shelly Wilson"/>
    <x v="2"/>
    <x v="13"/>
    <x v="0"/>
    <n v="2538.0450000000001"/>
    <n v="0.1"/>
    <x v="21"/>
    <x v="133"/>
    <x v="1"/>
    <x v="1"/>
    <n v="9136.9620000000014"/>
    <n v="2205.09"/>
  </r>
  <r>
    <n v="3382"/>
    <s v="Marie Hansen"/>
    <x v="2"/>
    <x v="17"/>
    <x v="1"/>
    <n v="2385.5749999999998"/>
    <n v="0.51"/>
    <x v="1138"/>
    <x v="181"/>
    <x v="4"/>
    <x v="1"/>
    <n v="1168.93175"/>
    <n v="292.23293749999999"/>
  </r>
  <r>
    <n v="3383"/>
    <s v="Samantha Ruiz"/>
    <x v="0"/>
    <x v="5"/>
    <x v="3"/>
    <n v="3008.6549999999997"/>
    <n v="0.64"/>
    <x v="44"/>
    <x v="358"/>
    <x v="1"/>
    <x v="1"/>
    <n v="3249.3474000000001"/>
    <n v="1101.95"/>
  </r>
  <r>
    <n v="3384"/>
    <s v="Justin Melton"/>
    <x v="5"/>
    <x v="12"/>
    <x v="1"/>
    <n v="2282.7600000000002"/>
    <n v="0.57999999999999996"/>
    <x v="1360"/>
    <x v="555"/>
    <x v="3"/>
    <x v="1"/>
    <n v="958.75920000000019"/>
    <n v="239.68980000000005"/>
  </r>
  <r>
    <n v="3385"/>
    <s v="Thomas Camacho"/>
    <x v="5"/>
    <x v="19"/>
    <x v="0"/>
    <n v="2394.84"/>
    <n v="0.51"/>
    <x v="1361"/>
    <x v="506"/>
    <x v="1"/>
    <x v="1"/>
    <n v="4693.8864000000003"/>
    <n v="1007.9"/>
  </r>
  <r>
    <n v="3386"/>
    <s v="Kristin Gould"/>
    <x v="4"/>
    <x v="14"/>
    <x v="1"/>
    <n v="2765.79"/>
    <n v="0.51"/>
    <x v="247"/>
    <x v="366"/>
    <x v="2"/>
    <x v="0"/>
    <n v="1355.2371000000001"/>
    <n v="21.39"/>
  </r>
  <r>
    <n v="3387"/>
    <s v="Wayne Johnson"/>
    <x v="0"/>
    <x v="20"/>
    <x v="4"/>
    <n v="2750.33"/>
    <n v="0.51"/>
    <x v="52"/>
    <x v="389"/>
    <x v="3"/>
    <x v="1"/>
    <n v="6738.3085000000001"/>
    <n v="-48.14"/>
  </r>
  <r>
    <n v="1011"/>
    <s v="Leslie Chandler"/>
    <x v="5"/>
    <x v="6"/>
    <x v="0"/>
    <n v="2842.91"/>
    <n v="0.51"/>
    <x v="1362"/>
    <x v="227"/>
    <x v="2"/>
    <x v="0"/>
    <n v="5572.1035999999995"/>
    <n v="-835.65"/>
  </r>
  <r>
    <n v="3389"/>
    <s v="Alyssa Perry"/>
    <x v="3"/>
    <x v="21"/>
    <x v="0"/>
    <n v="2785.79"/>
    <n v="0.85"/>
    <x v="110"/>
    <x v="4"/>
    <x v="1"/>
    <x v="1"/>
    <n v="1671.4740000000002"/>
    <n v="146.53"/>
  </r>
  <r>
    <n v="3390"/>
    <s v="Mr. Tyrone Kaiser"/>
    <x v="2"/>
    <x v="17"/>
    <x v="1"/>
    <n v="1280.52"/>
    <n v="0.94"/>
    <x v="1363"/>
    <x v="4"/>
    <x v="3"/>
    <x v="1"/>
    <n v="76.831200000000067"/>
    <n v="19.207800000000017"/>
  </r>
  <r>
    <n v="3391"/>
    <s v="Vickie Cooper"/>
    <x v="1"/>
    <x v="15"/>
    <x v="3"/>
    <n v="1730.64"/>
    <n v="0.7"/>
    <x v="1364"/>
    <x v="4"/>
    <x v="0"/>
    <x v="1"/>
    <n v="1557.5760000000002"/>
    <n v="719.69"/>
  </r>
  <r>
    <n v="3392"/>
    <s v="Mark Vang"/>
    <x v="1"/>
    <x v="1"/>
    <x v="0"/>
    <n v="2579.8000000000002"/>
    <n v="0.38"/>
    <x v="22"/>
    <x v="308"/>
    <x v="4"/>
    <x v="1"/>
    <n v="6397.9040000000005"/>
    <n v="1036.57"/>
  </r>
  <r>
    <n v="3393"/>
    <s v="Nancy Owens"/>
    <x v="3"/>
    <x v="7"/>
    <x v="4"/>
    <n v="2577.6350000000002"/>
    <n v="7.0000000000000007E-2"/>
    <x v="117"/>
    <x v="4"/>
    <x v="2"/>
    <x v="0"/>
    <n v="11986.00275"/>
    <n v="560.09"/>
  </r>
  <r>
    <n v="3394"/>
    <s v="Anthony Thompson"/>
    <x v="0"/>
    <x v="5"/>
    <x v="3"/>
    <n v="1509.34"/>
    <n v="0.51"/>
    <x v="1365"/>
    <x v="151"/>
    <x v="2"/>
    <x v="1"/>
    <n v="2218.7297999999996"/>
    <n v="1037.8499999999999"/>
  </r>
  <r>
    <n v="3395"/>
    <s v="Robert Odom"/>
    <x v="2"/>
    <x v="13"/>
    <x v="0"/>
    <n v="2538.0450000000001"/>
    <n v="0.51"/>
    <x v="21"/>
    <x v="340"/>
    <x v="5"/>
    <x v="1"/>
    <n v="4974.5681999999997"/>
    <n v="-23.94"/>
  </r>
  <r>
    <n v="3396"/>
    <s v="Connor Meza"/>
    <x v="1"/>
    <x v="22"/>
    <x v="2"/>
    <n v="3760.09"/>
    <n v="0.51"/>
    <x v="1366"/>
    <x v="191"/>
    <x v="4"/>
    <x v="1"/>
    <n v="3684.8881999999999"/>
    <n v="-871.94"/>
  </r>
  <r>
    <n v="3397"/>
    <s v="Allison Hammond"/>
    <x v="0"/>
    <x v="9"/>
    <x v="0"/>
    <n v="2891.64"/>
    <n v="0.51"/>
    <x v="12"/>
    <x v="4"/>
    <x v="1"/>
    <x v="0"/>
    <n v="5667.6143999999995"/>
    <n v="477.59"/>
  </r>
  <r>
    <n v="3398"/>
    <s v="Kimberly Garcia"/>
    <x v="5"/>
    <x v="11"/>
    <x v="3"/>
    <n v="2784.25"/>
    <n v="0.51"/>
    <x v="1367"/>
    <x v="4"/>
    <x v="4"/>
    <x v="1"/>
    <n v="4092.8474999999999"/>
    <n v="-348.84"/>
  </r>
  <r>
    <n v="3399"/>
    <s v="Mary Johnson"/>
    <x v="0"/>
    <x v="20"/>
    <x v="4"/>
    <n v="3111.73"/>
    <n v="0.51"/>
    <x v="1368"/>
    <x v="244"/>
    <x v="3"/>
    <x v="0"/>
    <n v="7623.7384999999995"/>
    <n v="800.89"/>
  </r>
  <r>
    <n v="3400"/>
    <s v="Timothy Grant"/>
    <x v="1"/>
    <x v="1"/>
    <x v="0"/>
    <n v="1249.6400000000001"/>
    <n v="0.51"/>
    <x v="1369"/>
    <x v="301"/>
    <x v="5"/>
    <x v="0"/>
    <n v="2449.2944000000002"/>
    <n v="-646.04"/>
  </r>
  <r>
    <n v="3401"/>
    <s v="Michael Lynch"/>
    <x v="1"/>
    <x v="1"/>
    <x v="0"/>
    <n v="1960.15"/>
    <n v="0.51"/>
    <x v="1370"/>
    <x v="94"/>
    <x v="4"/>
    <x v="1"/>
    <n v="3841.8940000000002"/>
    <n v="1816.17"/>
  </r>
  <r>
    <n v="3402"/>
    <s v="Willie Sherman"/>
    <x v="5"/>
    <x v="11"/>
    <x v="3"/>
    <n v="2731.6350000000002"/>
    <n v="0.02"/>
    <x v="60"/>
    <x v="81"/>
    <x v="2"/>
    <x v="0"/>
    <n v="8031.0069000000003"/>
    <n v="619.20000000000005"/>
  </r>
  <r>
    <n v="3403"/>
    <s v="Sandra Kemp"/>
    <x v="4"/>
    <x v="16"/>
    <x v="0"/>
    <n v="2609.06"/>
    <n v="0.65"/>
    <x v="1371"/>
    <x v="385"/>
    <x v="4"/>
    <x v="0"/>
    <n v="3652.6839999999997"/>
    <n v="2036.75"/>
  </r>
  <r>
    <n v="3404"/>
    <s v="Gregory Ponce"/>
    <x v="3"/>
    <x v="23"/>
    <x v="4"/>
    <n v="2338.04"/>
    <n v="0.81"/>
    <x v="1268"/>
    <x v="79"/>
    <x v="5"/>
    <x v="1"/>
    <n v="2221.1379999999995"/>
    <n v="1283.58"/>
  </r>
  <r>
    <n v="3405"/>
    <s v="Bridget Galvan"/>
    <x v="4"/>
    <x v="16"/>
    <x v="0"/>
    <n v="2310.4699999999998"/>
    <n v="0.51"/>
    <x v="1372"/>
    <x v="4"/>
    <x v="2"/>
    <x v="0"/>
    <n v="4528.5211999999992"/>
    <n v="393.88"/>
  </r>
  <r>
    <n v="3406"/>
    <s v="Andrea Schneider"/>
    <x v="5"/>
    <x v="11"/>
    <x v="3"/>
    <n v="2731.6350000000002"/>
    <n v="0.51"/>
    <x v="60"/>
    <x v="6"/>
    <x v="2"/>
    <x v="1"/>
    <n v="4015.5034500000002"/>
    <n v="-513.37"/>
  </r>
  <r>
    <n v="3407"/>
    <s v="Stephen Burton"/>
    <x v="0"/>
    <x v="20"/>
    <x v="1"/>
    <n v="2750.33"/>
    <n v="0.67"/>
    <x v="252"/>
    <x v="526"/>
    <x v="1"/>
    <x v="0"/>
    <n v="907.60889999999984"/>
    <n v="-540.69000000000005"/>
  </r>
  <r>
    <n v="3408"/>
    <s v="Tara Villegas"/>
    <x v="3"/>
    <x v="21"/>
    <x v="0"/>
    <n v="4003.66"/>
    <n v="0.51"/>
    <x v="1373"/>
    <x v="94"/>
    <x v="4"/>
    <x v="1"/>
    <n v="7847.1735999999992"/>
    <n v="1340.94"/>
  </r>
  <r>
    <n v="3409"/>
    <s v="David Murphy"/>
    <x v="1"/>
    <x v="18"/>
    <x v="3"/>
    <n v="2123.17"/>
    <n v="0.51"/>
    <x v="1374"/>
    <x v="4"/>
    <x v="0"/>
    <x v="1"/>
    <n v="3121.0599000000002"/>
    <n v="-717.75"/>
  </r>
  <r>
    <n v="3410"/>
    <s v="Franklin Harrell"/>
    <x v="5"/>
    <x v="12"/>
    <x v="3"/>
    <n v="4732.42"/>
    <n v="0.51"/>
    <x v="1375"/>
    <x v="102"/>
    <x v="1"/>
    <x v="1"/>
    <n v="6956.6574000000001"/>
    <n v="916.47"/>
  </r>
  <r>
    <n v="3411"/>
    <s v="Robert Jones"/>
    <x v="2"/>
    <x v="17"/>
    <x v="3"/>
    <n v="2385.5749999999998"/>
    <n v="0.57999999999999996"/>
    <x v="91"/>
    <x v="173"/>
    <x v="4"/>
    <x v="1"/>
    <n v="3005.8245000000002"/>
    <n v="1693.4"/>
  </r>
  <r>
    <n v="3412"/>
    <s v="Kevin Peters"/>
    <x v="0"/>
    <x v="20"/>
    <x v="4"/>
    <n v="2750.33"/>
    <n v="0.51"/>
    <x v="52"/>
    <x v="158"/>
    <x v="1"/>
    <x v="1"/>
    <n v="6738.3085000000001"/>
    <n v="2625.33"/>
  </r>
  <r>
    <n v="3413"/>
    <s v="Cynthia Andrews"/>
    <x v="5"/>
    <x v="11"/>
    <x v="3"/>
    <n v="2731.6350000000002"/>
    <n v="0.51"/>
    <x v="60"/>
    <x v="4"/>
    <x v="3"/>
    <x v="0"/>
    <n v="4015.5034500000002"/>
    <n v="2402.84"/>
  </r>
  <r>
    <n v="3414"/>
    <s v="Allison Bennett"/>
    <x v="2"/>
    <x v="17"/>
    <x v="1"/>
    <n v="2385.5749999999998"/>
    <n v="0.51"/>
    <x v="1138"/>
    <x v="213"/>
    <x v="1"/>
    <x v="1"/>
    <n v="1168.93175"/>
    <n v="292.23293749999999"/>
  </r>
  <r>
    <n v="3415"/>
    <s v="Tracey Fischer"/>
    <x v="4"/>
    <x v="8"/>
    <x v="0"/>
    <n v="3185.58"/>
    <n v="0.51"/>
    <x v="1376"/>
    <x v="556"/>
    <x v="0"/>
    <x v="1"/>
    <n v="6243.7367999999997"/>
    <n v="-767.38"/>
  </r>
  <r>
    <n v="3416"/>
    <s v="Michelle Jones"/>
    <x v="1"/>
    <x v="1"/>
    <x v="0"/>
    <n v="2579.8000000000002"/>
    <n v="0.51"/>
    <x v="22"/>
    <x v="297"/>
    <x v="3"/>
    <x v="1"/>
    <n v="5056.4080000000004"/>
    <n v="2344.15"/>
  </r>
  <r>
    <n v="3417"/>
    <s v="Kevin Kim"/>
    <x v="0"/>
    <x v="9"/>
    <x v="0"/>
    <n v="2891.64"/>
    <n v="0.51"/>
    <x v="12"/>
    <x v="349"/>
    <x v="0"/>
    <x v="0"/>
    <n v="5667.6143999999995"/>
    <n v="-938.64"/>
  </r>
  <r>
    <n v="3418"/>
    <s v="Lisa Delacruz"/>
    <x v="0"/>
    <x v="0"/>
    <x v="5"/>
    <n v="2366.6149999999998"/>
    <n v="0.56000000000000005"/>
    <x v="1377"/>
    <x v="4"/>
    <x v="1"/>
    <x v="1"/>
    <n v="6247.8635999999988"/>
    <n v="-796.3"/>
  </r>
  <r>
    <n v="3419"/>
    <s v="Amy Martin"/>
    <x v="4"/>
    <x v="4"/>
    <x v="0"/>
    <n v="2001.5500000000002"/>
    <n v="0.51"/>
    <x v="5"/>
    <x v="4"/>
    <x v="1"/>
    <x v="1"/>
    <n v="3923.0380000000005"/>
    <n v="804.16"/>
  </r>
  <r>
    <n v="1002"/>
    <s v="Aaron Adams"/>
    <x v="1"/>
    <x v="22"/>
    <x v="3"/>
    <n v="2752.99"/>
    <n v="0.51"/>
    <x v="213"/>
    <x v="1"/>
    <x v="2"/>
    <x v="0"/>
    <n v="4046.8952999999997"/>
    <n v="2315.23"/>
  </r>
  <r>
    <n v="3421"/>
    <s v="David Brown"/>
    <x v="2"/>
    <x v="2"/>
    <x v="0"/>
    <n v="2933.45"/>
    <n v="0.51"/>
    <x v="13"/>
    <x v="57"/>
    <x v="3"/>
    <x v="0"/>
    <n v="5749.5619999999999"/>
    <n v="2339.14"/>
  </r>
  <r>
    <n v="3422"/>
    <s v="Megan Ellis"/>
    <x v="3"/>
    <x v="23"/>
    <x v="5"/>
    <n v="2338.04"/>
    <n v="0.51"/>
    <x v="268"/>
    <x v="297"/>
    <x v="5"/>
    <x v="1"/>
    <n v="6873.8375999999998"/>
    <n v="20.64"/>
  </r>
  <r>
    <n v="3423"/>
    <s v="Lisa Shaw"/>
    <x v="2"/>
    <x v="17"/>
    <x v="3"/>
    <n v="2385.5749999999998"/>
    <n v="0.51"/>
    <x v="91"/>
    <x v="246"/>
    <x v="1"/>
    <x v="0"/>
    <n v="3506.7952499999997"/>
    <n v="960.12"/>
  </r>
  <r>
    <n v="3424"/>
    <s v="Ryan Barker"/>
    <x v="3"/>
    <x v="21"/>
    <x v="4"/>
    <n v="4754.22"/>
    <n v="0.82"/>
    <x v="1378"/>
    <x v="480"/>
    <x v="4"/>
    <x v="1"/>
    <n v="4278.7980000000016"/>
    <n v="2415.19"/>
  </r>
  <r>
    <n v="3425"/>
    <s v="Logan Phillips"/>
    <x v="1"/>
    <x v="18"/>
    <x v="3"/>
    <n v="2942.33"/>
    <n v="0.16"/>
    <x v="1379"/>
    <x v="557"/>
    <x v="5"/>
    <x v="1"/>
    <n v="7414.6715999999997"/>
    <n v="977.57"/>
  </r>
  <r>
    <n v="3426"/>
    <s v="Michael Brown"/>
    <x v="1"/>
    <x v="18"/>
    <x v="3"/>
    <n v="3441.89"/>
    <n v="0.51"/>
    <x v="1380"/>
    <x v="170"/>
    <x v="1"/>
    <x v="1"/>
    <n v="5059.5783000000001"/>
    <n v="-872.49"/>
  </r>
  <r>
    <n v="3427"/>
    <s v="Mike Hayes"/>
    <x v="3"/>
    <x v="3"/>
    <x v="3"/>
    <n v="2515.415"/>
    <n v="0.51"/>
    <x v="11"/>
    <x v="118"/>
    <x v="0"/>
    <x v="1"/>
    <n v="3697.66005"/>
    <n v="-63"/>
  </r>
  <r>
    <n v="3428"/>
    <s v="Kyle Gomez"/>
    <x v="1"/>
    <x v="1"/>
    <x v="3"/>
    <n v="2579.8000000000002"/>
    <n v="0.51"/>
    <x v="257"/>
    <x v="299"/>
    <x v="2"/>
    <x v="1"/>
    <n v="3792.306"/>
    <n v="670.29"/>
  </r>
  <r>
    <n v="3429"/>
    <s v="Savannah Peters"/>
    <x v="5"/>
    <x v="12"/>
    <x v="3"/>
    <n v="2765.26"/>
    <n v="0.51"/>
    <x v="19"/>
    <x v="240"/>
    <x v="0"/>
    <x v="1"/>
    <n v="4064.9322000000002"/>
    <n v="859.23"/>
  </r>
  <r>
    <n v="3430"/>
    <s v="Terry Short MD"/>
    <x v="3"/>
    <x v="21"/>
    <x v="0"/>
    <n v="2244.0700000000002"/>
    <n v="0.51"/>
    <x v="1381"/>
    <x v="4"/>
    <x v="3"/>
    <x v="0"/>
    <n v="4398.3771999999999"/>
    <n v="195.31"/>
  </r>
  <r>
    <n v="3431"/>
    <s v="Valerie Smith"/>
    <x v="5"/>
    <x v="11"/>
    <x v="3"/>
    <n v="2731.6350000000002"/>
    <n v="0.25"/>
    <x v="60"/>
    <x v="373"/>
    <x v="0"/>
    <x v="0"/>
    <n v="6146.1787500000009"/>
    <n v="669.94"/>
  </r>
  <r>
    <n v="3432"/>
    <s v="James Clay"/>
    <x v="5"/>
    <x v="19"/>
    <x v="0"/>
    <n v="2889.5349999999999"/>
    <n v="0.51"/>
    <x v="36"/>
    <x v="81"/>
    <x v="3"/>
    <x v="1"/>
    <n v="5663.4885999999997"/>
    <n v="980.18"/>
  </r>
  <r>
    <n v="3433"/>
    <s v="Kathleen Nelson"/>
    <x v="4"/>
    <x v="4"/>
    <x v="0"/>
    <n v="4971.5600000000004"/>
    <n v="0.87"/>
    <x v="1382"/>
    <x v="216"/>
    <x v="3"/>
    <x v="1"/>
    <n v="2585.2112000000002"/>
    <n v="1202.3399999999999"/>
  </r>
  <r>
    <n v="3434"/>
    <s v="Sean Hensley"/>
    <x v="2"/>
    <x v="2"/>
    <x v="0"/>
    <n v="636.91999999999996"/>
    <n v="0.51"/>
    <x v="1383"/>
    <x v="454"/>
    <x v="5"/>
    <x v="1"/>
    <n v="1248.3632"/>
    <n v="312.0908"/>
  </r>
  <r>
    <n v="3435"/>
    <s v="Brooke Elliott"/>
    <x v="1"/>
    <x v="22"/>
    <x v="6"/>
    <n v="2752.99"/>
    <n v="0.51"/>
    <x v="201"/>
    <x v="558"/>
    <x v="0"/>
    <x v="1"/>
    <n v="4721.3778499999999"/>
    <n v="-453.03"/>
  </r>
  <r>
    <n v="3436"/>
    <s v="Kathryn Burch"/>
    <x v="5"/>
    <x v="11"/>
    <x v="3"/>
    <n v="2731.6350000000002"/>
    <n v="0.91"/>
    <x v="60"/>
    <x v="347"/>
    <x v="3"/>
    <x v="1"/>
    <n v="737.54144999999983"/>
    <n v="184.38536249999996"/>
  </r>
  <r>
    <n v="3437"/>
    <s v="Anthony Rodriguez"/>
    <x v="4"/>
    <x v="4"/>
    <x v="0"/>
    <n v="987.68"/>
    <n v="0.51"/>
    <x v="1384"/>
    <x v="140"/>
    <x v="3"/>
    <x v="0"/>
    <n v="1935.8527999999999"/>
    <n v="483.96319999999997"/>
  </r>
  <r>
    <n v="1006"/>
    <s v="Lisa Thornton"/>
    <x v="3"/>
    <x v="3"/>
    <x v="3"/>
    <n v="3891.07"/>
    <n v="0.2"/>
    <x v="1385"/>
    <x v="17"/>
    <x v="1"/>
    <x v="0"/>
    <n v="9338.5680000000011"/>
    <n v="-861.28"/>
  </r>
  <r>
    <n v="3439"/>
    <s v="Jeremiah Reese"/>
    <x v="2"/>
    <x v="13"/>
    <x v="0"/>
    <n v="400.21"/>
    <n v="0.51"/>
    <x v="1386"/>
    <x v="279"/>
    <x v="3"/>
    <x v="0"/>
    <n v="784.41159999999991"/>
    <n v="196.10289999999998"/>
  </r>
  <r>
    <n v="3440"/>
    <s v="Nicholas Harris"/>
    <x v="4"/>
    <x v="8"/>
    <x v="3"/>
    <n v="1536.14"/>
    <n v="0.87"/>
    <x v="1387"/>
    <x v="299"/>
    <x v="1"/>
    <x v="0"/>
    <n v="599.09460000000001"/>
    <n v="-382.45"/>
  </r>
  <r>
    <n v="3441"/>
    <s v="Carol Mack"/>
    <x v="5"/>
    <x v="11"/>
    <x v="4"/>
    <n v="2731.6350000000002"/>
    <n v="0.51"/>
    <x v="1074"/>
    <x v="255"/>
    <x v="0"/>
    <x v="1"/>
    <n v="6692.5057500000003"/>
    <n v="2953.52"/>
  </r>
  <r>
    <n v="3442"/>
    <s v="Traci Singleton"/>
    <x v="4"/>
    <x v="8"/>
    <x v="3"/>
    <n v="3027.66"/>
    <n v="0.51"/>
    <x v="94"/>
    <x v="177"/>
    <x v="1"/>
    <x v="1"/>
    <n v="4450.6601999999993"/>
    <n v="1331.63"/>
  </r>
  <r>
    <n v="3443"/>
    <s v="John Williams"/>
    <x v="4"/>
    <x v="8"/>
    <x v="3"/>
    <n v="3027.66"/>
    <n v="0.37"/>
    <x v="94"/>
    <x v="339"/>
    <x v="0"/>
    <x v="1"/>
    <n v="5722.2773999999999"/>
    <n v="2632.33"/>
  </r>
  <r>
    <n v="3444"/>
    <s v="Gabriella George"/>
    <x v="5"/>
    <x v="6"/>
    <x v="0"/>
    <n v="2924.37"/>
    <n v="0.51"/>
    <x v="1388"/>
    <x v="213"/>
    <x v="5"/>
    <x v="1"/>
    <n v="5731.7651999999998"/>
    <n v="461.83"/>
  </r>
  <r>
    <n v="3445"/>
    <s v="Richard Gutierrez"/>
    <x v="3"/>
    <x v="23"/>
    <x v="0"/>
    <n v="973.52"/>
    <n v="0.51"/>
    <x v="1389"/>
    <x v="326"/>
    <x v="4"/>
    <x v="1"/>
    <n v="1908.0991999999999"/>
    <n v="477.02479999999997"/>
  </r>
  <r>
    <n v="3446"/>
    <s v="Christopher Phillips"/>
    <x v="4"/>
    <x v="4"/>
    <x v="3"/>
    <n v="4758.24"/>
    <n v="0.49"/>
    <x v="1390"/>
    <x v="434"/>
    <x v="2"/>
    <x v="1"/>
    <n v="7280.1071999999995"/>
    <n v="2863.66"/>
  </r>
  <r>
    <n v="3447"/>
    <s v="Charles Kelly"/>
    <x v="1"/>
    <x v="1"/>
    <x v="0"/>
    <n v="4762.62"/>
    <n v="0.51"/>
    <x v="1391"/>
    <x v="320"/>
    <x v="4"/>
    <x v="1"/>
    <n v="9334.7351999999992"/>
    <n v="1483.83"/>
  </r>
  <r>
    <n v="3448"/>
    <s v="Stephanie Flores"/>
    <x v="0"/>
    <x v="0"/>
    <x v="3"/>
    <n v="2366.6149999999998"/>
    <n v="0.51"/>
    <x v="679"/>
    <x v="41"/>
    <x v="1"/>
    <x v="0"/>
    <n v="3478.9240499999996"/>
    <n v="734.88"/>
  </r>
  <r>
    <n v="3449"/>
    <s v="Carrie Mclaughlin"/>
    <x v="5"/>
    <x v="6"/>
    <x v="0"/>
    <n v="803.79"/>
    <n v="0.51"/>
    <x v="1392"/>
    <x v="426"/>
    <x v="5"/>
    <x v="0"/>
    <n v="1575.4284"/>
    <n v="393.8571"/>
  </r>
  <r>
    <n v="3450"/>
    <s v="Mario Smith"/>
    <x v="4"/>
    <x v="14"/>
    <x v="0"/>
    <n v="2765.79"/>
    <n v="0.89"/>
    <x v="25"/>
    <x v="358"/>
    <x v="2"/>
    <x v="1"/>
    <n v="1216.9475999999997"/>
    <n v="304.23689999999993"/>
  </r>
  <r>
    <n v="3451"/>
    <s v="Roger Blake"/>
    <x v="4"/>
    <x v="16"/>
    <x v="0"/>
    <n v="2339.36"/>
    <n v="0.35"/>
    <x v="1393"/>
    <x v="245"/>
    <x v="3"/>
    <x v="1"/>
    <n v="6082.3360000000002"/>
    <n v="-5.05"/>
  </r>
  <r>
    <n v="3452"/>
    <s v="Christopher Shepherd"/>
    <x v="2"/>
    <x v="17"/>
    <x v="3"/>
    <n v="2562.4699999999998"/>
    <n v="0.51"/>
    <x v="1394"/>
    <x v="143"/>
    <x v="4"/>
    <x v="1"/>
    <n v="3766.8308999999999"/>
    <n v="-883.82"/>
  </r>
  <r>
    <n v="3453"/>
    <s v="Bill Turner"/>
    <x v="3"/>
    <x v="21"/>
    <x v="0"/>
    <n v="4213.8500000000004"/>
    <n v="0.51"/>
    <x v="1395"/>
    <x v="269"/>
    <x v="0"/>
    <x v="1"/>
    <n v="8259.1460000000006"/>
    <n v="-209.3"/>
  </r>
  <r>
    <n v="3454"/>
    <s v="Amanda Rich"/>
    <x v="3"/>
    <x v="21"/>
    <x v="5"/>
    <n v="1987.62"/>
    <n v="0.51"/>
    <x v="1396"/>
    <x v="474"/>
    <x v="4"/>
    <x v="1"/>
    <n v="5843.6027999999997"/>
    <n v="1184.77"/>
  </r>
  <r>
    <n v="3455"/>
    <s v="Patricia Pham"/>
    <x v="5"/>
    <x v="6"/>
    <x v="0"/>
    <n v="2975.64"/>
    <n v="0.51"/>
    <x v="61"/>
    <x v="4"/>
    <x v="3"/>
    <x v="1"/>
    <n v="5832.2543999999998"/>
    <n v="382.53"/>
  </r>
  <r>
    <n v="3456"/>
    <s v="Anthony Ruiz"/>
    <x v="4"/>
    <x v="8"/>
    <x v="3"/>
    <n v="3027.66"/>
    <n v="0.51"/>
    <x v="94"/>
    <x v="4"/>
    <x v="0"/>
    <x v="1"/>
    <n v="4450.6601999999993"/>
    <n v="-695.67"/>
  </r>
  <r>
    <n v="3457"/>
    <s v="Michael Webb"/>
    <x v="3"/>
    <x v="23"/>
    <x v="6"/>
    <n v="983.84"/>
    <n v="0.9"/>
    <x v="1397"/>
    <x v="355"/>
    <x v="0"/>
    <x v="1"/>
    <n v="344.34399999999994"/>
    <n v="254.71"/>
  </r>
  <r>
    <n v="1013"/>
    <s v="Amanda Rios"/>
    <x v="2"/>
    <x v="13"/>
    <x v="5"/>
    <n v="2538.0450000000001"/>
    <n v="0.56000000000000005"/>
    <x v="174"/>
    <x v="516"/>
    <x v="4"/>
    <x v="1"/>
    <n v="6700.438799999999"/>
    <n v="-270.22000000000003"/>
  </r>
  <r>
    <n v="3459"/>
    <s v="Tina Russell"/>
    <x v="4"/>
    <x v="8"/>
    <x v="2"/>
    <n v="3027.66"/>
    <n v="0.51"/>
    <x v="63"/>
    <x v="4"/>
    <x v="5"/>
    <x v="1"/>
    <n v="2967.1068"/>
    <n v="1284.57"/>
  </r>
  <r>
    <n v="3460"/>
    <s v="Shirley Stevens"/>
    <x v="0"/>
    <x v="5"/>
    <x v="3"/>
    <n v="3008.6549999999997"/>
    <n v="0.51"/>
    <x v="44"/>
    <x v="4"/>
    <x v="3"/>
    <x v="1"/>
    <n v="4422.7228500000001"/>
    <n v="-266.63"/>
  </r>
  <r>
    <n v="3461"/>
    <s v="Christopher Chen"/>
    <x v="5"/>
    <x v="11"/>
    <x v="3"/>
    <n v="2731.6350000000002"/>
    <n v="0.51"/>
    <x v="60"/>
    <x v="206"/>
    <x v="1"/>
    <x v="1"/>
    <n v="4015.5034500000002"/>
    <n v="2059.2399999999998"/>
  </r>
  <r>
    <n v="3462"/>
    <s v="Alison Weber MD"/>
    <x v="3"/>
    <x v="7"/>
    <x v="3"/>
    <n v="3607.23"/>
    <n v="0.51"/>
    <x v="1398"/>
    <x v="552"/>
    <x v="4"/>
    <x v="0"/>
    <n v="5302.6280999999999"/>
    <n v="2531.75"/>
  </r>
  <r>
    <n v="3463"/>
    <s v="Tiffany Johnson"/>
    <x v="3"/>
    <x v="7"/>
    <x v="5"/>
    <n v="1139.77"/>
    <n v="0.51"/>
    <x v="1399"/>
    <x v="4"/>
    <x v="5"/>
    <x v="1"/>
    <n v="3350.9238"/>
    <n v="992.89"/>
  </r>
  <r>
    <n v="3464"/>
    <s v="Austin Meadows"/>
    <x v="0"/>
    <x v="20"/>
    <x v="4"/>
    <n v="2750.33"/>
    <n v="0.51"/>
    <x v="52"/>
    <x v="4"/>
    <x v="0"/>
    <x v="1"/>
    <n v="6738.3085000000001"/>
    <n v="2091.3000000000002"/>
  </r>
  <r>
    <n v="3465"/>
    <s v="Joshua Hill"/>
    <x v="0"/>
    <x v="5"/>
    <x v="3"/>
    <n v="3008.6549999999997"/>
    <n v="0.7"/>
    <x v="44"/>
    <x v="493"/>
    <x v="4"/>
    <x v="1"/>
    <n v="2707.7895000000003"/>
    <n v="-288.95999999999998"/>
  </r>
  <r>
    <n v="3466"/>
    <s v="Lisa Fisher"/>
    <x v="0"/>
    <x v="20"/>
    <x v="4"/>
    <n v="4059.53"/>
    <n v="0.51"/>
    <x v="1400"/>
    <x v="318"/>
    <x v="1"/>
    <x v="1"/>
    <n v="9945.8485000000001"/>
    <n v="-74.569999999999993"/>
  </r>
  <r>
    <n v="3467"/>
    <s v="Jennifer Shaw"/>
    <x v="4"/>
    <x v="16"/>
    <x v="0"/>
    <n v="2599.75"/>
    <n v="0.51"/>
    <x v="42"/>
    <x v="50"/>
    <x v="3"/>
    <x v="1"/>
    <n v="5095.51"/>
    <n v="1246.6199999999999"/>
  </r>
  <r>
    <n v="3468"/>
    <s v="Steven Schwartz"/>
    <x v="5"/>
    <x v="11"/>
    <x v="3"/>
    <n v="2731.6350000000002"/>
    <n v="0.51"/>
    <x v="60"/>
    <x v="4"/>
    <x v="0"/>
    <x v="1"/>
    <n v="4015.5034500000002"/>
    <n v="287.33"/>
  </r>
  <r>
    <n v="3469"/>
    <s v="Samantha Arnold"/>
    <x v="4"/>
    <x v="14"/>
    <x v="0"/>
    <n v="2932.58"/>
    <n v="0.51"/>
    <x v="1401"/>
    <x v="61"/>
    <x v="3"/>
    <x v="1"/>
    <n v="5747.8567999999996"/>
    <n v="333.94"/>
  </r>
  <r>
    <n v="3470"/>
    <s v="Richard Murray"/>
    <x v="3"/>
    <x v="3"/>
    <x v="3"/>
    <n v="2515.415"/>
    <n v="0.51"/>
    <x v="11"/>
    <x v="559"/>
    <x v="0"/>
    <x v="0"/>
    <n v="3697.66005"/>
    <n v="1387.75"/>
  </r>
  <r>
    <n v="3471"/>
    <s v="Walter Nolan"/>
    <x v="1"/>
    <x v="18"/>
    <x v="5"/>
    <n v="2537.59"/>
    <n v="0.51"/>
    <x v="345"/>
    <x v="310"/>
    <x v="2"/>
    <x v="1"/>
    <n v="7460.5146000000004"/>
    <n v="-673.81"/>
  </r>
  <r>
    <n v="3472"/>
    <s v="Larry Holland"/>
    <x v="5"/>
    <x v="6"/>
    <x v="0"/>
    <n v="2975.64"/>
    <n v="0.5"/>
    <x v="61"/>
    <x v="4"/>
    <x v="2"/>
    <x v="1"/>
    <n v="5951.28"/>
    <n v="-898.19"/>
  </r>
  <r>
    <n v="3473"/>
    <s v="Erica Clay"/>
    <x v="3"/>
    <x v="3"/>
    <x v="1"/>
    <n v="2515.415"/>
    <n v="0.15"/>
    <x v="24"/>
    <x v="321"/>
    <x v="2"/>
    <x v="1"/>
    <n v="2138.10275"/>
    <n v="287.25"/>
  </r>
  <r>
    <n v="3474"/>
    <s v="Christine Henderson"/>
    <x v="2"/>
    <x v="13"/>
    <x v="0"/>
    <n v="3494.86"/>
    <n v="0.51"/>
    <x v="1402"/>
    <x v="4"/>
    <x v="2"/>
    <x v="1"/>
    <n v="6849.9256000000005"/>
    <n v="-76.849999999999994"/>
  </r>
  <r>
    <n v="3475"/>
    <s v="Mitchell Lloyd"/>
    <x v="1"/>
    <x v="15"/>
    <x v="3"/>
    <n v="2185.83"/>
    <n v="0.13"/>
    <x v="1403"/>
    <x v="4"/>
    <x v="2"/>
    <x v="1"/>
    <n v="5705.0163000000002"/>
    <n v="714.12"/>
  </r>
  <r>
    <n v="3476"/>
    <s v="Nicholas Johnson"/>
    <x v="5"/>
    <x v="11"/>
    <x v="3"/>
    <n v="4804.91"/>
    <n v="0.51"/>
    <x v="1404"/>
    <x v="246"/>
    <x v="0"/>
    <x v="0"/>
    <n v="7063.2176999999992"/>
    <n v="407.85"/>
  </r>
  <r>
    <n v="3477"/>
    <s v="Miss Alexa Smith"/>
    <x v="5"/>
    <x v="12"/>
    <x v="3"/>
    <n v="2765.26"/>
    <n v="0.86"/>
    <x v="19"/>
    <x v="4"/>
    <x v="2"/>
    <x v="1"/>
    <n v="1161.4092000000003"/>
    <n v="292.83"/>
  </r>
  <r>
    <n v="3478"/>
    <s v="Gerald Webb"/>
    <x v="1"/>
    <x v="18"/>
    <x v="3"/>
    <n v="2537.59"/>
    <n v="0.51"/>
    <x v="35"/>
    <x v="560"/>
    <x v="5"/>
    <x v="1"/>
    <n v="3730.2573000000002"/>
    <n v="2602.44"/>
  </r>
  <r>
    <n v="3479"/>
    <s v="David Harper"/>
    <x v="1"/>
    <x v="22"/>
    <x v="6"/>
    <n v="2858.94"/>
    <n v="0.51"/>
    <x v="1405"/>
    <x v="419"/>
    <x v="2"/>
    <x v="1"/>
    <n v="4903.0821000000005"/>
    <n v="-262.73"/>
  </r>
  <r>
    <n v="3480"/>
    <s v="Mrs. Jessica Thompson"/>
    <x v="2"/>
    <x v="10"/>
    <x v="0"/>
    <n v="2666.2200000000003"/>
    <n v="0.28000000000000003"/>
    <x v="142"/>
    <x v="4"/>
    <x v="5"/>
    <x v="0"/>
    <n v="7678.7136"/>
    <n v="1553.3"/>
  </r>
  <r>
    <n v="3481"/>
    <s v="Sarah Brooks"/>
    <x v="0"/>
    <x v="5"/>
    <x v="3"/>
    <n v="3008.6549999999997"/>
    <n v="0.51"/>
    <x v="44"/>
    <x v="119"/>
    <x v="3"/>
    <x v="0"/>
    <n v="4422.7228500000001"/>
    <n v="-38.119999999999997"/>
  </r>
  <r>
    <n v="3482"/>
    <s v="Brenda Gonzales"/>
    <x v="3"/>
    <x v="21"/>
    <x v="0"/>
    <n v="1169.8900000000001"/>
    <n v="0.51"/>
    <x v="1406"/>
    <x v="4"/>
    <x v="5"/>
    <x v="0"/>
    <n v="2292.9844000000003"/>
    <n v="161.94999999999999"/>
  </r>
  <r>
    <n v="1030"/>
    <s v="Joseph Pennington"/>
    <x v="4"/>
    <x v="16"/>
    <x v="3"/>
    <n v="2599.75"/>
    <n v="0.51"/>
    <x v="1407"/>
    <x v="4"/>
    <x v="4"/>
    <x v="1"/>
    <n v="3821.6324999999997"/>
    <n v="1528.52"/>
  </r>
  <r>
    <n v="3484"/>
    <s v="Erin Johnson"/>
    <x v="4"/>
    <x v="16"/>
    <x v="0"/>
    <n v="2599.75"/>
    <n v="0.51"/>
    <x v="42"/>
    <x v="4"/>
    <x v="5"/>
    <x v="0"/>
    <n v="5095.51"/>
    <n v="237.05"/>
  </r>
  <r>
    <n v="3485"/>
    <s v="Elizabeth Garcia"/>
    <x v="3"/>
    <x v="21"/>
    <x v="0"/>
    <n v="2951.53"/>
    <n v="0.51"/>
    <x v="1408"/>
    <x v="30"/>
    <x v="5"/>
    <x v="0"/>
    <n v="5784.9988000000003"/>
    <n v="-492.53"/>
  </r>
  <r>
    <n v="3486"/>
    <s v="Nathan Webb"/>
    <x v="4"/>
    <x v="14"/>
    <x v="0"/>
    <n v="2765.79"/>
    <n v="0.51"/>
    <x v="25"/>
    <x v="4"/>
    <x v="4"/>
    <x v="1"/>
    <n v="5420.9484000000002"/>
    <n v="-439.26"/>
  </r>
  <r>
    <n v="3487"/>
    <s v="Kathryn Swanson"/>
    <x v="4"/>
    <x v="4"/>
    <x v="4"/>
    <n v="1683.74"/>
    <n v="0.57999999999999996"/>
    <x v="1409"/>
    <x v="394"/>
    <x v="3"/>
    <x v="0"/>
    <n v="3535.8540000000007"/>
    <n v="419.44"/>
  </r>
  <r>
    <n v="3488"/>
    <s v="Lisa Nelson"/>
    <x v="3"/>
    <x v="21"/>
    <x v="0"/>
    <n v="3029.54"/>
    <n v="0.51"/>
    <x v="1410"/>
    <x v="98"/>
    <x v="2"/>
    <x v="1"/>
    <n v="5937.8984"/>
    <n v="2537.46"/>
  </r>
  <r>
    <n v="3489"/>
    <s v="Donald George"/>
    <x v="1"/>
    <x v="15"/>
    <x v="2"/>
    <n v="599.07000000000005"/>
    <n v="0.15"/>
    <x v="1411"/>
    <x v="4"/>
    <x v="0"/>
    <x v="1"/>
    <n v="1018.4190000000001"/>
    <n v="254.60475000000002"/>
  </r>
  <r>
    <n v="3490"/>
    <s v="Preston Carroll"/>
    <x v="5"/>
    <x v="19"/>
    <x v="0"/>
    <n v="2784.76"/>
    <n v="0.86"/>
    <x v="1412"/>
    <x v="161"/>
    <x v="4"/>
    <x v="1"/>
    <n v="1559.4656000000002"/>
    <n v="1373.37"/>
  </r>
  <r>
    <n v="3491"/>
    <s v="Timothy Hamilton"/>
    <x v="0"/>
    <x v="5"/>
    <x v="3"/>
    <n v="4126.3900000000003"/>
    <n v="0.51"/>
    <x v="1413"/>
    <x v="105"/>
    <x v="2"/>
    <x v="1"/>
    <n v="6065.7933000000012"/>
    <n v="638.9"/>
  </r>
  <r>
    <n v="3492"/>
    <s v="Jonathan Meadows"/>
    <x v="0"/>
    <x v="20"/>
    <x v="4"/>
    <n v="3084.73"/>
    <n v="0.86"/>
    <x v="1414"/>
    <x v="4"/>
    <x v="2"/>
    <x v="1"/>
    <n v="2159.3110000000001"/>
    <n v="539.82775000000004"/>
  </r>
  <r>
    <n v="3493"/>
    <s v="Keith Manning"/>
    <x v="5"/>
    <x v="6"/>
    <x v="4"/>
    <n v="2935.56"/>
    <n v="0.51"/>
    <x v="1415"/>
    <x v="207"/>
    <x v="0"/>
    <x v="1"/>
    <n v="7192.1219999999994"/>
    <n v="-410.86"/>
  </r>
  <r>
    <n v="3494"/>
    <s v="Ryan West"/>
    <x v="0"/>
    <x v="0"/>
    <x v="0"/>
    <n v="2366.6149999999998"/>
    <n v="0.51"/>
    <x v="81"/>
    <x v="4"/>
    <x v="1"/>
    <x v="1"/>
    <n v="4638.5653999999995"/>
    <n v="-219.82"/>
  </r>
  <r>
    <n v="3495"/>
    <s v="Allen Williams"/>
    <x v="4"/>
    <x v="8"/>
    <x v="3"/>
    <n v="848.79"/>
    <n v="0.51"/>
    <x v="1416"/>
    <x v="4"/>
    <x v="2"/>
    <x v="1"/>
    <n v="1247.7212999999999"/>
    <n v="311.93032499999998"/>
  </r>
  <r>
    <n v="3496"/>
    <s v="Jonathan Hill"/>
    <x v="2"/>
    <x v="2"/>
    <x v="0"/>
    <n v="2933.45"/>
    <n v="0.51"/>
    <x v="13"/>
    <x v="314"/>
    <x v="4"/>
    <x v="1"/>
    <n v="5749.5619999999999"/>
    <n v="2232.98"/>
  </r>
  <r>
    <n v="3497"/>
    <s v="Alejandro Cochran"/>
    <x v="1"/>
    <x v="15"/>
    <x v="3"/>
    <n v="3389.24"/>
    <n v="0.51"/>
    <x v="1417"/>
    <x v="4"/>
    <x v="1"/>
    <x v="0"/>
    <n v="4982.1827999999996"/>
    <n v="1955.31"/>
  </r>
  <r>
    <n v="3498"/>
    <s v="Angela Adkins"/>
    <x v="0"/>
    <x v="9"/>
    <x v="4"/>
    <n v="3844.19"/>
    <n v="0.51"/>
    <x v="1418"/>
    <x v="447"/>
    <x v="4"/>
    <x v="1"/>
    <n v="9418.2654999999995"/>
    <n v="2967"/>
  </r>
  <r>
    <n v="3499"/>
    <s v="Zachary Werner"/>
    <x v="4"/>
    <x v="16"/>
    <x v="5"/>
    <n v="1239.75"/>
    <n v="0.51"/>
    <x v="1419"/>
    <x v="4"/>
    <x v="2"/>
    <x v="0"/>
    <n v="3644.8649999999998"/>
    <n v="715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6BBA3-86BD-40D4-876C-CBDD256681B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13:B20" firstHeaderRow="1" firstDataRow="1" firstDataCol="1"/>
  <pivotFields count="16">
    <pivotField numFmtId="1"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1" showAll="0"/>
    <pivotField numFmtId="164" showAll="0"/>
    <pivotField numFmtId="9" showAll="0"/>
    <pivotField numFmtId="164" showAll="0"/>
    <pivotField numFmtId="14" showAll="0">
      <items count="562">
        <item x="149"/>
        <item x="222"/>
        <item x="358"/>
        <item x="511"/>
        <item x="60"/>
        <item x="144"/>
        <item x="354"/>
        <item x="345"/>
        <item x="312"/>
        <item x="376"/>
        <item x="193"/>
        <item x="558"/>
        <item x="540"/>
        <item x="451"/>
        <item x="498"/>
        <item x="552"/>
        <item x="270"/>
        <item x="258"/>
        <item x="431"/>
        <item x="307"/>
        <item x="180"/>
        <item x="430"/>
        <item x="259"/>
        <item x="386"/>
        <item x="512"/>
        <item x="315"/>
        <item x="549"/>
        <item x="108"/>
        <item x="526"/>
        <item x="286"/>
        <item x="433"/>
        <item x="18"/>
        <item x="257"/>
        <item x="318"/>
        <item x="432"/>
        <item x="138"/>
        <item x="378"/>
        <item x="241"/>
        <item x="420"/>
        <item x="488"/>
        <item x="476"/>
        <item x="359"/>
        <item x="513"/>
        <item x="548"/>
        <item x="405"/>
        <item x="309"/>
        <item x="327"/>
        <item x="499"/>
        <item x="545"/>
        <item x="313"/>
        <item x="404"/>
        <item x="448"/>
        <item x="55"/>
        <item x="469"/>
        <item x="484"/>
        <item x="507"/>
        <item x="160"/>
        <item x="530"/>
        <item x="284"/>
        <item x="348"/>
        <item x="196"/>
        <item x="410"/>
        <item x="161"/>
        <item x="441"/>
        <item x="465"/>
        <item x="232"/>
        <item x="551"/>
        <item x="398"/>
        <item x="452"/>
        <item x="247"/>
        <item x="528"/>
        <item x="5"/>
        <item x="400"/>
        <item x="36"/>
        <item x="248"/>
        <item x="438"/>
        <item x="164"/>
        <item x="295"/>
        <item x="407"/>
        <item x="282"/>
        <item x="509"/>
        <item x="534"/>
        <item x="472"/>
        <item x="519"/>
        <item x="288"/>
        <item x="453"/>
        <item x="183"/>
        <item x="194"/>
        <item x="263"/>
        <item x="489"/>
        <item x="560"/>
        <item x="514"/>
        <item x="416"/>
        <item x="391"/>
        <item x="500"/>
        <item x="490"/>
        <item x="351"/>
        <item x="464"/>
        <item x="251"/>
        <item x="535"/>
        <item x="24"/>
        <item x="457"/>
        <item x="437"/>
        <item x="522"/>
        <item x="85"/>
        <item x="463"/>
        <item x="442"/>
        <item x="460"/>
        <item x="501"/>
        <item x="531"/>
        <item x="435"/>
        <item x="214"/>
        <item x="330"/>
        <item x="557"/>
        <item x="382"/>
        <item x="466"/>
        <item x="65"/>
        <item x="541"/>
        <item x="370"/>
        <item x="543"/>
        <item x="165"/>
        <item x="360"/>
        <item x="372"/>
        <item x="104"/>
        <item x="39"/>
        <item x="136"/>
        <item x="188"/>
        <item x="483"/>
        <item x="553"/>
        <item x="314"/>
        <item x="49"/>
        <item x="429"/>
        <item x="470"/>
        <item x="397"/>
        <item x="264"/>
        <item x="390"/>
        <item x="467"/>
        <item x="399"/>
        <item x="539"/>
        <item x="114"/>
        <item x="302"/>
        <item x="505"/>
        <item x="491"/>
        <item x="6"/>
        <item x="546"/>
        <item x="23"/>
        <item x="352"/>
        <item x="449"/>
        <item x="492"/>
        <item x="80"/>
        <item x="12"/>
        <item x="538"/>
        <item x="317"/>
        <item x="443"/>
        <item x="89"/>
        <item x="278"/>
        <item x="529"/>
        <item x="425"/>
        <item x="377"/>
        <item x="455"/>
        <item x="418"/>
        <item x="190"/>
        <item x="396"/>
        <item x="439"/>
        <item x="15"/>
        <item x="481"/>
        <item x="381"/>
        <item x="262"/>
        <item x="536"/>
        <item x="163"/>
        <item x="172"/>
        <item x="517"/>
        <item x="127"/>
        <item x="393"/>
        <item x="46"/>
        <item x="475"/>
        <item x="494"/>
        <item x="414"/>
        <item x="537"/>
        <item x="238"/>
        <item x="515"/>
        <item x="518"/>
        <item x="556"/>
        <item x="70"/>
        <item x="249"/>
        <item x="412"/>
        <item x="277"/>
        <item x="495"/>
        <item x="145"/>
        <item x="383"/>
        <item x="147"/>
        <item x="185"/>
        <item x="243"/>
        <item x="508"/>
        <item x="244"/>
        <item x="218"/>
        <item x="353"/>
        <item x="261"/>
        <item x="367"/>
        <item x="554"/>
        <item x="329"/>
        <item x="131"/>
        <item x="342"/>
        <item x="447"/>
        <item x="175"/>
        <item x="215"/>
        <item x="415"/>
        <item x="336"/>
        <item x="281"/>
        <item x="503"/>
        <item x="361"/>
        <item x="177"/>
        <item x="221"/>
        <item x="187"/>
        <item x="332"/>
        <item x="113"/>
        <item x="82"/>
        <item x="118"/>
        <item x="486"/>
        <item x="326"/>
        <item x="233"/>
        <item x="297"/>
        <item x="88"/>
        <item x="42"/>
        <item x="246"/>
        <item x="319"/>
        <item x="369"/>
        <item x="402"/>
        <item x="324"/>
        <item x="384"/>
        <item x="168"/>
        <item x="9"/>
        <item x="450"/>
        <item x="525"/>
        <item x="504"/>
        <item x="273"/>
        <item x="116"/>
        <item x="347"/>
        <item x="230"/>
        <item x="544"/>
        <item x="474"/>
        <item x="471"/>
        <item x="497"/>
        <item x="292"/>
        <item x="229"/>
        <item x="166"/>
        <item x="496"/>
        <item x="493"/>
        <item x="64"/>
        <item x="444"/>
        <item x="150"/>
        <item x="202"/>
        <item x="30"/>
        <item x="485"/>
        <item x="219"/>
        <item x="427"/>
        <item x="268"/>
        <item x="308"/>
        <item x="428"/>
        <item x="419"/>
        <item x="52"/>
        <item x="10"/>
        <item x="477"/>
        <item x="167"/>
        <item x="321"/>
        <item x="272"/>
        <item x="189"/>
        <item x="335"/>
        <item x="133"/>
        <item x="506"/>
        <item x="285"/>
        <item x="110"/>
        <item x="334"/>
        <item x="236"/>
        <item x="107"/>
        <item x="94"/>
        <item x="446"/>
        <item x="423"/>
        <item x="362"/>
        <item x="217"/>
        <item x="99"/>
        <item x="283"/>
        <item x="252"/>
        <item x="169"/>
        <item x="550"/>
        <item x="234"/>
        <item x="33"/>
        <item x="95"/>
        <item x="542"/>
        <item x="274"/>
        <item x="143"/>
        <item x="458"/>
        <item x="13"/>
        <item x="84"/>
        <item x="516"/>
        <item x="11"/>
        <item x="158"/>
        <item x="87"/>
        <item x="524"/>
        <item x="134"/>
        <item x="225"/>
        <item x="340"/>
        <item x="157"/>
        <item x="97"/>
        <item x="555"/>
        <item x="44"/>
        <item x="90"/>
        <item x="170"/>
        <item x="100"/>
        <item x="59"/>
        <item x="276"/>
        <item x="103"/>
        <item x="125"/>
        <item x="21"/>
        <item x="328"/>
        <item x="26"/>
        <item x="363"/>
        <item x="373"/>
        <item x="154"/>
        <item x="468"/>
        <item x="379"/>
        <item x="198"/>
        <item x="445"/>
        <item x="409"/>
        <item x="212"/>
        <item x="105"/>
        <item x="462"/>
        <item x="371"/>
        <item x="132"/>
        <item x="408"/>
        <item x="184"/>
        <item x="298"/>
        <item x="146"/>
        <item x="61"/>
        <item x="129"/>
        <item x="395"/>
        <item x="92"/>
        <item x="210"/>
        <item x="375"/>
        <item x="520"/>
        <item x="287"/>
        <item x="191"/>
        <item x="148"/>
        <item x="316"/>
        <item x="98"/>
        <item x="72"/>
        <item x="387"/>
        <item x="487"/>
        <item x="461"/>
        <item x="527"/>
        <item x="4"/>
        <item x="192"/>
        <item x="41"/>
        <item x="54"/>
        <item x="173"/>
        <item x="213"/>
        <item x="482"/>
        <item x="331"/>
        <item x="267"/>
        <item x="66"/>
        <item x="81"/>
        <item x="350"/>
        <item x="2"/>
        <item x="209"/>
        <item x="62"/>
        <item x="300"/>
        <item x="290"/>
        <item x="51"/>
        <item x="311"/>
        <item x="106"/>
        <item x="122"/>
        <item x="296"/>
        <item x="294"/>
        <item x="394"/>
        <item x="124"/>
        <item x="47"/>
        <item x="226"/>
        <item x="473"/>
        <item x="63"/>
        <item x="171"/>
        <item x="422"/>
        <item x="207"/>
        <item x="216"/>
        <item x="93"/>
        <item x="260"/>
        <item x="20"/>
        <item x="368"/>
        <item x="130"/>
        <item x="117"/>
        <item x="349"/>
        <item x="338"/>
        <item x="19"/>
        <item x="401"/>
        <item x="121"/>
        <item x="346"/>
        <item x="151"/>
        <item x="203"/>
        <item x="174"/>
        <item x="322"/>
        <item x="365"/>
        <item x="337"/>
        <item x="31"/>
        <item x="459"/>
        <item x="38"/>
        <item x="53"/>
        <item x="153"/>
        <item x="240"/>
        <item x="208"/>
        <item x="201"/>
        <item x="75"/>
        <item x="16"/>
        <item x="256"/>
        <item x="357"/>
        <item x="58"/>
        <item x="523"/>
        <item x="547"/>
        <item x="310"/>
        <item x="0"/>
        <item x="413"/>
        <item x="533"/>
        <item x="76"/>
        <item x="91"/>
        <item x="67"/>
        <item x="305"/>
        <item x="356"/>
        <item x="27"/>
        <item x="454"/>
        <item x="253"/>
        <item x="235"/>
        <item x="355"/>
        <item x="155"/>
        <item x="299"/>
        <item x="479"/>
        <item x="344"/>
        <item x="56"/>
        <item x="434"/>
        <item x="266"/>
        <item x="14"/>
        <item x="421"/>
        <item x="135"/>
        <item x="223"/>
        <item x="123"/>
        <item x="159"/>
        <item x="156"/>
        <item x="176"/>
        <item x="137"/>
        <item x="224"/>
        <item x="291"/>
        <item x="111"/>
        <item x="126"/>
        <item x="71"/>
        <item x="152"/>
        <item x="306"/>
        <item x="112"/>
        <item x="29"/>
        <item x="50"/>
        <item x="424"/>
        <item x="181"/>
        <item x="403"/>
        <item x="380"/>
        <item x="206"/>
        <item x="28"/>
        <item x="456"/>
        <item x="502"/>
        <item x="68"/>
        <item x="239"/>
        <item x="120"/>
        <item x="141"/>
        <item x="532"/>
        <item x="411"/>
        <item x="186"/>
        <item x="86"/>
        <item x="200"/>
        <item x="139"/>
        <item x="35"/>
        <item x="265"/>
        <item x="385"/>
        <item x="237"/>
        <item x="280"/>
        <item x="77"/>
        <item x="73"/>
        <item x="303"/>
        <item x="275"/>
        <item x="79"/>
        <item x="255"/>
        <item x="510"/>
        <item x="57"/>
        <item x="406"/>
        <item x="521"/>
        <item x="195"/>
        <item x="205"/>
        <item x="289"/>
        <item x="78"/>
        <item x="293"/>
        <item x="364"/>
        <item x="480"/>
        <item x="269"/>
        <item x="341"/>
        <item x="25"/>
        <item x="417"/>
        <item x="388"/>
        <item x="440"/>
        <item x="250"/>
        <item x="343"/>
        <item x="128"/>
        <item x="8"/>
        <item x="182"/>
        <item x="392"/>
        <item x="304"/>
        <item x="325"/>
        <item x="179"/>
        <item x="366"/>
        <item x="231"/>
        <item x="339"/>
        <item x="197"/>
        <item x="436"/>
        <item x="204"/>
        <item x="142"/>
        <item x="211"/>
        <item x="69"/>
        <item x="32"/>
        <item x="271"/>
        <item x="323"/>
        <item x="228"/>
        <item x="109"/>
        <item x="254"/>
        <item x="3"/>
        <item x="245"/>
        <item x="227"/>
        <item x="115"/>
        <item x="301"/>
        <item x="279"/>
        <item x="140"/>
        <item x="101"/>
        <item x="74"/>
        <item x="83"/>
        <item x="45"/>
        <item x="162"/>
        <item x="48"/>
        <item x="199"/>
        <item x="320"/>
        <item x="220"/>
        <item x="374"/>
        <item x="178"/>
        <item x="102"/>
        <item x="478"/>
        <item x="34"/>
        <item x="119"/>
        <item x="389"/>
        <item x="40"/>
        <item x="333"/>
        <item x="22"/>
        <item x="43"/>
        <item x="1"/>
        <item x="426"/>
        <item x="96"/>
        <item x="17"/>
        <item x="559"/>
        <item x="7"/>
        <item x="37"/>
        <item x="242"/>
        <item t="default"/>
      </items>
    </pivotField>
    <pivotField showAll="0"/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2" baseField="0" baseItem="0" numFmtId="16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37394-4508-44A2-B0FA-83082EAB2B0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1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14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nitch_Fashion_Sales_Uncleaned.csv - W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EB38D-2404-417D-ADFA-C1A4CEAA223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S3:T16" firstHeaderRow="1" firstDataRow="1" firstDataCol="1"/>
  <pivotFields count="16">
    <pivotField numFmtId="1" showAll="0"/>
    <pivotField showAll="0"/>
    <pivotField showAll="0"/>
    <pivotField showAll="0"/>
    <pivotField numFmtId="1" showAll="0"/>
    <pivotField numFmtId="164" showAll="0"/>
    <pivotField numFmtId="9" showAll="0"/>
    <pivotField dataField="1" numFmtId="164" showAll="0">
      <items count="1421">
        <item x="109"/>
        <item x="1198"/>
        <item x="1278"/>
        <item x="946"/>
        <item x="2"/>
        <item x="378"/>
        <item x="457"/>
        <item x="542"/>
        <item x="240"/>
        <item x="1344"/>
        <item x="1235"/>
        <item x="204"/>
        <item x="234"/>
        <item x="1122"/>
        <item x="811"/>
        <item x="637"/>
        <item x="503"/>
        <item x="1110"/>
        <item x="1411"/>
        <item x="468"/>
        <item x="882"/>
        <item x="458"/>
        <item x="648"/>
        <item x="248"/>
        <item x="74"/>
        <item x="1363"/>
        <item x="809"/>
        <item x="674"/>
        <item x="1185"/>
        <item x="1137"/>
        <item x="1356"/>
        <item x="541"/>
        <item x="632"/>
        <item x="359"/>
        <item x="1030"/>
        <item x="721"/>
        <item x="15"/>
        <item x="1141"/>
        <item x="604"/>
        <item x="280"/>
        <item x="1229"/>
        <item x="406"/>
        <item x="825"/>
        <item x="498"/>
        <item x="211"/>
        <item x="744"/>
        <item x="385"/>
        <item x="1386"/>
        <item x="1024"/>
        <item x="915"/>
        <item x="963"/>
        <item x="315"/>
        <item x="914"/>
        <item x="1098"/>
        <item x="1077"/>
        <item x="1044"/>
        <item x="161"/>
        <item x="573"/>
        <item x="1102"/>
        <item x="467"/>
        <item x="484"/>
        <item x="629"/>
        <item x="369"/>
        <item x="641"/>
        <item x="869"/>
        <item x="906"/>
        <item x="780"/>
        <item x="883"/>
        <item x="590"/>
        <item x="702"/>
        <item x="1003"/>
        <item x="242"/>
        <item x="454"/>
        <item x="350"/>
        <item x="1257"/>
        <item x="6"/>
        <item x="520"/>
        <item x="894"/>
        <item x="374"/>
        <item x="653"/>
        <item x="1314"/>
        <item x="435"/>
        <item x="766"/>
        <item x="46"/>
        <item x="691"/>
        <item x="276"/>
        <item x="895"/>
        <item x="461"/>
        <item x="195"/>
        <item x="377"/>
        <item x="1065"/>
        <item x="67"/>
        <item x="1046"/>
        <item x="147"/>
        <item x="312"/>
        <item x="940"/>
        <item x="1146"/>
        <item x="1360"/>
        <item x="563"/>
        <item x="411"/>
        <item x="1272"/>
        <item x="1108"/>
        <item x="1171"/>
        <item x="1"/>
        <item x="999"/>
        <item x="1138"/>
        <item x="265"/>
        <item x="693"/>
        <item x="719"/>
        <item x="231"/>
        <item x="888"/>
        <item x="1066"/>
        <item x="368"/>
        <item x="695"/>
        <item x="646"/>
        <item x="1225"/>
        <item x="716"/>
        <item x="292"/>
        <item x="397"/>
        <item x="755"/>
        <item x="867"/>
        <item x="24"/>
        <item x="717"/>
        <item x="347"/>
        <item x="1339"/>
        <item x="768"/>
        <item x="139"/>
        <item x="108"/>
        <item x="284"/>
        <item x="1183"/>
        <item x="1416"/>
        <item x="1383"/>
        <item x="817"/>
        <item x="577"/>
        <item x="824"/>
        <item x="245"/>
        <item x="165"/>
        <item x="90"/>
        <item x="908"/>
        <item x="219"/>
        <item x="53"/>
        <item x="799"/>
        <item x="319"/>
        <item x="1029"/>
        <item x="774"/>
        <item x="649"/>
        <item x="703"/>
        <item x="1016"/>
        <item x="271"/>
        <item x="156"/>
        <item x="529"/>
        <item x="593"/>
        <item x="918"/>
        <item x="252"/>
        <item x="355"/>
        <item x="255"/>
        <item x="247"/>
        <item x="1204"/>
        <item x="522"/>
        <item x="706"/>
        <item x="712"/>
        <item x="146"/>
        <item x="589"/>
        <item x="1262"/>
        <item x="508"/>
        <item x="338"/>
        <item x="1298"/>
        <item x="68"/>
        <item x="1334"/>
        <item x="767"/>
        <item x="1020"/>
        <item x="1266"/>
        <item x="4"/>
        <item x="185"/>
        <item x="158"/>
        <item x="465"/>
        <item x="1224"/>
        <item x="122"/>
        <item x="727"/>
        <item x="483"/>
        <item x="993"/>
        <item x="393"/>
        <item x="956"/>
        <item x="352"/>
        <item x="849"/>
        <item x="1237"/>
        <item x="822"/>
        <item x="59"/>
        <item x="18"/>
        <item x="798"/>
        <item x="977"/>
        <item x="1149"/>
        <item x="557"/>
        <item x="677"/>
        <item x="116"/>
        <item x="1209"/>
        <item x="558"/>
        <item x="878"/>
        <item x="1279"/>
        <item x="1043"/>
        <item x="810"/>
        <item x="554"/>
        <item x="981"/>
        <item x="1226"/>
        <item x="1245"/>
        <item x="951"/>
        <item x="441"/>
        <item x="1350"/>
        <item x="62"/>
        <item x="1357"/>
        <item x="921"/>
        <item x="759"/>
        <item x="26"/>
        <item x="889"/>
        <item x="1392"/>
        <item x="964"/>
        <item x="492"/>
        <item x="668"/>
        <item x="497"/>
        <item x="396"/>
        <item x="1218"/>
        <item x="0"/>
        <item x="539"/>
        <item x="1242"/>
        <item x="84"/>
        <item x="639"/>
        <item x="974"/>
        <item x="697"/>
        <item x="388"/>
        <item x="896"/>
        <item x="1397"/>
        <item x="1028"/>
        <item x="1196"/>
        <item x="975"/>
        <item x="806"/>
        <item x="1166"/>
        <item x="1015"/>
        <item x="436"/>
        <item x="938"/>
        <item x="357"/>
        <item x="926"/>
        <item x="206"/>
        <item x="650"/>
        <item x="430"/>
        <item x="515"/>
        <item x="625"/>
        <item x="819"/>
        <item x="898"/>
        <item x="608"/>
        <item x="1113"/>
        <item x="262"/>
        <item x="859"/>
        <item x="1281"/>
        <item x="1222"/>
        <item x="827"/>
        <item x="477"/>
        <item x="1295"/>
        <item x="339"/>
        <item x="342"/>
        <item x="842"/>
        <item x="1052"/>
        <item x="901"/>
        <item x="1223"/>
        <item x="950"/>
        <item x="1038"/>
        <item x="390"/>
        <item x="617"/>
        <item x="111"/>
        <item x="1189"/>
        <item x="553"/>
        <item x="807"/>
        <item x="1389"/>
        <item x="416"/>
        <item x="1263"/>
        <item x="1125"/>
        <item x="260"/>
        <item x="448"/>
        <item x="523"/>
        <item x="365"/>
        <item x="1384"/>
        <item x="1182"/>
        <item x="1301"/>
        <item x="277"/>
        <item x="1184"/>
        <item x="620"/>
        <item x="723"/>
        <item x="325"/>
        <item x="724"/>
        <item x="76"/>
        <item x="576"/>
        <item x="735"/>
        <item x="413"/>
        <item x="1331"/>
        <item x="1118"/>
        <item x="82"/>
        <item x="287"/>
        <item x="34"/>
        <item x="307"/>
        <item x="936"/>
        <item x="1346"/>
        <item x="1050"/>
        <item x="336"/>
        <item x="1336"/>
        <item x="425"/>
        <item x="57"/>
        <item x="438"/>
        <item x="1337"/>
        <item x="880"/>
        <item x="645"/>
        <item x="987"/>
        <item x="881"/>
        <item x="163"/>
        <item x="188"/>
        <item x="853"/>
        <item x="491"/>
        <item x="623"/>
        <item x="848"/>
        <item x="43"/>
        <item x="1208"/>
        <item x="564"/>
        <item x="323"/>
        <item x="1329"/>
        <item x="943"/>
        <item x="897"/>
        <item x="1019"/>
        <item x="351"/>
        <item x="1081"/>
        <item x="274"/>
        <item x="1250"/>
        <item x="403"/>
        <item x="941"/>
        <item x="615"/>
        <item x="236"/>
        <item x="1365"/>
        <item x="1187"/>
        <item x="462"/>
        <item x="1289"/>
        <item x="1162"/>
        <item x="80"/>
        <item x="659"/>
        <item x="753"/>
        <item x="301"/>
        <item x="1387"/>
        <item x="1145"/>
        <item x="1211"/>
        <item x="155"/>
        <item x="232"/>
        <item x="106"/>
        <item x="688"/>
        <item x="1406"/>
        <item x="464"/>
        <item x="990"/>
        <item x="466"/>
        <item x="1032"/>
        <item x="502"/>
        <item x="364"/>
        <item x="587"/>
        <item x="657"/>
        <item x="371"/>
        <item x="129"/>
        <item x="1253"/>
        <item x="813"/>
        <item x="736"/>
        <item x="1088"/>
        <item x="544"/>
        <item x="836"/>
        <item x="796"/>
        <item x="392"/>
        <item x="1239"/>
        <item x="574"/>
        <item x="177"/>
        <item x="872"/>
        <item x="535"/>
        <item x="1369"/>
        <item x="569"/>
        <item x="607"/>
        <item x="1140"/>
        <item x="902"/>
        <item x="992"/>
        <item x="384"/>
        <item x="610"/>
        <item x="162"/>
        <item x="741"/>
        <item x="254"/>
        <item x="33"/>
        <item x="313"/>
        <item x="1175"/>
        <item x="151"/>
        <item x="449"/>
        <item x="329"/>
        <item x="930"/>
        <item x="32"/>
        <item x="251"/>
        <item x="1364"/>
        <item x="295"/>
        <item x="474"/>
        <item x="330"/>
        <item x="1313"/>
        <item x="1282"/>
        <item x="1167"/>
        <item x="669"/>
        <item x="208"/>
        <item x="543"/>
        <item x="737"/>
        <item x="1105"/>
        <item x="521"/>
        <item x="613"/>
        <item x="212"/>
        <item x="176"/>
        <item x="1008"/>
        <item x="1080"/>
        <item x="1087"/>
        <item x="476"/>
        <item x="180"/>
        <item x="844"/>
        <item x="258"/>
        <item x="667"/>
        <item x="1104"/>
        <item x="622"/>
        <item x="419"/>
        <item x="407"/>
        <item x="118"/>
        <item x="661"/>
        <item x="1096"/>
        <item x="182"/>
        <item x="551"/>
        <item x="1341"/>
        <item x="20"/>
        <item x="784"/>
        <item x="157"/>
        <item x="200"/>
        <item x="71"/>
        <item x="1062"/>
        <item x="685"/>
        <item x="424"/>
        <item x="762"/>
        <item x="1041"/>
        <item x="531"/>
        <item x="105"/>
        <item x="715"/>
        <item x="249"/>
        <item x="686"/>
        <item x="595"/>
        <item x="850"/>
        <item x="519"/>
        <item x="643"/>
        <item x="389"/>
        <item x="511"/>
        <item x="1116"/>
        <item x="395"/>
        <item x="3"/>
        <item x="713"/>
        <item x="196"/>
        <item x="194"/>
        <item x="1199"/>
        <item x="1115"/>
        <item x="92"/>
        <item x="63"/>
        <item x="479"/>
        <item x="1086"/>
        <item x="725"/>
        <item x="1060"/>
        <item x="676"/>
        <item x="797"/>
        <item x="1095"/>
        <item x="701"/>
        <item x="1112"/>
        <item x="97"/>
        <item x="652"/>
        <item x="1014"/>
        <item x="370"/>
        <item x="534"/>
        <item x="1153"/>
        <item x="1202"/>
        <item x="801"/>
        <item x="562"/>
        <item x="710"/>
        <item x="1374"/>
        <item x="1017"/>
        <item x="739"/>
        <item x="481"/>
        <item x="559"/>
        <item x="1005"/>
        <item x="1332"/>
        <item x="749"/>
        <item x="229"/>
        <item x="1275"/>
        <item x="747"/>
        <item x="962"/>
        <item x="362"/>
        <item x="1022"/>
        <item x="28"/>
        <item x="1403"/>
        <item x="984"/>
        <item x="215"/>
        <item x="1299"/>
        <item x="1147"/>
        <item x="594"/>
        <item x="761"/>
        <item x="290"/>
        <item x="989"/>
        <item x="302"/>
        <item x="877"/>
        <item x="30"/>
        <item x="556"/>
        <item x="696"/>
        <item x="1099"/>
        <item x="363"/>
        <item x="440"/>
        <item x="473"/>
        <item x="586"/>
        <item x="455"/>
        <item x="353"/>
        <item x="311"/>
        <item x="1399"/>
        <item x="800"/>
        <item x="51"/>
        <item x="947"/>
        <item x="612"/>
        <item x="1078"/>
        <item x="808"/>
        <item x="412"/>
        <item x="1203"/>
        <item x="141"/>
        <item x="884"/>
        <item x="168"/>
        <item x="143"/>
        <item x="334"/>
        <item x="876"/>
        <item x="314"/>
        <item x="660"/>
        <item x="606"/>
        <item x="748"/>
        <item x="679"/>
        <item x="409"/>
        <item x="1180"/>
        <item x="91"/>
        <item x="446"/>
        <item x="1109"/>
        <item x="114"/>
        <item x="638"/>
        <item x="1000"/>
        <item x="675"/>
        <item x="95"/>
        <item x="235"/>
        <item x="1277"/>
        <item x="698"/>
        <item x="1134"/>
        <item x="170"/>
        <item x="1090"/>
        <item x="263"/>
        <item x="546"/>
        <item x="354"/>
        <item x="175"/>
        <item x="317"/>
        <item x="957"/>
        <item x="136"/>
        <item x="104"/>
        <item x="1419"/>
        <item x="1120"/>
        <item x="916"/>
        <item x="1355"/>
        <item x="496"/>
        <item x="538"/>
        <item x="1054"/>
        <item x="298"/>
        <item x="1323"/>
        <item x="1155"/>
        <item x="1193"/>
        <item x="815"/>
        <item x="1164"/>
        <item x="1366"/>
        <item x="524"/>
        <item x="433"/>
        <item x="548"/>
        <item x="11"/>
        <item x="636"/>
        <item x="864"/>
        <item x="537"/>
        <item x="332"/>
        <item x="418"/>
        <item x="77"/>
        <item x="35"/>
        <item x="1260"/>
        <item x="892"/>
        <item x="742"/>
        <item x="1342"/>
        <item x="1394"/>
        <item x="410"/>
        <item x="745"/>
        <item x="241"/>
        <item x="1025"/>
        <item x="8"/>
        <item x="257"/>
        <item x="1021"/>
        <item x="678"/>
        <item x="1407"/>
        <item x="193"/>
        <item x="149"/>
        <item x="666"/>
        <item x="1370"/>
        <item x="361"/>
        <item x="399"/>
        <item x="863"/>
        <item x="1128"/>
        <item x="729"/>
        <item x="832"/>
        <item x="525"/>
        <item x="470"/>
        <item x="293"/>
        <item x="874"/>
        <item x="283"/>
        <item x="306"/>
        <item x="408"/>
        <item x="5"/>
        <item x="621"/>
        <item x="1049"/>
        <item x="967"/>
        <item x="159"/>
        <item x="683"/>
        <item x="972"/>
        <item x="1221"/>
        <item x="899"/>
        <item x="171"/>
        <item x="60"/>
        <item x="1160"/>
        <item x="1292"/>
        <item x="922"/>
        <item x="1156"/>
        <item x="602"/>
        <item x="78"/>
        <item x="213"/>
        <item x="518"/>
        <item x="488"/>
        <item x="1216"/>
        <item x="19"/>
        <item x="281"/>
        <item x="991"/>
        <item x="1359"/>
        <item x="1010"/>
        <item x="1367"/>
        <item x="160"/>
        <item x="1121"/>
        <item x="209"/>
        <item x="1409"/>
        <item x="664"/>
        <item x="517"/>
        <item x="925"/>
        <item x="437"/>
        <item x="1243"/>
        <item x="904"/>
        <item x="493"/>
        <item x="1283"/>
        <item x="326"/>
        <item x="1201"/>
        <item x="154"/>
        <item x="1135"/>
        <item x="526"/>
        <item x="444"/>
        <item x="1190"/>
        <item x="597"/>
        <item x="994"/>
        <item x="1169"/>
        <item x="823"/>
        <item x="40"/>
        <item x="1123"/>
        <item x="829"/>
        <item x="427"/>
        <item x="221"/>
        <item x="614"/>
        <item x="640"/>
        <item x="1093"/>
        <item x="700"/>
        <item x="49"/>
        <item x="414"/>
        <item x="1255"/>
        <item x="1311"/>
        <item x="1379"/>
        <item x="680"/>
        <item x="259"/>
        <item x="769"/>
        <item x="1036"/>
        <item x="826"/>
        <item x="920"/>
        <item x="655"/>
        <item x="126"/>
        <item x="1381"/>
        <item x="1213"/>
        <item x="568"/>
        <item x="837"/>
        <item x="1325"/>
        <item x="44"/>
        <item x="1150"/>
        <item x="321"/>
        <item x="572"/>
        <item x="107"/>
        <item x="1119"/>
        <item x="1177"/>
        <item x="94"/>
        <item x="1207"/>
        <item x="310"/>
        <item x="1328"/>
        <item x="782"/>
        <item x="516"/>
        <item x="965"/>
        <item x="1353"/>
        <item x="944"/>
        <item x="1249"/>
        <item x="499"/>
        <item x="1259"/>
        <item x="1372"/>
        <item x="328"/>
        <item x="1103"/>
        <item x="356"/>
        <item x="1321"/>
        <item x="1343"/>
        <item x="1212"/>
        <item x="658"/>
        <item x="1393"/>
        <item x="296"/>
        <item x="244"/>
        <item x="358"/>
        <item x="738"/>
        <item x="494"/>
        <item x="191"/>
        <item x="340"/>
        <item x="1206"/>
        <item x="81"/>
        <item x="731"/>
        <item x="303"/>
        <item x="115"/>
        <item x="214"/>
        <item x="1303"/>
        <item x="1361"/>
        <item x="164"/>
        <item x="746"/>
        <item x="924"/>
        <item x="201"/>
        <item x="207"/>
        <item x="1349"/>
        <item x="1274"/>
        <item x="754"/>
        <item x="581"/>
        <item x="172"/>
        <item x="128"/>
        <item x="431"/>
        <item x="190"/>
        <item x="934"/>
        <item x="969"/>
        <item x="1322"/>
        <item x="186"/>
        <item x="39"/>
        <item x="1047"/>
        <item x="1091"/>
        <item x="507"/>
        <item x="609"/>
        <item x="173"/>
        <item x="644"/>
        <item x="69"/>
        <item x="1007"/>
        <item x="1258"/>
        <item x="955"/>
        <item x="379"/>
        <item x="910"/>
        <item x="868"/>
        <item x="1107"/>
        <item x="439"/>
        <item x="789"/>
        <item x="1405"/>
        <item x="144"/>
        <item x="705"/>
        <item x="933"/>
        <item x="995"/>
        <item x="100"/>
        <item x="1039"/>
        <item x="1270"/>
        <item x="1083"/>
        <item x="570"/>
        <item x="1045"/>
        <item x="264"/>
        <item x="21"/>
        <item x="684"/>
        <item x="958"/>
        <item x="775"/>
        <item x="1417"/>
        <item x="183"/>
        <item x="179"/>
        <item x="1082"/>
        <item x="820"/>
        <item x="1053"/>
        <item x="453"/>
        <item x="616"/>
        <item x="1200"/>
        <item x="1013"/>
        <item x="1084"/>
        <item x="858"/>
        <item x="1352"/>
        <item x="22"/>
        <item x="835"/>
        <item x="1380"/>
        <item x="1286"/>
        <item x="505"/>
        <item x="286"/>
        <item x="42"/>
        <item x="873"/>
        <item x="791"/>
        <item x="1018"/>
        <item x="38"/>
        <item x="1371"/>
        <item x="349"/>
        <item x="1163"/>
        <item x="1142"/>
        <item x="506"/>
        <item x="401"/>
        <item x="1151"/>
        <item x="383"/>
        <item x="1246"/>
        <item x="428"/>
        <item x="911"/>
        <item x="1285"/>
        <item x="875"/>
        <item x="404"/>
        <item x="192"/>
        <item x="1240"/>
        <item x="142"/>
        <item x="1304"/>
        <item x="968"/>
        <item x="718"/>
        <item x="794"/>
        <item x="445"/>
        <item x="1308"/>
        <item x="1085"/>
        <item x="795"/>
        <item x="1037"/>
        <item x="480"/>
        <item x="199"/>
        <item x="140"/>
        <item x="1174"/>
        <item x="1398"/>
        <item x="300"/>
        <item x="726"/>
        <item x="1143"/>
        <item x="945"/>
        <item x="988"/>
        <item x="123"/>
        <item x="905"/>
        <item x="471"/>
        <item x="31"/>
        <item x="549"/>
        <item x="821"/>
        <item x="16"/>
        <item x="855"/>
        <item x="373"/>
        <item x="707"/>
        <item x="120"/>
        <item x="452"/>
        <item x="366"/>
        <item x="584"/>
        <item x="27"/>
        <item x="25"/>
        <item x="309"/>
        <item x="463"/>
        <item x="605"/>
        <item x="1412"/>
        <item x="110"/>
        <item x="860"/>
        <item x="1227"/>
        <item x="891"/>
        <item x="651"/>
        <item x="202"/>
        <item x="1048"/>
        <item x="663"/>
        <item x="1100"/>
        <item x="1309"/>
        <item x="288"/>
        <item x="708"/>
        <item x="838"/>
        <item x="1362"/>
        <item x="1288"/>
        <item x="909"/>
        <item x="501"/>
        <item x="592"/>
        <item x="291"/>
        <item x="133"/>
        <item x="1064"/>
        <item x="527"/>
        <item x="805"/>
        <item x="103"/>
        <item x="983"/>
        <item x="36"/>
        <item x="1130"/>
        <item x="12"/>
        <item x="588"/>
        <item x="1340"/>
        <item x="907"/>
        <item x="1324"/>
        <item x="282"/>
        <item x="509"/>
        <item x="728"/>
        <item x="1385"/>
        <item x="948"/>
        <item x="1319"/>
        <item x="1268"/>
        <item x="778"/>
        <item x="1388"/>
        <item x="1117"/>
        <item x="1401"/>
        <item x="13"/>
        <item x="845"/>
        <item x="583"/>
        <item x="121"/>
        <item x="1191"/>
        <item x="459"/>
        <item x="1408"/>
        <item x="1347"/>
        <item x="547"/>
        <item x="1069"/>
        <item x="690"/>
        <item x="217"/>
        <item x="504"/>
        <item x="803"/>
        <item x="917"/>
        <item x="198"/>
        <item x="61"/>
        <item x="555"/>
        <item x="1396"/>
        <item x="1280"/>
        <item x="792"/>
        <item x="816"/>
        <item x="704"/>
        <item x="48"/>
        <item x="398"/>
        <item x="1248"/>
        <item x="1302"/>
        <item x="285"/>
        <item x="512"/>
        <item x="1327"/>
        <item x="253"/>
        <item x="1170"/>
        <item x="978"/>
        <item x="1219"/>
        <item x="1410"/>
        <item x="137"/>
        <item x="912"/>
        <item x="124"/>
        <item x="1158"/>
        <item x="1058"/>
        <item x="1306"/>
        <item x="591"/>
        <item x="225"/>
        <item x="266"/>
        <item x="489"/>
        <item x="1217"/>
        <item x="87"/>
        <item x="1073"/>
        <item x="246"/>
        <item x="628"/>
        <item x="1413"/>
        <item x="862"/>
        <item x="976"/>
        <item x="181"/>
        <item x="72"/>
        <item x="189"/>
        <item x="885"/>
        <item x="818"/>
        <item x="485"/>
        <item x="565"/>
        <item x="699"/>
        <item x="513"/>
        <item x="1027"/>
        <item x="1124"/>
        <item x="949"/>
        <item x="1139"/>
        <item x="402"/>
        <item x="197"/>
        <item x="814"/>
        <item x="272"/>
        <item x="580"/>
        <item x="758"/>
        <item x="879"/>
        <item x="671"/>
        <item x="730"/>
        <item x="1094"/>
        <item x="222"/>
        <item x="1305"/>
        <item x="1186"/>
        <item x="903"/>
        <item x="1376"/>
        <item x="1290"/>
        <item x="770"/>
        <item x="788"/>
        <item x="380"/>
        <item x="1231"/>
        <item x="857"/>
        <item x="1159"/>
        <item x="1154"/>
        <item x="611"/>
        <item x="1358"/>
        <item x="1230"/>
        <item x="785"/>
        <item x="117"/>
        <item x="596"/>
        <item x="1106"/>
        <item x="1316"/>
        <item x="787"/>
        <item x="475"/>
        <item x="870"/>
        <item x="218"/>
        <item x="852"/>
        <item x="953"/>
        <item x="1220"/>
        <item x="478"/>
        <item x="1023"/>
        <item x="1296"/>
        <item x="1126"/>
        <item x="1034"/>
        <item x="422"/>
        <item x="656"/>
        <item x="781"/>
        <item x="709"/>
        <item x="740"/>
        <item x="833"/>
        <item x="1210"/>
        <item x="1129"/>
        <item x="279"/>
        <item x="790"/>
        <item x="1089"/>
        <item x="451"/>
        <item x="959"/>
        <item x="1241"/>
        <item x="434"/>
        <item x="514"/>
        <item x="692"/>
        <item x="1252"/>
        <item x="1330"/>
        <item x="375"/>
        <item x="305"/>
        <item x="113"/>
        <item x="777"/>
        <item x="230"/>
        <item x="261"/>
        <item x="670"/>
        <item x="1205"/>
        <item x="1176"/>
        <item x="1300"/>
        <item x="275"/>
        <item x="828"/>
        <item x="966"/>
        <item x="1256"/>
        <item x="840"/>
        <item x="1152"/>
        <item x="765"/>
        <item x="1326"/>
        <item x="575"/>
        <item x="391"/>
        <item x="132"/>
        <item x="732"/>
        <item x="224"/>
        <item x="344"/>
        <item x="184"/>
        <item x="843"/>
        <item x="618"/>
        <item x="228"/>
        <item x="112"/>
        <item x="304"/>
        <item x="294"/>
        <item x="752"/>
        <item x="487"/>
        <item x="1318"/>
        <item x="70"/>
        <item x="783"/>
        <item x="841"/>
        <item x="1074"/>
        <item x="971"/>
        <item x="631"/>
        <item x="757"/>
        <item x="578"/>
        <item x="223"/>
        <item x="343"/>
        <item x="500"/>
        <item x="52"/>
        <item x="58"/>
        <item x="750"/>
        <item x="119"/>
        <item x="335"/>
        <item x="919"/>
        <item x="400"/>
        <item x="1165"/>
        <item x="1131"/>
        <item x="96"/>
        <item x="1287"/>
        <item x="937"/>
        <item x="1136"/>
        <item x="929"/>
        <item x="55"/>
        <item x="423"/>
        <item x="456"/>
        <item x="733"/>
        <item x="1402"/>
        <item x="1269"/>
        <item x="923"/>
        <item x="662"/>
        <item x="582"/>
        <item x="268"/>
        <item x="1354"/>
        <item x="50"/>
        <item x="1284"/>
        <item x="533"/>
        <item x="394"/>
        <item x="273"/>
        <item x="226"/>
        <item x="942"/>
        <item x="560"/>
        <item x="771"/>
        <item x="1375"/>
        <item x="1377"/>
        <item x="64"/>
        <item x="73"/>
        <item x="131"/>
        <item x="804"/>
        <item x="88"/>
        <item x="540"/>
        <item x="598"/>
        <item x="85"/>
        <item x="1264"/>
        <item x="1390"/>
        <item x="689"/>
        <item x="1002"/>
        <item x="996"/>
        <item x="802"/>
        <item x="1315"/>
        <item x="954"/>
        <item x="1071"/>
        <item x="654"/>
        <item x="331"/>
        <item x="1404"/>
        <item x="839"/>
        <item x="135"/>
        <item x="102"/>
        <item x="1265"/>
        <item x="372"/>
        <item x="1070"/>
        <item x="41"/>
        <item x="932"/>
        <item x="1251"/>
        <item x="571"/>
        <item x="1236"/>
        <item x="1006"/>
        <item x="1051"/>
        <item x="619"/>
        <item x="1291"/>
        <item x="93"/>
        <item x="1063"/>
        <item x="935"/>
        <item x="846"/>
        <item x="681"/>
        <item x="734"/>
        <item x="322"/>
        <item x="98"/>
        <item x="308"/>
        <item x="1271"/>
        <item x="472"/>
        <item x="1415"/>
        <item x="7"/>
        <item x="1267"/>
        <item x="1338"/>
        <item x="1132"/>
        <item x="1345"/>
        <item x="633"/>
        <item x="490"/>
        <item x="812"/>
        <item x="1035"/>
        <item x="1233"/>
        <item x="890"/>
        <item x="579"/>
        <item x="270"/>
        <item x="647"/>
        <item x="299"/>
        <item x="1232"/>
        <item x="130"/>
        <item x="1348"/>
        <item x="54"/>
        <item x="220"/>
        <item x="9"/>
        <item x="376"/>
        <item x="345"/>
        <item x="174"/>
        <item x="672"/>
        <item x="834"/>
        <item x="871"/>
        <item x="600"/>
        <item x="1414"/>
        <item x="447"/>
        <item x="985"/>
        <item x="1067"/>
        <item x="83"/>
        <item x="567"/>
        <item x="47"/>
        <item x="297"/>
        <item x="65"/>
        <item x="1157"/>
        <item x="694"/>
        <item x="1368"/>
        <item x="714"/>
        <item x="381"/>
        <item x="1168"/>
        <item x="866"/>
        <item x="1114"/>
        <item x="1320"/>
        <item x="56"/>
        <item x="626"/>
        <item x="998"/>
        <item x="1042"/>
        <item x="138"/>
        <item x="346"/>
        <item x="278"/>
        <item x="1188"/>
        <item x="786"/>
        <item x="1031"/>
        <item x="233"/>
        <item x="421"/>
        <item x="1068"/>
        <item x="1181"/>
        <item x="14"/>
        <item x="585"/>
        <item x="1373"/>
        <item x="10"/>
        <item x="1172"/>
        <item x="417"/>
        <item x="148"/>
        <item x="243"/>
        <item x="913"/>
        <item x="687"/>
        <item x="17"/>
        <item x="45"/>
        <item x="169"/>
        <item x="150"/>
        <item x="1178"/>
        <item x="216"/>
        <item x="599"/>
        <item x="1144"/>
        <item x="316"/>
        <item x="333"/>
        <item x="763"/>
        <item x="854"/>
        <item x="510"/>
        <item x="1111"/>
        <item x="153"/>
        <item x="1040"/>
        <item x="75"/>
        <item x="442"/>
        <item x="429"/>
        <item x="627"/>
        <item x="642"/>
        <item x="865"/>
        <item x="99"/>
        <item x="1351"/>
        <item x="145"/>
        <item x="1395"/>
        <item x="630"/>
        <item x="566"/>
        <item x="1059"/>
        <item x="1097"/>
        <item x="405"/>
        <item x="856"/>
        <item x="1148"/>
        <item x="327"/>
        <item x="1215"/>
        <item x="1273"/>
        <item x="773"/>
        <item x="495"/>
        <item x="318"/>
        <item x="682"/>
        <item x="1194"/>
        <item x="178"/>
        <item x="1026"/>
        <item x="432"/>
        <item x="952"/>
        <item x="239"/>
        <item x="1009"/>
        <item x="320"/>
        <item x="1254"/>
        <item x="1312"/>
        <item x="545"/>
        <item x="1004"/>
        <item x="603"/>
        <item x="711"/>
        <item x="722"/>
        <item x="360"/>
        <item x="1307"/>
        <item x="1234"/>
        <item x="861"/>
        <item x="420"/>
        <item x="1061"/>
        <item x="793"/>
        <item x="1214"/>
        <item x="1092"/>
        <item x="482"/>
        <item x="624"/>
        <item x="893"/>
        <item x="1076"/>
        <item x="387"/>
        <item x="187"/>
        <item x="29"/>
        <item x="1317"/>
        <item x="550"/>
        <item x="886"/>
        <item x="831"/>
        <item x="634"/>
        <item x="536"/>
        <item x="751"/>
        <item x="1133"/>
        <item x="469"/>
        <item x="415"/>
        <item x="101"/>
        <item x="127"/>
        <item x="203"/>
        <item x="970"/>
        <item x="1238"/>
        <item x="1033"/>
        <item x="530"/>
        <item x="1179"/>
        <item x="37"/>
        <item x="23"/>
        <item x="776"/>
        <item x="1276"/>
        <item x="1075"/>
        <item x="205"/>
        <item x="1197"/>
        <item x="635"/>
        <item x="237"/>
        <item x="166"/>
        <item x="900"/>
        <item x="1310"/>
        <item x="986"/>
        <item x="167"/>
        <item x="1297"/>
        <item x="486"/>
        <item x="939"/>
        <item x="86"/>
        <item x="1244"/>
        <item x="1127"/>
        <item x="1173"/>
        <item x="1161"/>
        <item x="847"/>
        <item x="1391"/>
        <item x="210"/>
        <item x="348"/>
        <item x="1001"/>
        <item x="997"/>
        <item x="1418"/>
        <item x="756"/>
        <item x="528"/>
        <item x="851"/>
        <item x="743"/>
        <item x="830"/>
        <item x="1011"/>
        <item x="673"/>
        <item x="1012"/>
        <item x="927"/>
        <item x="982"/>
        <item x="1057"/>
        <item x="973"/>
        <item x="382"/>
        <item x="779"/>
        <item x="337"/>
        <item x="979"/>
        <item x="79"/>
        <item x="1192"/>
        <item x="238"/>
        <item x="367"/>
        <item x="1382"/>
        <item x="1195"/>
        <item x="89"/>
        <item x="267"/>
        <item x="450"/>
        <item x="928"/>
        <item x="764"/>
        <item x="227"/>
        <item x="1400"/>
        <item x="1079"/>
        <item x="1228"/>
        <item x="1072"/>
        <item x="1333"/>
        <item x="426"/>
        <item x="887"/>
        <item x="601"/>
        <item x="561"/>
        <item x="961"/>
        <item x="1055"/>
        <item x="1293"/>
        <item x="256"/>
        <item x="324"/>
        <item x="289"/>
        <item x="152"/>
        <item x="250"/>
        <item x="1101"/>
        <item x="341"/>
        <item x="1294"/>
        <item x="1335"/>
        <item x="532"/>
        <item x="1378"/>
        <item x="1261"/>
        <item x="443"/>
        <item x="552"/>
        <item x="960"/>
        <item x="665"/>
        <item x="460"/>
        <item x="772"/>
        <item x="269"/>
        <item x="760"/>
        <item x="980"/>
        <item x="931"/>
        <item x="1056"/>
        <item x="66"/>
        <item x="134"/>
        <item x="720"/>
        <item x="386"/>
        <item x="1247"/>
        <item x="125"/>
        <item t="default"/>
      </items>
    </pivotField>
    <pivotField axis="axisRow" numFmtId="14" showAll="0">
      <items count="562">
        <item x="149"/>
        <item x="222"/>
        <item x="358"/>
        <item x="511"/>
        <item x="60"/>
        <item x="144"/>
        <item x="354"/>
        <item x="345"/>
        <item x="312"/>
        <item x="376"/>
        <item x="193"/>
        <item x="558"/>
        <item x="540"/>
        <item x="451"/>
        <item x="498"/>
        <item x="552"/>
        <item x="270"/>
        <item x="258"/>
        <item x="431"/>
        <item x="307"/>
        <item x="180"/>
        <item x="430"/>
        <item x="259"/>
        <item x="386"/>
        <item x="512"/>
        <item x="315"/>
        <item x="549"/>
        <item x="108"/>
        <item x="526"/>
        <item x="286"/>
        <item x="433"/>
        <item x="18"/>
        <item x="257"/>
        <item x="318"/>
        <item x="432"/>
        <item x="138"/>
        <item x="378"/>
        <item x="241"/>
        <item x="420"/>
        <item x="488"/>
        <item x="476"/>
        <item x="359"/>
        <item x="513"/>
        <item x="548"/>
        <item x="405"/>
        <item x="309"/>
        <item x="327"/>
        <item x="499"/>
        <item x="545"/>
        <item x="313"/>
        <item x="404"/>
        <item x="448"/>
        <item x="55"/>
        <item x="469"/>
        <item x="484"/>
        <item x="507"/>
        <item x="160"/>
        <item x="530"/>
        <item x="284"/>
        <item x="348"/>
        <item x="196"/>
        <item x="410"/>
        <item x="161"/>
        <item x="441"/>
        <item x="465"/>
        <item x="232"/>
        <item x="551"/>
        <item x="398"/>
        <item x="452"/>
        <item x="247"/>
        <item x="528"/>
        <item x="5"/>
        <item x="400"/>
        <item x="36"/>
        <item x="248"/>
        <item x="438"/>
        <item x="164"/>
        <item x="295"/>
        <item x="407"/>
        <item x="282"/>
        <item x="509"/>
        <item x="534"/>
        <item x="472"/>
        <item x="519"/>
        <item x="288"/>
        <item x="453"/>
        <item x="183"/>
        <item x="194"/>
        <item x="263"/>
        <item x="489"/>
        <item x="560"/>
        <item x="514"/>
        <item x="416"/>
        <item x="391"/>
        <item x="500"/>
        <item x="490"/>
        <item x="351"/>
        <item x="464"/>
        <item x="251"/>
        <item x="535"/>
        <item x="24"/>
        <item x="457"/>
        <item x="437"/>
        <item x="522"/>
        <item x="85"/>
        <item x="463"/>
        <item x="442"/>
        <item x="460"/>
        <item x="501"/>
        <item x="531"/>
        <item x="435"/>
        <item x="214"/>
        <item x="330"/>
        <item x="557"/>
        <item x="382"/>
        <item x="466"/>
        <item x="65"/>
        <item x="541"/>
        <item x="370"/>
        <item x="543"/>
        <item x="165"/>
        <item x="360"/>
        <item x="372"/>
        <item x="104"/>
        <item x="39"/>
        <item x="136"/>
        <item x="188"/>
        <item x="483"/>
        <item x="553"/>
        <item x="314"/>
        <item x="49"/>
        <item x="429"/>
        <item x="470"/>
        <item x="397"/>
        <item x="264"/>
        <item x="390"/>
        <item x="467"/>
        <item x="399"/>
        <item x="539"/>
        <item x="114"/>
        <item x="302"/>
        <item x="505"/>
        <item x="491"/>
        <item x="6"/>
        <item x="546"/>
        <item x="23"/>
        <item x="352"/>
        <item x="449"/>
        <item x="492"/>
        <item x="80"/>
        <item x="12"/>
        <item x="538"/>
        <item x="317"/>
        <item x="443"/>
        <item x="89"/>
        <item x="278"/>
        <item x="529"/>
        <item x="425"/>
        <item x="377"/>
        <item x="455"/>
        <item x="418"/>
        <item x="190"/>
        <item x="396"/>
        <item x="439"/>
        <item x="15"/>
        <item x="481"/>
        <item x="381"/>
        <item x="262"/>
        <item x="536"/>
        <item x="163"/>
        <item x="172"/>
        <item x="517"/>
        <item x="127"/>
        <item x="393"/>
        <item x="46"/>
        <item x="475"/>
        <item x="494"/>
        <item x="414"/>
        <item x="537"/>
        <item x="238"/>
        <item x="515"/>
        <item x="518"/>
        <item x="556"/>
        <item x="70"/>
        <item x="249"/>
        <item x="412"/>
        <item x="277"/>
        <item x="495"/>
        <item x="145"/>
        <item x="383"/>
        <item x="147"/>
        <item x="185"/>
        <item x="243"/>
        <item x="508"/>
        <item x="244"/>
        <item x="218"/>
        <item x="353"/>
        <item x="261"/>
        <item x="367"/>
        <item x="554"/>
        <item x="329"/>
        <item x="131"/>
        <item x="342"/>
        <item x="447"/>
        <item x="175"/>
        <item x="215"/>
        <item x="415"/>
        <item x="336"/>
        <item x="281"/>
        <item x="503"/>
        <item x="361"/>
        <item x="177"/>
        <item x="221"/>
        <item x="187"/>
        <item x="332"/>
        <item x="113"/>
        <item x="82"/>
        <item x="118"/>
        <item x="486"/>
        <item x="326"/>
        <item x="233"/>
        <item x="297"/>
        <item x="88"/>
        <item x="42"/>
        <item x="246"/>
        <item x="319"/>
        <item x="369"/>
        <item x="402"/>
        <item x="324"/>
        <item x="384"/>
        <item x="168"/>
        <item x="9"/>
        <item x="450"/>
        <item x="525"/>
        <item x="504"/>
        <item x="273"/>
        <item x="116"/>
        <item x="347"/>
        <item x="230"/>
        <item x="544"/>
        <item x="474"/>
        <item x="471"/>
        <item x="497"/>
        <item x="292"/>
        <item x="229"/>
        <item x="166"/>
        <item x="496"/>
        <item x="493"/>
        <item x="64"/>
        <item x="444"/>
        <item x="150"/>
        <item x="202"/>
        <item x="30"/>
        <item x="485"/>
        <item x="219"/>
        <item x="427"/>
        <item x="268"/>
        <item x="308"/>
        <item x="428"/>
        <item x="419"/>
        <item x="52"/>
        <item x="10"/>
        <item x="477"/>
        <item x="167"/>
        <item x="321"/>
        <item x="272"/>
        <item x="189"/>
        <item x="335"/>
        <item x="133"/>
        <item x="506"/>
        <item x="285"/>
        <item x="110"/>
        <item x="334"/>
        <item x="236"/>
        <item x="107"/>
        <item x="94"/>
        <item x="446"/>
        <item x="423"/>
        <item x="362"/>
        <item x="217"/>
        <item x="99"/>
        <item x="283"/>
        <item x="252"/>
        <item x="169"/>
        <item x="550"/>
        <item x="234"/>
        <item x="33"/>
        <item x="95"/>
        <item x="542"/>
        <item x="274"/>
        <item x="143"/>
        <item x="458"/>
        <item x="13"/>
        <item x="84"/>
        <item x="516"/>
        <item x="11"/>
        <item x="158"/>
        <item x="87"/>
        <item x="524"/>
        <item x="134"/>
        <item x="225"/>
        <item x="340"/>
        <item x="157"/>
        <item x="97"/>
        <item x="555"/>
        <item x="44"/>
        <item x="90"/>
        <item x="170"/>
        <item x="100"/>
        <item x="59"/>
        <item x="276"/>
        <item x="103"/>
        <item x="125"/>
        <item x="21"/>
        <item x="328"/>
        <item x="26"/>
        <item x="363"/>
        <item x="373"/>
        <item x="154"/>
        <item x="468"/>
        <item x="379"/>
        <item x="198"/>
        <item x="445"/>
        <item x="409"/>
        <item x="212"/>
        <item x="105"/>
        <item x="462"/>
        <item x="371"/>
        <item x="132"/>
        <item x="408"/>
        <item x="184"/>
        <item x="298"/>
        <item x="146"/>
        <item x="61"/>
        <item x="129"/>
        <item x="395"/>
        <item x="92"/>
        <item x="210"/>
        <item x="375"/>
        <item x="520"/>
        <item x="287"/>
        <item x="191"/>
        <item x="148"/>
        <item x="316"/>
        <item x="98"/>
        <item x="72"/>
        <item x="387"/>
        <item x="487"/>
        <item x="461"/>
        <item x="527"/>
        <item x="4"/>
        <item x="192"/>
        <item x="41"/>
        <item x="54"/>
        <item x="173"/>
        <item x="213"/>
        <item x="482"/>
        <item x="331"/>
        <item x="267"/>
        <item x="66"/>
        <item x="81"/>
        <item x="350"/>
        <item x="2"/>
        <item x="209"/>
        <item x="62"/>
        <item x="300"/>
        <item x="290"/>
        <item x="51"/>
        <item x="311"/>
        <item x="106"/>
        <item x="122"/>
        <item x="296"/>
        <item x="294"/>
        <item x="394"/>
        <item x="124"/>
        <item x="47"/>
        <item x="226"/>
        <item x="473"/>
        <item x="63"/>
        <item x="171"/>
        <item x="422"/>
        <item x="207"/>
        <item x="216"/>
        <item x="93"/>
        <item x="260"/>
        <item x="20"/>
        <item x="368"/>
        <item x="130"/>
        <item x="117"/>
        <item x="349"/>
        <item x="338"/>
        <item x="19"/>
        <item x="401"/>
        <item x="121"/>
        <item x="346"/>
        <item x="151"/>
        <item x="203"/>
        <item x="174"/>
        <item x="322"/>
        <item x="365"/>
        <item x="337"/>
        <item x="31"/>
        <item x="459"/>
        <item x="38"/>
        <item x="53"/>
        <item x="153"/>
        <item x="240"/>
        <item x="208"/>
        <item x="201"/>
        <item x="75"/>
        <item x="16"/>
        <item x="256"/>
        <item x="357"/>
        <item x="58"/>
        <item x="523"/>
        <item x="547"/>
        <item x="310"/>
        <item x="0"/>
        <item x="413"/>
        <item x="533"/>
        <item x="76"/>
        <item x="91"/>
        <item x="67"/>
        <item x="305"/>
        <item x="356"/>
        <item x="27"/>
        <item x="454"/>
        <item x="253"/>
        <item x="235"/>
        <item x="355"/>
        <item x="155"/>
        <item x="299"/>
        <item x="479"/>
        <item x="344"/>
        <item x="56"/>
        <item x="434"/>
        <item x="266"/>
        <item x="14"/>
        <item x="421"/>
        <item x="135"/>
        <item x="223"/>
        <item x="123"/>
        <item x="159"/>
        <item x="156"/>
        <item x="176"/>
        <item x="137"/>
        <item x="224"/>
        <item x="291"/>
        <item x="111"/>
        <item x="126"/>
        <item x="71"/>
        <item x="152"/>
        <item x="306"/>
        <item x="112"/>
        <item x="29"/>
        <item x="50"/>
        <item x="424"/>
        <item x="181"/>
        <item x="403"/>
        <item x="380"/>
        <item x="206"/>
        <item x="28"/>
        <item x="456"/>
        <item x="502"/>
        <item x="68"/>
        <item x="239"/>
        <item x="120"/>
        <item x="141"/>
        <item x="532"/>
        <item x="411"/>
        <item x="186"/>
        <item x="86"/>
        <item x="200"/>
        <item x="139"/>
        <item x="35"/>
        <item x="265"/>
        <item x="385"/>
        <item x="237"/>
        <item x="280"/>
        <item x="77"/>
        <item x="73"/>
        <item x="303"/>
        <item x="275"/>
        <item x="79"/>
        <item x="255"/>
        <item x="510"/>
        <item x="57"/>
        <item x="406"/>
        <item x="521"/>
        <item x="195"/>
        <item x="205"/>
        <item x="289"/>
        <item x="78"/>
        <item x="293"/>
        <item x="364"/>
        <item x="480"/>
        <item x="269"/>
        <item x="341"/>
        <item x="25"/>
        <item x="417"/>
        <item x="388"/>
        <item x="440"/>
        <item x="250"/>
        <item x="343"/>
        <item x="128"/>
        <item x="8"/>
        <item x="182"/>
        <item x="392"/>
        <item x="304"/>
        <item x="325"/>
        <item x="179"/>
        <item x="366"/>
        <item x="231"/>
        <item x="339"/>
        <item x="197"/>
        <item x="436"/>
        <item x="204"/>
        <item x="142"/>
        <item x="211"/>
        <item x="69"/>
        <item x="32"/>
        <item x="271"/>
        <item x="323"/>
        <item x="228"/>
        <item x="109"/>
        <item x="254"/>
        <item x="3"/>
        <item x="245"/>
        <item x="227"/>
        <item x="115"/>
        <item x="301"/>
        <item x="279"/>
        <item x="140"/>
        <item x="101"/>
        <item x="74"/>
        <item x="83"/>
        <item x="45"/>
        <item x="162"/>
        <item x="48"/>
        <item x="199"/>
        <item x="320"/>
        <item x="220"/>
        <item x="374"/>
        <item x="178"/>
        <item x="102"/>
        <item x="478"/>
        <item x="34"/>
        <item x="119"/>
        <item x="389"/>
        <item x="40"/>
        <item x="333"/>
        <item x="22"/>
        <item x="43"/>
        <item x="1"/>
        <item x="426"/>
        <item x="96"/>
        <item x="17"/>
        <item x="559"/>
        <item x="7"/>
        <item x="37"/>
        <item x="242"/>
        <item t="default"/>
      </items>
    </pivotField>
    <pivotField showAll="0">
      <items count="7">
        <item x="1"/>
        <item x="3"/>
        <item x="0"/>
        <item x="4"/>
        <item x="2"/>
        <item x="5"/>
        <item t="default"/>
      </items>
    </pivotField>
    <pivotField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3"/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7" baseField="0" baseItem="0" numFmtId="164"/>
  </dataFields>
  <formats count="10"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EDFDD-2FA9-4E3F-A1CC-3DD069BD89F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K3:N28" firstHeaderRow="0" firstDataRow="1" firstDataCol="1"/>
  <pivotFields count="16">
    <pivotField numFmtId="1" showAll="0"/>
    <pivotField showAll="0"/>
    <pivotField showAll="0"/>
    <pivotField axis="axisRow" showAll="0">
      <items count="25">
        <item x="3"/>
        <item x="19"/>
        <item x="15"/>
        <item x="17"/>
        <item x="5"/>
        <item x="23"/>
        <item x="6"/>
        <item x="14"/>
        <item x="4"/>
        <item x="18"/>
        <item x="16"/>
        <item x="22"/>
        <item x="2"/>
        <item x="11"/>
        <item x="8"/>
        <item x="1"/>
        <item x="20"/>
        <item x="0"/>
        <item x="13"/>
        <item x="10"/>
        <item x="9"/>
        <item x="7"/>
        <item x="21"/>
        <item x="12"/>
        <item t="default"/>
      </items>
    </pivotField>
    <pivotField dataField="1" numFmtId="1" showAll="0">
      <items count="8">
        <item x="1"/>
        <item x="2"/>
        <item x="3"/>
        <item x="6"/>
        <item x="0"/>
        <item x="4"/>
        <item x="5"/>
        <item t="default"/>
      </items>
    </pivotField>
    <pivotField numFmtId="164" showAll="0"/>
    <pivotField numFmtId="9" showAll="0"/>
    <pivotField dataField="1" numFmtId="164" showAll="0">
      <items count="1421">
        <item x="109"/>
        <item x="1198"/>
        <item x="1278"/>
        <item x="946"/>
        <item x="2"/>
        <item x="378"/>
        <item x="457"/>
        <item x="542"/>
        <item x="240"/>
        <item x="1344"/>
        <item x="1235"/>
        <item x="204"/>
        <item x="234"/>
        <item x="1122"/>
        <item x="811"/>
        <item x="637"/>
        <item x="503"/>
        <item x="1110"/>
        <item x="1411"/>
        <item x="468"/>
        <item x="882"/>
        <item x="458"/>
        <item x="648"/>
        <item x="248"/>
        <item x="74"/>
        <item x="1363"/>
        <item x="809"/>
        <item x="674"/>
        <item x="1185"/>
        <item x="1137"/>
        <item x="1356"/>
        <item x="541"/>
        <item x="632"/>
        <item x="359"/>
        <item x="1030"/>
        <item x="721"/>
        <item x="15"/>
        <item x="1141"/>
        <item x="604"/>
        <item x="280"/>
        <item x="1229"/>
        <item x="406"/>
        <item x="825"/>
        <item x="498"/>
        <item x="211"/>
        <item x="744"/>
        <item x="385"/>
        <item x="1386"/>
        <item x="1024"/>
        <item x="915"/>
        <item x="963"/>
        <item x="315"/>
        <item x="914"/>
        <item x="1098"/>
        <item x="1077"/>
        <item x="1044"/>
        <item x="161"/>
        <item x="573"/>
        <item x="1102"/>
        <item x="467"/>
        <item x="484"/>
        <item x="629"/>
        <item x="369"/>
        <item x="641"/>
        <item x="869"/>
        <item x="906"/>
        <item x="780"/>
        <item x="883"/>
        <item x="590"/>
        <item x="702"/>
        <item x="1003"/>
        <item x="242"/>
        <item x="454"/>
        <item x="350"/>
        <item x="1257"/>
        <item x="6"/>
        <item x="520"/>
        <item x="894"/>
        <item x="374"/>
        <item x="653"/>
        <item x="1314"/>
        <item x="435"/>
        <item x="766"/>
        <item x="46"/>
        <item x="691"/>
        <item x="276"/>
        <item x="895"/>
        <item x="461"/>
        <item x="195"/>
        <item x="377"/>
        <item x="1065"/>
        <item x="67"/>
        <item x="1046"/>
        <item x="147"/>
        <item x="312"/>
        <item x="940"/>
        <item x="1146"/>
        <item x="1360"/>
        <item x="563"/>
        <item x="411"/>
        <item x="1272"/>
        <item x="1108"/>
        <item x="1171"/>
        <item x="1"/>
        <item x="999"/>
        <item x="1138"/>
        <item x="265"/>
        <item x="693"/>
        <item x="719"/>
        <item x="231"/>
        <item x="888"/>
        <item x="1066"/>
        <item x="368"/>
        <item x="695"/>
        <item x="646"/>
        <item x="1225"/>
        <item x="716"/>
        <item x="292"/>
        <item x="397"/>
        <item x="755"/>
        <item x="867"/>
        <item x="24"/>
        <item x="717"/>
        <item x="347"/>
        <item x="1339"/>
        <item x="768"/>
        <item x="139"/>
        <item x="108"/>
        <item x="284"/>
        <item x="1183"/>
        <item x="1416"/>
        <item x="1383"/>
        <item x="817"/>
        <item x="577"/>
        <item x="824"/>
        <item x="245"/>
        <item x="165"/>
        <item x="90"/>
        <item x="908"/>
        <item x="219"/>
        <item x="53"/>
        <item x="799"/>
        <item x="319"/>
        <item x="1029"/>
        <item x="774"/>
        <item x="649"/>
        <item x="703"/>
        <item x="1016"/>
        <item x="271"/>
        <item x="156"/>
        <item x="529"/>
        <item x="593"/>
        <item x="918"/>
        <item x="252"/>
        <item x="355"/>
        <item x="255"/>
        <item x="247"/>
        <item x="1204"/>
        <item x="522"/>
        <item x="706"/>
        <item x="712"/>
        <item x="146"/>
        <item x="589"/>
        <item x="1262"/>
        <item x="508"/>
        <item x="338"/>
        <item x="1298"/>
        <item x="68"/>
        <item x="1334"/>
        <item x="767"/>
        <item x="1020"/>
        <item x="1266"/>
        <item x="4"/>
        <item x="185"/>
        <item x="158"/>
        <item x="465"/>
        <item x="1224"/>
        <item x="122"/>
        <item x="727"/>
        <item x="483"/>
        <item x="993"/>
        <item x="393"/>
        <item x="956"/>
        <item x="352"/>
        <item x="849"/>
        <item x="1237"/>
        <item x="822"/>
        <item x="59"/>
        <item x="18"/>
        <item x="798"/>
        <item x="977"/>
        <item x="1149"/>
        <item x="557"/>
        <item x="677"/>
        <item x="116"/>
        <item x="1209"/>
        <item x="558"/>
        <item x="878"/>
        <item x="1279"/>
        <item x="1043"/>
        <item x="810"/>
        <item x="554"/>
        <item x="981"/>
        <item x="1226"/>
        <item x="1245"/>
        <item x="951"/>
        <item x="441"/>
        <item x="1350"/>
        <item x="62"/>
        <item x="1357"/>
        <item x="921"/>
        <item x="759"/>
        <item x="26"/>
        <item x="889"/>
        <item x="1392"/>
        <item x="964"/>
        <item x="492"/>
        <item x="668"/>
        <item x="497"/>
        <item x="396"/>
        <item x="1218"/>
        <item x="0"/>
        <item x="539"/>
        <item x="1242"/>
        <item x="84"/>
        <item x="639"/>
        <item x="974"/>
        <item x="697"/>
        <item x="388"/>
        <item x="896"/>
        <item x="1397"/>
        <item x="1028"/>
        <item x="1196"/>
        <item x="975"/>
        <item x="806"/>
        <item x="1166"/>
        <item x="1015"/>
        <item x="436"/>
        <item x="938"/>
        <item x="357"/>
        <item x="926"/>
        <item x="206"/>
        <item x="650"/>
        <item x="430"/>
        <item x="515"/>
        <item x="625"/>
        <item x="819"/>
        <item x="898"/>
        <item x="608"/>
        <item x="1113"/>
        <item x="262"/>
        <item x="859"/>
        <item x="1281"/>
        <item x="1222"/>
        <item x="827"/>
        <item x="477"/>
        <item x="1295"/>
        <item x="339"/>
        <item x="342"/>
        <item x="842"/>
        <item x="1052"/>
        <item x="901"/>
        <item x="1223"/>
        <item x="950"/>
        <item x="1038"/>
        <item x="390"/>
        <item x="617"/>
        <item x="111"/>
        <item x="1189"/>
        <item x="553"/>
        <item x="807"/>
        <item x="1389"/>
        <item x="416"/>
        <item x="1263"/>
        <item x="1125"/>
        <item x="260"/>
        <item x="448"/>
        <item x="523"/>
        <item x="365"/>
        <item x="1384"/>
        <item x="1182"/>
        <item x="1301"/>
        <item x="277"/>
        <item x="1184"/>
        <item x="620"/>
        <item x="723"/>
        <item x="325"/>
        <item x="724"/>
        <item x="76"/>
        <item x="576"/>
        <item x="735"/>
        <item x="413"/>
        <item x="1331"/>
        <item x="1118"/>
        <item x="82"/>
        <item x="287"/>
        <item x="34"/>
        <item x="307"/>
        <item x="936"/>
        <item x="1346"/>
        <item x="1050"/>
        <item x="336"/>
        <item x="1336"/>
        <item x="425"/>
        <item x="57"/>
        <item x="438"/>
        <item x="1337"/>
        <item x="880"/>
        <item x="645"/>
        <item x="987"/>
        <item x="881"/>
        <item x="163"/>
        <item x="188"/>
        <item x="853"/>
        <item x="491"/>
        <item x="623"/>
        <item x="848"/>
        <item x="43"/>
        <item x="1208"/>
        <item x="564"/>
        <item x="323"/>
        <item x="1329"/>
        <item x="943"/>
        <item x="897"/>
        <item x="1019"/>
        <item x="351"/>
        <item x="1081"/>
        <item x="274"/>
        <item x="1250"/>
        <item x="403"/>
        <item x="941"/>
        <item x="615"/>
        <item x="236"/>
        <item x="1365"/>
        <item x="1187"/>
        <item x="462"/>
        <item x="1289"/>
        <item x="1162"/>
        <item x="80"/>
        <item x="659"/>
        <item x="753"/>
        <item x="301"/>
        <item x="1387"/>
        <item x="1145"/>
        <item x="1211"/>
        <item x="155"/>
        <item x="232"/>
        <item x="106"/>
        <item x="688"/>
        <item x="1406"/>
        <item x="464"/>
        <item x="990"/>
        <item x="466"/>
        <item x="1032"/>
        <item x="502"/>
        <item x="364"/>
        <item x="587"/>
        <item x="657"/>
        <item x="371"/>
        <item x="129"/>
        <item x="1253"/>
        <item x="813"/>
        <item x="736"/>
        <item x="1088"/>
        <item x="544"/>
        <item x="836"/>
        <item x="796"/>
        <item x="392"/>
        <item x="1239"/>
        <item x="574"/>
        <item x="177"/>
        <item x="872"/>
        <item x="535"/>
        <item x="1369"/>
        <item x="569"/>
        <item x="607"/>
        <item x="1140"/>
        <item x="902"/>
        <item x="992"/>
        <item x="384"/>
        <item x="610"/>
        <item x="162"/>
        <item x="741"/>
        <item x="254"/>
        <item x="33"/>
        <item x="313"/>
        <item x="1175"/>
        <item x="151"/>
        <item x="449"/>
        <item x="329"/>
        <item x="930"/>
        <item x="32"/>
        <item x="251"/>
        <item x="1364"/>
        <item x="295"/>
        <item x="474"/>
        <item x="330"/>
        <item x="1313"/>
        <item x="1282"/>
        <item x="1167"/>
        <item x="669"/>
        <item x="208"/>
        <item x="543"/>
        <item x="737"/>
        <item x="1105"/>
        <item x="521"/>
        <item x="613"/>
        <item x="212"/>
        <item x="176"/>
        <item x="1008"/>
        <item x="1080"/>
        <item x="1087"/>
        <item x="476"/>
        <item x="180"/>
        <item x="844"/>
        <item x="258"/>
        <item x="667"/>
        <item x="1104"/>
        <item x="622"/>
        <item x="419"/>
        <item x="407"/>
        <item x="118"/>
        <item x="661"/>
        <item x="1096"/>
        <item x="182"/>
        <item x="551"/>
        <item x="1341"/>
        <item x="20"/>
        <item x="784"/>
        <item x="157"/>
        <item x="200"/>
        <item x="71"/>
        <item x="1062"/>
        <item x="685"/>
        <item x="424"/>
        <item x="762"/>
        <item x="1041"/>
        <item x="531"/>
        <item x="105"/>
        <item x="715"/>
        <item x="249"/>
        <item x="686"/>
        <item x="595"/>
        <item x="850"/>
        <item x="519"/>
        <item x="643"/>
        <item x="389"/>
        <item x="511"/>
        <item x="1116"/>
        <item x="395"/>
        <item x="3"/>
        <item x="713"/>
        <item x="196"/>
        <item x="194"/>
        <item x="1199"/>
        <item x="1115"/>
        <item x="92"/>
        <item x="63"/>
        <item x="479"/>
        <item x="1086"/>
        <item x="725"/>
        <item x="1060"/>
        <item x="676"/>
        <item x="797"/>
        <item x="1095"/>
        <item x="701"/>
        <item x="1112"/>
        <item x="97"/>
        <item x="652"/>
        <item x="1014"/>
        <item x="370"/>
        <item x="534"/>
        <item x="1153"/>
        <item x="1202"/>
        <item x="801"/>
        <item x="562"/>
        <item x="710"/>
        <item x="1374"/>
        <item x="1017"/>
        <item x="739"/>
        <item x="481"/>
        <item x="559"/>
        <item x="1005"/>
        <item x="1332"/>
        <item x="749"/>
        <item x="229"/>
        <item x="1275"/>
        <item x="747"/>
        <item x="962"/>
        <item x="362"/>
        <item x="1022"/>
        <item x="28"/>
        <item x="1403"/>
        <item x="984"/>
        <item x="215"/>
        <item x="1299"/>
        <item x="1147"/>
        <item x="594"/>
        <item x="761"/>
        <item x="290"/>
        <item x="989"/>
        <item x="302"/>
        <item x="877"/>
        <item x="30"/>
        <item x="556"/>
        <item x="696"/>
        <item x="1099"/>
        <item x="363"/>
        <item x="440"/>
        <item x="473"/>
        <item x="586"/>
        <item x="455"/>
        <item x="353"/>
        <item x="311"/>
        <item x="1399"/>
        <item x="800"/>
        <item x="51"/>
        <item x="947"/>
        <item x="612"/>
        <item x="1078"/>
        <item x="808"/>
        <item x="412"/>
        <item x="1203"/>
        <item x="141"/>
        <item x="884"/>
        <item x="168"/>
        <item x="143"/>
        <item x="334"/>
        <item x="876"/>
        <item x="314"/>
        <item x="660"/>
        <item x="606"/>
        <item x="748"/>
        <item x="679"/>
        <item x="409"/>
        <item x="1180"/>
        <item x="91"/>
        <item x="446"/>
        <item x="1109"/>
        <item x="114"/>
        <item x="638"/>
        <item x="1000"/>
        <item x="675"/>
        <item x="95"/>
        <item x="235"/>
        <item x="1277"/>
        <item x="698"/>
        <item x="1134"/>
        <item x="170"/>
        <item x="1090"/>
        <item x="263"/>
        <item x="546"/>
        <item x="354"/>
        <item x="175"/>
        <item x="317"/>
        <item x="957"/>
        <item x="136"/>
        <item x="104"/>
        <item x="1419"/>
        <item x="1120"/>
        <item x="916"/>
        <item x="1355"/>
        <item x="496"/>
        <item x="538"/>
        <item x="1054"/>
        <item x="298"/>
        <item x="1323"/>
        <item x="1155"/>
        <item x="1193"/>
        <item x="815"/>
        <item x="1164"/>
        <item x="1366"/>
        <item x="524"/>
        <item x="433"/>
        <item x="548"/>
        <item x="11"/>
        <item x="636"/>
        <item x="864"/>
        <item x="537"/>
        <item x="332"/>
        <item x="418"/>
        <item x="77"/>
        <item x="35"/>
        <item x="1260"/>
        <item x="892"/>
        <item x="742"/>
        <item x="1342"/>
        <item x="1394"/>
        <item x="410"/>
        <item x="745"/>
        <item x="241"/>
        <item x="1025"/>
        <item x="8"/>
        <item x="257"/>
        <item x="1021"/>
        <item x="678"/>
        <item x="1407"/>
        <item x="193"/>
        <item x="149"/>
        <item x="666"/>
        <item x="1370"/>
        <item x="361"/>
        <item x="399"/>
        <item x="863"/>
        <item x="1128"/>
        <item x="729"/>
        <item x="832"/>
        <item x="525"/>
        <item x="470"/>
        <item x="293"/>
        <item x="874"/>
        <item x="283"/>
        <item x="306"/>
        <item x="408"/>
        <item x="5"/>
        <item x="621"/>
        <item x="1049"/>
        <item x="967"/>
        <item x="159"/>
        <item x="683"/>
        <item x="972"/>
        <item x="1221"/>
        <item x="899"/>
        <item x="171"/>
        <item x="60"/>
        <item x="1160"/>
        <item x="1292"/>
        <item x="922"/>
        <item x="1156"/>
        <item x="602"/>
        <item x="78"/>
        <item x="213"/>
        <item x="518"/>
        <item x="488"/>
        <item x="1216"/>
        <item x="19"/>
        <item x="281"/>
        <item x="991"/>
        <item x="1359"/>
        <item x="1010"/>
        <item x="1367"/>
        <item x="160"/>
        <item x="1121"/>
        <item x="209"/>
        <item x="1409"/>
        <item x="664"/>
        <item x="517"/>
        <item x="925"/>
        <item x="437"/>
        <item x="1243"/>
        <item x="904"/>
        <item x="493"/>
        <item x="1283"/>
        <item x="326"/>
        <item x="1201"/>
        <item x="154"/>
        <item x="1135"/>
        <item x="526"/>
        <item x="444"/>
        <item x="1190"/>
        <item x="597"/>
        <item x="994"/>
        <item x="1169"/>
        <item x="823"/>
        <item x="40"/>
        <item x="1123"/>
        <item x="829"/>
        <item x="427"/>
        <item x="221"/>
        <item x="614"/>
        <item x="640"/>
        <item x="1093"/>
        <item x="700"/>
        <item x="49"/>
        <item x="414"/>
        <item x="1255"/>
        <item x="1311"/>
        <item x="1379"/>
        <item x="680"/>
        <item x="259"/>
        <item x="769"/>
        <item x="1036"/>
        <item x="826"/>
        <item x="920"/>
        <item x="655"/>
        <item x="126"/>
        <item x="1381"/>
        <item x="1213"/>
        <item x="568"/>
        <item x="837"/>
        <item x="1325"/>
        <item x="44"/>
        <item x="1150"/>
        <item x="321"/>
        <item x="572"/>
        <item x="107"/>
        <item x="1119"/>
        <item x="1177"/>
        <item x="94"/>
        <item x="1207"/>
        <item x="310"/>
        <item x="1328"/>
        <item x="782"/>
        <item x="516"/>
        <item x="965"/>
        <item x="1353"/>
        <item x="944"/>
        <item x="1249"/>
        <item x="499"/>
        <item x="1259"/>
        <item x="1372"/>
        <item x="328"/>
        <item x="1103"/>
        <item x="356"/>
        <item x="1321"/>
        <item x="1343"/>
        <item x="1212"/>
        <item x="658"/>
        <item x="1393"/>
        <item x="296"/>
        <item x="244"/>
        <item x="358"/>
        <item x="738"/>
        <item x="494"/>
        <item x="191"/>
        <item x="340"/>
        <item x="1206"/>
        <item x="81"/>
        <item x="731"/>
        <item x="303"/>
        <item x="115"/>
        <item x="214"/>
        <item x="1303"/>
        <item x="1361"/>
        <item x="164"/>
        <item x="746"/>
        <item x="924"/>
        <item x="201"/>
        <item x="207"/>
        <item x="1349"/>
        <item x="1274"/>
        <item x="754"/>
        <item x="581"/>
        <item x="172"/>
        <item x="128"/>
        <item x="431"/>
        <item x="190"/>
        <item x="934"/>
        <item x="969"/>
        <item x="1322"/>
        <item x="186"/>
        <item x="39"/>
        <item x="1047"/>
        <item x="1091"/>
        <item x="507"/>
        <item x="609"/>
        <item x="173"/>
        <item x="644"/>
        <item x="69"/>
        <item x="1007"/>
        <item x="1258"/>
        <item x="955"/>
        <item x="379"/>
        <item x="910"/>
        <item x="868"/>
        <item x="1107"/>
        <item x="439"/>
        <item x="789"/>
        <item x="1405"/>
        <item x="144"/>
        <item x="705"/>
        <item x="933"/>
        <item x="995"/>
        <item x="100"/>
        <item x="1039"/>
        <item x="1270"/>
        <item x="1083"/>
        <item x="570"/>
        <item x="1045"/>
        <item x="264"/>
        <item x="21"/>
        <item x="684"/>
        <item x="958"/>
        <item x="775"/>
        <item x="1417"/>
        <item x="183"/>
        <item x="179"/>
        <item x="1082"/>
        <item x="820"/>
        <item x="1053"/>
        <item x="453"/>
        <item x="616"/>
        <item x="1200"/>
        <item x="1013"/>
        <item x="1084"/>
        <item x="858"/>
        <item x="1352"/>
        <item x="22"/>
        <item x="835"/>
        <item x="1380"/>
        <item x="1286"/>
        <item x="505"/>
        <item x="286"/>
        <item x="42"/>
        <item x="873"/>
        <item x="791"/>
        <item x="1018"/>
        <item x="38"/>
        <item x="1371"/>
        <item x="349"/>
        <item x="1163"/>
        <item x="1142"/>
        <item x="506"/>
        <item x="401"/>
        <item x="1151"/>
        <item x="383"/>
        <item x="1246"/>
        <item x="428"/>
        <item x="911"/>
        <item x="1285"/>
        <item x="875"/>
        <item x="404"/>
        <item x="192"/>
        <item x="1240"/>
        <item x="142"/>
        <item x="1304"/>
        <item x="968"/>
        <item x="718"/>
        <item x="794"/>
        <item x="445"/>
        <item x="1308"/>
        <item x="1085"/>
        <item x="795"/>
        <item x="1037"/>
        <item x="480"/>
        <item x="199"/>
        <item x="140"/>
        <item x="1174"/>
        <item x="1398"/>
        <item x="300"/>
        <item x="726"/>
        <item x="1143"/>
        <item x="945"/>
        <item x="988"/>
        <item x="123"/>
        <item x="905"/>
        <item x="471"/>
        <item x="31"/>
        <item x="549"/>
        <item x="821"/>
        <item x="16"/>
        <item x="855"/>
        <item x="373"/>
        <item x="707"/>
        <item x="120"/>
        <item x="452"/>
        <item x="366"/>
        <item x="584"/>
        <item x="27"/>
        <item x="25"/>
        <item x="309"/>
        <item x="463"/>
        <item x="605"/>
        <item x="1412"/>
        <item x="110"/>
        <item x="860"/>
        <item x="1227"/>
        <item x="891"/>
        <item x="651"/>
        <item x="202"/>
        <item x="1048"/>
        <item x="663"/>
        <item x="1100"/>
        <item x="1309"/>
        <item x="288"/>
        <item x="708"/>
        <item x="838"/>
        <item x="1362"/>
        <item x="1288"/>
        <item x="909"/>
        <item x="501"/>
        <item x="592"/>
        <item x="291"/>
        <item x="133"/>
        <item x="1064"/>
        <item x="527"/>
        <item x="805"/>
        <item x="103"/>
        <item x="983"/>
        <item x="36"/>
        <item x="1130"/>
        <item x="12"/>
        <item x="588"/>
        <item x="1340"/>
        <item x="907"/>
        <item x="1324"/>
        <item x="282"/>
        <item x="509"/>
        <item x="728"/>
        <item x="1385"/>
        <item x="948"/>
        <item x="1319"/>
        <item x="1268"/>
        <item x="778"/>
        <item x="1388"/>
        <item x="1117"/>
        <item x="1401"/>
        <item x="13"/>
        <item x="845"/>
        <item x="583"/>
        <item x="121"/>
        <item x="1191"/>
        <item x="459"/>
        <item x="1408"/>
        <item x="1347"/>
        <item x="547"/>
        <item x="1069"/>
        <item x="690"/>
        <item x="217"/>
        <item x="504"/>
        <item x="803"/>
        <item x="917"/>
        <item x="198"/>
        <item x="61"/>
        <item x="555"/>
        <item x="1396"/>
        <item x="1280"/>
        <item x="792"/>
        <item x="816"/>
        <item x="704"/>
        <item x="48"/>
        <item x="398"/>
        <item x="1248"/>
        <item x="1302"/>
        <item x="285"/>
        <item x="512"/>
        <item x="1327"/>
        <item x="253"/>
        <item x="1170"/>
        <item x="978"/>
        <item x="1219"/>
        <item x="1410"/>
        <item x="137"/>
        <item x="912"/>
        <item x="124"/>
        <item x="1158"/>
        <item x="1058"/>
        <item x="1306"/>
        <item x="591"/>
        <item x="225"/>
        <item x="266"/>
        <item x="489"/>
        <item x="1217"/>
        <item x="87"/>
        <item x="1073"/>
        <item x="246"/>
        <item x="628"/>
        <item x="1413"/>
        <item x="862"/>
        <item x="976"/>
        <item x="181"/>
        <item x="72"/>
        <item x="189"/>
        <item x="885"/>
        <item x="818"/>
        <item x="485"/>
        <item x="565"/>
        <item x="699"/>
        <item x="513"/>
        <item x="1027"/>
        <item x="1124"/>
        <item x="949"/>
        <item x="1139"/>
        <item x="402"/>
        <item x="197"/>
        <item x="814"/>
        <item x="272"/>
        <item x="580"/>
        <item x="758"/>
        <item x="879"/>
        <item x="671"/>
        <item x="730"/>
        <item x="1094"/>
        <item x="222"/>
        <item x="1305"/>
        <item x="1186"/>
        <item x="903"/>
        <item x="1376"/>
        <item x="1290"/>
        <item x="770"/>
        <item x="788"/>
        <item x="380"/>
        <item x="1231"/>
        <item x="857"/>
        <item x="1159"/>
        <item x="1154"/>
        <item x="611"/>
        <item x="1358"/>
        <item x="1230"/>
        <item x="785"/>
        <item x="117"/>
        <item x="596"/>
        <item x="1106"/>
        <item x="1316"/>
        <item x="787"/>
        <item x="475"/>
        <item x="870"/>
        <item x="218"/>
        <item x="852"/>
        <item x="953"/>
        <item x="1220"/>
        <item x="478"/>
        <item x="1023"/>
        <item x="1296"/>
        <item x="1126"/>
        <item x="1034"/>
        <item x="422"/>
        <item x="656"/>
        <item x="781"/>
        <item x="709"/>
        <item x="740"/>
        <item x="833"/>
        <item x="1210"/>
        <item x="1129"/>
        <item x="279"/>
        <item x="790"/>
        <item x="1089"/>
        <item x="451"/>
        <item x="959"/>
        <item x="1241"/>
        <item x="434"/>
        <item x="514"/>
        <item x="692"/>
        <item x="1252"/>
        <item x="1330"/>
        <item x="375"/>
        <item x="305"/>
        <item x="113"/>
        <item x="777"/>
        <item x="230"/>
        <item x="261"/>
        <item x="670"/>
        <item x="1205"/>
        <item x="1176"/>
        <item x="1300"/>
        <item x="275"/>
        <item x="828"/>
        <item x="966"/>
        <item x="1256"/>
        <item x="840"/>
        <item x="1152"/>
        <item x="765"/>
        <item x="1326"/>
        <item x="575"/>
        <item x="391"/>
        <item x="132"/>
        <item x="732"/>
        <item x="224"/>
        <item x="344"/>
        <item x="184"/>
        <item x="843"/>
        <item x="618"/>
        <item x="228"/>
        <item x="112"/>
        <item x="304"/>
        <item x="294"/>
        <item x="752"/>
        <item x="487"/>
        <item x="1318"/>
        <item x="70"/>
        <item x="783"/>
        <item x="841"/>
        <item x="1074"/>
        <item x="971"/>
        <item x="631"/>
        <item x="757"/>
        <item x="578"/>
        <item x="223"/>
        <item x="343"/>
        <item x="500"/>
        <item x="52"/>
        <item x="58"/>
        <item x="750"/>
        <item x="119"/>
        <item x="335"/>
        <item x="919"/>
        <item x="400"/>
        <item x="1165"/>
        <item x="1131"/>
        <item x="96"/>
        <item x="1287"/>
        <item x="937"/>
        <item x="1136"/>
        <item x="929"/>
        <item x="55"/>
        <item x="423"/>
        <item x="456"/>
        <item x="733"/>
        <item x="1402"/>
        <item x="1269"/>
        <item x="923"/>
        <item x="662"/>
        <item x="582"/>
        <item x="268"/>
        <item x="1354"/>
        <item x="50"/>
        <item x="1284"/>
        <item x="533"/>
        <item x="394"/>
        <item x="273"/>
        <item x="226"/>
        <item x="942"/>
        <item x="560"/>
        <item x="771"/>
        <item x="1375"/>
        <item x="1377"/>
        <item x="64"/>
        <item x="73"/>
        <item x="131"/>
        <item x="804"/>
        <item x="88"/>
        <item x="540"/>
        <item x="598"/>
        <item x="85"/>
        <item x="1264"/>
        <item x="1390"/>
        <item x="689"/>
        <item x="1002"/>
        <item x="996"/>
        <item x="802"/>
        <item x="1315"/>
        <item x="954"/>
        <item x="1071"/>
        <item x="654"/>
        <item x="331"/>
        <item x="1404"/>
        <item x="839"/>
        <item x="135"/>
        <item x="102"/>
        <item x="1265"/>
        <item x="372"/>
        <item x="1070"/>
        <item x="41"/>
        <item x="932"/>
        <item x="1251"/>
        <item x="571"/>
        <item x="1236"/>
        <item x="1006"/>
        <item x="1051"/>
        <item x="619"/>
        <item x="1291"/>
        <item x="93"/>
        <item x="1063"/>
        <item x="935"/>
        <item x="846"/>
        <item x="681"/>
        <item x="734"/>
        <item x="322"/>
        <item x="98"/>
        <item x="308"/>
        <item x="1271"/>
        <item x="472"/>
        <item x="1415"/>
        <item x="7"/>
        <item x="1267"/>
        <item x="1338"/>
        <item x="1132"/>
        <item x="1345"/>
        <item x="633"/>
        <item x="490"/>
        <item x="812"/>
        <item x="1035"/>
        <item x="1233"/>
        <item x="890"/>
        <item x="579"/>
        <item x="270"/>
        <item x="647"/>
        <item x="299"/>
        <item x="1232"/>
        <item x="130"/>
        <item x="1348"/>
        <item x="54"/>
        <item x="220"/>
        <item x="9"/>
        <item x="376"/>
        <item x="345"/>
        <item x="174"/>
        <item x="672"/>
        <item x="834"/>
        <item x="871"/>
        <item x="600"/>
        <item x="1414"/>
        <item x="447"/>
        <item x="985"/>
        <item x="1067"/>
        <item x="83"/>
        <item x="567"/>
        <item x="47"/>
        <item x="297"/>
        <item x="65"/>
        <item x="1157"/>
        <item x="694"/>
        <item x="1368"/>
        <item x="714"/>
        <item x="381"/>
        <item x="1168"/>
        <item x="866"/>
        <item x="1114"/>
        <item x="1320"/>
        <item x="56"/>
        <item x="626"/>
        <item x="998"/>
        <item x="1042"/>
        <item x="138"/>
        <item x="346"/>
        <item x="278"/>
        <item x="1188"/>
        <item x="786"/>
        <item x="1031"/>
        <item x="233"/>
        <item x="421"/>
        <item x="1068"/>
        <item x="1181"/>
        <item x="14"/>
        <item x="585"/>
        <item x="1373"/>
        <item x="10"/>
        <item x="1172"/>
        <item x="417"/>
        <item x="148"/>
        <item x="243"/>
        <item x="913"/>
        <item x="687"/>
        <item x="17"/>
        <item x="45"/>
        <item x="169"/>
        <item x="150"/>
        <item x="1178"/>
        <item x="216"/>
        <item x="599"/>
        <item x="1144"/>
        <item x="316"/>
        <item x="333"/>
        <item x="763"/>
        <item x="854"/>
        <item x="510"/>
        <item x="1111"/>
        <item x="153"/>
        <item x="1040"/>
        <item x="75"/>
        <item x="442"/>
        <item x="429"/>
        <item x="627"/>
        <item x="642"/>
        <item x="865"/>
        <item x="99"/>
        <item x="1351"/>
        <item x="145"/>
        <item x="1395"/>
        <item x="630"/>
        <item x="566"/>
        <item x="1059"/>
        <item x="1097"/>
        <item x="405"/>
        <item x="856"/>
        <item x="1148"/>
        <item x="327"/>
        <item x="1215"/>
        <item x="1273"/>
        <item x="773"/>
        <item x="495"/>
        <item x="318"/>
        <item x="682"/>
        <item x="1194"/>
        <item x="178"/>
        <item x="1026"/>
        <item x="432"/>
        <item x="952"/>
        <item x="239"/>
        <item x="1009"/>
        <item x="320"/>
        <item x="1254"/>
        <item x="1312"/>
        <item x="545"/>
        <item x="1004"/>
        <item x="603"/>
        <item x="711"/>
        <item x="722"/>
        <item x="360"/>
        <item x="1307"/>
        <item x="1234"/>
        <item x="861"/>
        <item x="420"/>
        <item x="1061"/>
        <item x="793"/>
        <item x="1214"/>
        <item x="1092"/>
        <item x="482"/>
        <item x="624"/>
        <item x="893"/>
        <item x="1076"/>
        <item x="387"/>
        <item x="187"/>
        <item x="29"/>
        <item x="1317"/>
        <item x="550"/>
        <item x="886"/>
        <item x="831"/>
        <item x="634"/>
        <item x="536"/>
        <item x="751"/>
        <item x="1133"/>
        <item x="469"/>
        <item x="415"/>
        <item x="101"/>
        <item x="127"/>
        <item x="203"/>
        <item x="970"/>
        <item x="1238"/>
        <item x="1033"/>
        <item x="530"/>
        <item x="1179"/>
        <item x="37"/>
        <item x="23"/>
        <item x="776"/>
        <item x="1276"/>
        <item x="1075"/>
        <item x="205"/>
        <item x="1197"/>
        <item x="635"/>
        <item x="237"/>
        <item x="166"/>
        <item x="900"/>
        <item x="1310"/>
        <item x="986"/>
        <item x="167"/>
        <item x="1297"/>
        <item x="486"/>
        <item x="939"/>
        <item x="86"/>
        <item x="1244"/>
        <item x="1127"/>
        <item x="1173"/>
        <item x="1161"/>
        <item x="847"/>
        <item x="1391"/>
        <item x="210"/>
        <item x="348"/>
        <item x="1001"/>
        <item x="997"/>
        <item x="1418"/>
        <item x="756"/>
        <item x="528"/>
        <item x="851"/>
        <item x="743"/>
        <item x="830"/>
        <item x="1011"/>
        <item x="673"/>
        <item x="1012"/>
        <item x="927"/>
        <item x="982"/>
        <item x="1057"/>
        <item x="973"/>
        <item x="382"/>
        <item x="779"/>
        <item x="337"/>
        <item x="979"/>
        <item x="79"/>
        <item x="1192"/>
        <item x="238"/>
        <item x="367"/>
        <item x="1382"/>
        <item x="1195"/>
        <item x="89"/>
        <item x="267"/>
        <item x="450"/>
        <item x="928"/>
        <item x="764"/>
        <item x="227"/>
        <item x="1400"/>
        <item x="1079"/>
        <item x="1228"/>
        <item x="1072"/>
        <item x="1333"/>
        <item x="426"/>
        <item x="887"/>
        <item x="601"/>
        <item x="561"/>
        <item x="961"/>
        <item x="1055"/>
        <item x="1293"/>
        <item x="256"/>
        <item x="324"/>
        <item x="289"/>
        <item x="152"/>
        <item x="250"/>
        <item x="1101"/>
        <item x="341"/>
        <item x="1294"/>
        <item x="1335"/>
        <item x="532"/>
        <item x="1378"/>
        <item x="1261"/>
        <item x="443"/>
        <item x="552"/>
        <item x="960"/>
        <item x="665"/>
        <item x="460"/>
        <item x="772"/>
        <item x="269"/>
        <item x="760"/>
        <item x="980"/>
        <item x="931"/>
        <item x="1056"/>
        <item x="66"/>
        <item x="134"/>
        <item x="720"/>
        <item x="386"/>
        <item x="1247"/>
        <item x="125"/>
        <item t="default"/>
      </items>
    </pivotField>
    <pivotField numFmtId="14" showAll="0">
      <items count="562">
        <item x="149"/>
        <item x="222"/>
        <item x="358"/>
        <item x="511"/>
        <item x="60"/>
        <item x="144"/>
        <item x="354"/>
        <item x="345"/>
        <item x="312"/>
        <item x="376"/>
        <item x="193"/>
        <item x="558"/>
        <item x="540"/>
        <item x="451"/>
        <item x="498"/>
        <item x="552"/>
        <item x="270"/>
        <item x="258"/>
        <item x="431"/>
        <item x="307"/>
        <item x="180"/>
        <item x="430"/>
        <item x="259"/>
        <item x="386"/>
        <item x="512"/>
        <item x="315"/>
        <item x="549"/>
        <item x="108"/>
        <item x="526"/>
        <item x="286"/>
        <item x="433"/>
        <item x="18"/>
        <item x="257"/>
        <item x="318"/>
        <item x="432"/>
        <item x="138"/>
        <item x="378"/>
        <item x="241"/>
        <item x="420"/>
        <item x="488"/>
        <item x="476"/>
        <item x="359"/>
        <item x="513"/>
        <item x="548"/>
        <item x="405"/>
        <item x="309"/>
        <item x="327"/>
        <item x="499"/>
        <item x="545"/>
        <item x="313"/>
        <item x="404"/>
        <item x="448"/>
        <item x="55"/>
        <item x="469"/>
        <item x="484"/>
        <item x="507"/>
        <item x="160"/>
        <item x="530"/>
        <item x="284"/>
        <item x="348"/>
        <item x="196"/>
        <item x="410"/>
        <item x="161"/>
        <item x="441"/>
        <item x="465"/>
        <item x="232"/>
        <item x="551"/>
        <item x="398"/>
        <item x="452"/>
        <item x="247"/>
        <item x="528"/>
        <item x="5"/>
        <item x="400"/>
        <item x="36"/>
        <item x="248"/>
        <item x="438"/>
        <item x="164"/>
        <item x="295"/>
        <item x="407"/>
        <item x="282"/>
        <item x="509"/>
        <item x="534"/>
        <item x="472"/>
        <item x="519"/>
        <item x="288"/>
        <item x="453"/>
        <item x="183"/>
        <item x="194"/>
        <item x="263"/>
        <item x="489"/>
        <item x="560"/>
        <item x="514"/>
        <item x="416"/>
        <item x="391"/>
        <item x="500"/>
        <item x="490"/>
        <item x="351"/>
        <item x="464"/>
        <item x="251"/>
        <item x="535"/>
        <item x="24"/>
        <item x="457"/>
        <item x="437"/>
        <item x="522"/>
        <item x="85"/>
        <item x="463"/>
        <item x="442"/>
        <item x="460"/>
        <item x="501"/>
        <item x="531"/>
        <item x="435"/>
        <item x="214"/>
        <item x="330"/>
        <item x="557"/>
        <item x="382"/>
        <item x="466"/>
        <item x="65"/>
        <item x="541"/>
        <item x="370"/>
        <item x="543"/>
        <item x="165"/>
        <item x="360"/>
        <item x="372"/>
        <item x="104"/>
        <item x="39"/>
        <item x="136"/>
        <item x="188"/>
        <item x="483"/>
        <item x="553"/>
        <item x="314"/>
        <item x="49"/>
        <item x="429"/>
        <item x="470"/>
        <item x="397"/>
        <item x="264"/>
        <item x="390"/>
        <item x="467"/>
        <item x="399"/>
        <item x="539"/>
        <item x="114"/>
        <item x="302"/>
        <item x="505"/>
        <item x="491"/>
        <item x="6"/>
        <item x="546"/>
        <item x="23"/>
        <item x="352"/>
        <item x="449"/>
        <item x="492"/>
        <item x="80"/>
        <item x="12"/>
        <item x="538"/>
        <item x="317"/>
        <item x="443"/>
        <item x="89"/>
        <item x="278"/>
        <item x="529"/>
        <item x="425"/>
        <item x="377"/>
        <item x="455"/>
        <item x="418"/>
        <item x="190"/>
        <item x="396"/>
        <item x="439"/>
        <item x="15"/>
        <item x="481"/>
        <item x="381"/>
        <item x="262"/>
        <item x="536"/>
        <item x="163"/>
        <item x="172"/>
        <item x="517"/>
        <item x="127"/>
        <item x="393"/>
        <item x="46"/>
        <item x="475"/>
        <item x="494"/>
        <item x="414"/>
        <item x="537"/>
        <item x="238"/>
        <item x="515"/>
        <item x="518"/>
        <item x="556"/>
        <item x="70"/>
        <item x="249"/>
        <item x="412"/>
        <item x="277"/>
        <item x="495"/>
        <item x="145"/>
        <item x="383"/>
        <item x="147"/>
        <item x="185"/>
        <item x="243"/>
        <item x="508"/>
        <item x="244"/>
        <item x="218"/>
        <item x="353"/>
        <item x="261"/>
        <item x="367"/>
        <item x="554"/>
        <item x="329"/>
        <item x="131"/>
        <item x="342"/>
        <item x="447"/>
        <item x="175"/>
        <item x="215"/>
        <item x="415"/>
        <item x="336"/>
        <item x="281"/>
        <item x="503"/>
        <item x="361"/>
        <item x="177"/>
        <item x="221"/>
        <item x="187"/>
        <item x="332"/>
        <item x="113"/>
        <item x="82"/>
        <item x="118"/>
        <item x="486"/>
        <item x="326"/>
        <item x="233"/>
        <item x="297"/>
        <item x="88"/>
        <item x="42"/>
        <item x="246"/>
        <item x="319"/>
        <item x="369"/>
        <item x="402"/>
        <item x="324"/>
        <item x="384"/>
        <item x="168"/>
        <item x="9"/>
        <item x="450"/>
        <item x="525"/>
        <item x="504"/>
        <item x="273"/>
        <item x="116"/>
        <item x="347"/>
        <item x="230"/>
        <item x="544"/>
        <item x="474"/>
        <item x="471"/>
        <item x="497"/>
        <item x="292"/>
        <item x="229"/>
        <item x="166"/>
        <item x="496"/>
        <item x="493"/>
        <item x="64"/>
        <item x="444"/>
        <item x="150"/>
        <item x="202"/>
        <item x="30"/>
        <item x="485"/>
        <item x="219"/>
        <item x="427"/>
        <item x="268"/>
        <item x="308"/>
        <item x="428"/>
        <item x="419"/>
        <item x="52"/>
        <item x="10"/>
        <item x="477"/>
        <item x="167"/>
        <item x="321"/>
        <item x="272"/>
        <item x="189"/>
        <item x="335"/>
        <item x="133"/>
        <item x="506"/>
        <item x="285"/>
        <item x="110"/>
        <item x="334"/>
        <item x="236"/>
        <item x="107"/>
        <item x="94"/>
        <item x="446"/>
        <item x="423"/>
        <item x="362"/>
        <item x="217"/>
        <item x="99"/>
        <item x="283"/>
        <item x="252"/>
        <item x="169"/>
        <item x="550"/>
        <item x="234"/>
        <item x="33"/>
        <item x="95"/>
        <item x="542"/>
        <item x="274"/>
        <item x="143"/>
        <item x="458"/>
        <item x="13"/>
        <item x="84"/>
        <item x="516"/>
        <item x="11"/>
        <item x="158"/>
        <item x="87"/>
        <item x="524"/>
        <item x="134"/>
        <item x="225"/>
        <item x="340"/>
        <item x="157"/>
        <item x="97"/>
        <item x="555"/>
        <item x="44"/>
        <item x="90"/>
        <item x="170"/>
        <item x="100"/>
        <item x="59"/>
        <item x="276"/>
        <item x="103"/>
        <item x="125"/>
        <item x="21"/>
        <item x="328"/>
        <item x="26"/>
        <item x="363"/>
        <item x="373"/>
        <item x="154"/>
        <item x="468"/>
        <item x="379"/>
        <item x="198"/>
        <item x="445"/>
        <item x="409"/>
        <item x="212"/>
        <item x="105"/>
        <item x="462"/>
        <item x="371"/>
        <item x="132"/>
        <item x="408"/>
        <item x="184"/>
        <item x="298"/>
        <item x="146"/>
        <item x="61"/>
        <item x="129"/>
        <item x="395"/>
        <item x="92"/>
        <item x="210"/>
        <item x="375"/>
        <item x="520"/>
        <item x="287"/>
        <item x="191"/>
        <item x="148"/>
        <item x="316"/>
        <item x="98"/>
        <item x="72"/>
        <item x="387"/>
        <item x="487"/>
        <item x="461"/>
        <item x="527"/>
        <item x="4"/>
        <item x="192"/>
        <item x="41"/>
        <item x="54"/>
        <item x="173"/>
        <item x="213"/>
        <item x="482"/>
        <item x="331"/>
        <item x="267"/>
        <item x="66"/>
        <item x="81"/>
        <item x="350"/>
        <item x="2"/>
        <item x="209"/>
        <item x="62"/>
        <item x="300"/>
        <item x="290"/>
        <item x="51"/>
        <item x="311"/>
        <item x="106"/>
        <item x="122"/>
        <item x="296"/>
        <item x="294"/>
        <item x="394"/>
        <item x="124"/>
        <item x="47"/>
        <item x="226"/>
        <item x="473"/>
        <item x="63"/>
        <item x="171"/>
        <item x="422"/>
        <item x="207"/>
        <item x="216"/>
        <item x="93"/>
        <item x="260"/>
        <item x="20"/>
        <item x="368"/>
        <item x="130"/>
        <item x="117"/>
        <item x="349"/>
        <item x="338"/>
        <item x="19"/>
        <item x="401"/>
        <item x="121"/>
        <item x="346"/>
        <item x="151"/>
        <item x="203"/>
        <item x="174"/>
        <item x="322"/>
        <item x="365"/>
        <item x="337"/>
        <item x="31"/>
        <item x="459"/>
        <item x="38"/>
        <item x="53"/>
        <item x="153"/>
        <item x="240"/>
        <item x="208"/>
        <item x="201"/>
        <item x="75"/>
        <item x="16"/>
        <item x="256"/>
        <item x="357"/>
        <item x="58"/>
        <item x="523"/>
        <item x="547"/>
        <item x="310"/>
        <item x="0"/>
        <item x="413"/>
        <item x="533"/>
        <item x="76"/>
        <item x="91"/>
        <item x="67"/>
        <item x="305"/>
        <item x="356"/>
        <item x="27"/>
        <item x="454"/>
        <item x="253"/>
        <item x="235"/>
        <item x="355"/>
        <item x="155"/>
        <item x="299"/>
        <item x="479"/>
        <item x="344"/>
        <item x="56"/>
        <item x="434"/>
        <item x="266"/>
        <item x="14"/>
        <item x="421"/>
        <item x="135"/>
        <item x="223"/>
        <item x="123"/>
        <item x="159"/>
        <item x="156"/>
        <item x="176"/>
        <item x="137"/>
        <item x="224"/>
        <item x="291"/>
        <item x="111"/>
        <item x="126"/>
        <item x="71"/>
        <item x="152"/>
        <item x="306"/>
        <item x="112"/>
        <item x="29"/>
        <item x="50"/>
        <item x="424"/>
        <item x="181"/>
        <item x="403"/>
        <item x="380"/>
        <item x="206"/>
        <item x="28"/>
        <item x="456"/>
        <item x="502"/>
        <item x="68"/>
        <item x="239"/>
        <item x="120"/>
        <item x="141"/>
        <item x="532"/>
        <item x="411"/>
        <item x="186"/>
        <item x="86"/>
        <item x="200"/>
        <item x="139"/>
        <item x="35"/>
        <item x="265"/>
        <item x="385"/>
        <item x="237"/>
        <item x="280"/>
        <item x="77"/>
        <item x="73"/>
        <item x="303"/>
        <item x="275"/>
        <item x="79"/>
        <item x="255"/>
        <item x="510"/>
        <item x="57"/>
        <item x="406"/>
        <item x="521"/>
        <item x="195"/>
        <item x="205"/>
        <item x="289"/>
        <item x="78"/>
        <item x="293"/>
        <item x="364"/>
        <item x="480"/>
        <item x="269"/>
        <item x="341"/>
        <item x="25"/>
        <item x="417"/>
        <item x="388"/>
        <item x="440"/>
        <item x="250"/>
        <item x="343"/>
        <item x="128"/>
        <item x="8"/>
        <item x="182"/>
        <item x="392"/>
        <item x="304"/>
        <item x="325"/>
        <item x="179"/>
        <item x="366"/>
        <item x="231"/>
        <item x="339"/>
        <item x="197"/>
        <item x="436"/>
        <item x="204"/>
        <item x="142"/>
        <item x="211"/>
        <item x="69"/>
        <item x="32"/>
        <item x="271"/>
        <item x="323"/>
        <item x="228"/>
        <item x="109"/>
        <item x="254"/>
        <item x="3"/>
        <item x="245"/>
        <item x="227"/>
        <item x="115"/>
        <item x="301"/>
        <item x="279"/>
        <item x="140"/>
        <item x="101"/>
        <item x="74"/>
        <item x="83"/>
        <item x="45"/>
        <item x="162"/>
        <item x="48"/>
        <item x="199"/>
        <item x="320"/>
        <item x="220"/>
        <item x="374"/>
        <item x="178"/>
        <item x="102"/>
        <item x="478"/>
        <item x="34"/>
        <item x="119"/>
        <item x="389"/>
        <item x="40"/>
        <item x="333"/>
        <item x="22"/>
        <item x="43"/>
        <item x="1"/>
        <item x="426"/>
        <item x="96"/>
        <item x="17"/>
        <item x="559"/>
        <item x="7"/>
        <item x="37"/>
        <item x="242"/>
        <item t="default"/>
      </items>
    </pivotField>
    <pivotField showAll="0">
      <items count="7">
        <item x="1"/>
        <item x="3"/>
        <item x="0"/>
        <item x="4"/>
        <item x="2"/>
        <item x="5"/>
        <item t="default"/>
      </items>
    </pivotField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_Sold" fld="4" baseField="0" baseItem="0" numFmtId="1"/>
    <dataField name="Sum of Sales_Amount" fld="7" baseField="0" baseItem="0" numFmtId="164"/>
    <dataField name="Sum of Profit" fld="12" baseField="0" baseItem="0" numFmtId="164"/>
  </dataFields>
  <formats count="12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3" type="button" dataOnly="0" labelOnly="1" outline="0" axis="axisRow" fieldPosition="0"/>
    </format>
    <format dxfId="42">
      <pivotArea dataOnly="0" labelOnly="1" fieldPosition="0">
        <references count="1">
          <reference field="3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C0654-DF73-44B8-A31D-C0DDDAF1D2D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H13:I16" firstHeaderRow="1" firstDataRow="1" firstDataCol="1"/>
  <pivotFields count="16">
    <pivotField numFmtId="1" showAll="0"/>
    <pivotField showAll="0"/>
    <pivotField showAll="0"/>
    <pivotField showAll="0"/>
    <pivotField numFmtId="1" showAll="0"/>
    <pivotField numFmtId="164" showAll="0"/>
    <pivotField numFmtId="9" showAll="0"/>
    <pivotField dataField="1" numFmtId="164" showAll="0"/>
    <pivotField numFmtId="14" showAll="0">
      <items count="562">
        <item x="149"/>
        <item x="222"/>
        <item x="358"/>
        <item x="511"/>
        <item x="60"/>
        <item x="144"/>
        <item x="354"/>
        <item x="345"/>
        <item x="312"/>
        <item x="376"/>
        <item x="193"/>
        <item x="558"/>
        <item x="540"/>
        <item x="451"/>
        <item x="498"/>
        <item x="552"/>
        <item x="270"/>
        <item x="258"/>
        <item x="431"/>
        <item x="307"/>
        <item x="180"/>
        <item x="430"/>
        <item x="259"/>
        <item x="386"/>
        <item x="512"/>
        <item x="315"/>
        <item x="549"/>
        <item x="108"/>
        <item x="526"/>
        <item x="286"/>
        <item x="433"/>
        <item x="18"/>
        <item x="257"/>
        <item x="318"/>
        <item x="432"/>
        <item x="138"/>
        <item x="378"/>
        <item x="241"/>
        <item x="420"/>
        <item x="488"/>
        <item x="476"/>
        <item x="359"/>
        <item x="513"/>
        <item x="548"/>
        <item x="405"/>
        <item x="309"/>
        <item x="327"/>
        <item x="499"/>
        <item x="545"/>
        <item x="313"/>
        <item x="404"/>
        <item x="448"/>
        <item x="55"/>
        <item x="469"/>
        <item x="484"/>
        <item x="507"/>
        <item x="160"/>
        <item x="530"/>
        <item x="284"/>
        <item x="348"/>
        <item x="196"/>
        <item x="410"/>
        <item x="161"/>
        <item x="441"/>
        <item x="465"/>
        <item x="232"/>
        <item x="551"/>
        <item x="398"/>
        <item x="452"/>
        <item x="247"/>
        <item x="528"/>
        <item x="5"/>
        <item x="400"/>
        <item x="36"/>
        <item x="248"/>
        <item x="438"/>
        <item x="164"/>
        <item x="295"/>
        <item x="407"/>
        <item x="282"/>
        <item x="509"/>
        <item x="534"/>
        <item x="472"/>
        <item x="519"/>
        <item x="288"/>
        <item x="453"/>
        <item x="183"/>
        <item x="194"/>
        <item x="263"/>
        <item x="489"/>
        <item x="560"/>
        <item x="514"/>
        <item x="416"/>
        <item x="391"/>
        <item x="500"/>
        <item x="490"/>
        <item x="351"/>
        <item x="464"/>
        <item x="251"/>
        <item x="535"/>
        <item x="24"/>
        <item x="457"/>
        <item x="437"/>
        <item x="522"/>
        <item x="85"/>
        <item x="463"/>
        <item x="442"/>
        <item x="460"/>
        <item x="501"/>
        <item x="531"/>
        <item x="435"/>
        <item x="214"/>
        <item x="330"/>
        <item x="557"/>
        <item x="382"/>
        <item x="466"/>
        <item x="65"/>
        <item x="541"/>
        <item x="370"/>
        <item x="543"/>
        <item x="165"/>
        <item x="360"/>
        <item x="372"/>
        <item x="104"/>
        <item x="39"/>
        <item x="136"/>
        <item x="188"/>
        <item x="483"/>
        <item x="553"/>
        <item x="314"/>
        <item x="49"/>
        <item x="429"/>
        <item x="470"/>
        <item x="397"/>
        <item x="264"/>
        <item x="390"/>
        <item x="467"/>
        <item x="399"/>
        <item x="539"/>
        <item x="114"/>
        <item x="302"/>
        <item x="505"/>
        <item x="491"/>
        <item x="6"/>
        <item x="546"/>
        <item x="23"/>
        <item x="352"/>
        <item x="449"/>
        <item x="492"/>
        <item x="80"/>
        <item x="12"/>
        <item x="538"/>
        <item x="317"/>
        <item x="443"/>
        <item x="89"/>
        <item x="278"/>
        <item x="529"/>
        <item x="425"/>
        <item x="377"/>
        <item x="455"/>
        <item x="418"/>
        <item x="190"/>
        <item x="396"/>
        <item x="439"/>
        <item x="15"/>
        <item x="481"/>
        <item x="381"/>
        <item x="262"/>
        <item x="536"/>
        <item x="163"/>
        <item x="172"/>
        <item x="517"/>
        <item x="127"/>
        <item x="393"/>
        <item x="46"/>
        <item x="475"/>
        <item x="494"/>
        <item x="414"/>
        <item x="537"/>
        <item x="238"/>
        <item x="515"/>
        <item x="518"/>
        <item x="556"/>
        <item x="70"/>
        <item x="249"/>
        <item x="412"/>
        <item x="277"/>
        <item x="495"/>
        <item x="145"/>
        <item x="383"/>
        <item x="147"/>
        <item x="185"/>
        <item x="243"/>
        <item x="508"/>
        <item x="244"/>
        <item x="218"/>
        <item x="353"/>
        <item x="261"/>
        <item x="367"/>
        <item x="554"/>
        <item x="329"/>
        <item x="131"/>
        <item x="342"/>
        <item x="447"/>
        <item x="175"/>
        <item x="215"/>
        <item x="415"/>
        <item x="336"/>
        <item x="281"/>
        <item x="503"/>
        <item x="361"/>
        <item x="177"/>
        <item x="221"/>
        <item x="187"/>
        <item x="332"/>
        <item x="113"/>
        <item x="82"/>
        <item x="118"/>
        <item x="486"/>
        <item x="326"/>
        <item x="233"/>
        <item x="297"/>
        <item x="88"/>
        <item x="42"/>
        <item x="246"/>
        <item x="319"/>
        <item x="369"/>
        <item x="402"/>
        <item x="324"/>
        <item x="384"/>
        <item x="168"/>
        <item x="9"/>
        <item x="450"/>
        <item x="525"/>
        <item x="504"/>
        <item x="273"/>
        <item x="116"/>
        <item x="347"/>
        <item x="230"/>
        <item x="544"/>
        <item x="474"/>
        <item x="471"/>
        <item x="497"/>
        <item x="292"/>
        <item x="229"/>
        <item x="166"/>
        <item x="496"/>
        <item x="493"/>
        <item x="64"/>
        <item x="444"/>
        <item x="150"/>
        <item x="202"/>
        <item x="30"/>
        <item x="485"/>
        <item x="219"/>
        <item x="427"/>
        <item x="268"/>
        <item x="308"/>
        <item x="428"/>
        <item x="419"/>
        <item x="52"/>
        <item x="10"/>
        <item x="477"/>
        <item x="167"/>
        <item x="321"/>
        <item x="272"/>
        <item x="189"/>
        <item x="335"/>
        <item x="133"/>
        <item x="506"/>
        <item x="285"/>
        <item x="110"/>
        <item x="334"/>
        <item x="236"/>
        <item x="107"/>
        <item x="94"/>
        <item x="446"/>
        <item x="423"/>
        <item x="362"/>
        <item x="217"/>
        <item x="99"/>
        <item x="283"/>
        <item x="252"/>
        <item x="169"/>
        <item x="550"/>
        <item x="234"/>
        <item x="33"/>
        <item x="95"/>
        <item x="542"/>
        <item x="274"/>
        <item x="143"/>
        <item x="458"/>
        <item x="13"/>
        <item x="84"/>
        <item x="516"/>
        <item x="11"/>
        <item x="158"/>
        <item x="87"/>
        <item x="524"/>
        <item x="134"/>
        <item x="225"/>
        <item x="340"/>
        <item x="157"/>
        <item x="97"/>
        <item x="555"/>
        <item x="44"/>
        <item x="90"/>
        <item x="170"/>
        <item x="100"/>
        <item x="59"/>
        <item x="276"/>
        <item x="103"/>
        <item x="125"/>
        <item x="21"/>
        <item x="328"/>
        <item x="26"/>
        <item x="363"/>
        <item x="373"/>
        <item x="154"/>
        <item x="468"/>
        <item x="379"/>
        <item x="198"/>
        <item x="445"/>
        <item x="409"/>
        <item x="212"/>
        <item x="105"/>
        <item x="462"/>
        <item x="371"/>
        <item x="132"/>
        <item x="408"/>
        <item x="184"/>
        <item x="298"/>
        <item x="146"/>
        <item x="61"/>
        <item x="129"/>
        <item x="395"/>
        <item x="92"/>
        <item x="210"/>
        <item x="375"/>
        <item x="520"/>
        <item x="287"/>
        <item x="191"/>
        <item x="148"/>
        <item x="316"/>
        <item x="98"/>
        <item x="72"/>
        <item x="387"/>
        <item x="487"/>
        <item x="461"/>
        <item x="527"/>
        <item x="4"/>
        <item x="192"/>
        <item x="41"/>
        <item x="54"/>
        <item x="173"/>
        <item x="213"/>
        <item x="482"/>
        <item x="331"/>
        <item x="267"/>
        <item x="66"/>
        <item x="81"/>
        <item x="350"/>
        <item x="2"/>
        <item x="209"/>
        <item x="62"/>
        <item x="300"/>
        <item x="290"/>
        <item x="51"/>
        <item x="311"/>
        <item x="106"/>
        <item x="122"/>
        <item x="296"/>
        <item x="294"/>
        <item x="394"/>
        <item x="124"/>
        <item x="47"/>
        <item x="226"/>
        <item x="473"/>
        <item x="63"/>
        <item x="171"/>
        <item x="422"/>
        <item x="207"/>
        <item x="216"/>
        <item x="93"/>
        <item x="260"/>
        <item x="20"/>
        <item x="368"/>
        <item x="130"/>
        <item x="117"/>
        <item x="349"/>
        <item x="338"/>
        <item x="19"/>
        <item x="401"/>
        <item x="121"/>
        <item x="346"/>
        <item x="151"/>
        <item x="203"/>
        <item x="174"/>
        <item x="322"/>
        <item x="365"/>
        <item x="337"/>
        <item x="31"/>
        <item x="459"/>
        <item x="38"/>
        <item x="53"/>
        <item x="153"/>
        <item x="240"/>
        <item x="208"/>
        <item x="201"/>
        <item x="75"/>
        <item x="16"/>
        <item x="256"/>
        <item x="357"/>
        <item x="58"/>
        <item x="523"/>
        <item x="547"/>
        <item x="310"/>
        <item x="0"/>
        <item x="413"/>
        <item x="533"/>
        <item x="76"/>
        <item x="91"/>
        <item x="67"/>
        <item x="305"/>
        <item x="356"/>
        <item x="27"/>
        <item x="454"/>
        <item x="253"/>
        <item x="235"/>
        <item x="355"/>
        <item x="155"/>
        <item x="299"/>
        <item x="479"/>
        <item x="344"/>
        <item x="56"/>
        <item x="434"/>
        <item x="266"/>
        <item x="14"/>
        <item x="421"/>
        <item x="135"/>
        <item x="223"/>
        <item x="123"/>
        <item x="159"/>
        <item x="156"/>
        <item x="176"/>
        <item x="137"/>
        <item x="224"/>
        <item x="291"/>
        <item x="111"/>
        <item x="126"/>
        <item x="71"/>
        <item x="152"/>
        <item x="306"/>
        <item x="112"/>
        <item x="29"/>
        <item x="50"/>
        <item x="424"/>
        <item x="181"/>
        <item x="403"/>
        <item x="380"/>
        <item x="206"/>
        <item x="28"/>
        <item x="456"/>
        <item x="502"/>
        <item x="68"/>
        <item x="239"/>
        <item x="120"/>
        <item x="141"/>
        <item x="532"/>
        <item x="411"/>
        <item x="186"/>
        <item x="86"/>
        <item x="200"/>
        <item x="139"/>
        <item x="35"/>
        <item x="265"/>
        <item x="385"/>
        <item x="237"/>
        <item x="280"/>
        <item x="77"/>
        <item x="73"/>
        <item x="303"/>
        <item x="275"/>
        <item x="79"/>
        <item x="255"/>
        <item x="510"/>
        <item x="57"/>
        <item x="406"/>
        <item x="521"/>
        <item x="195"/>
        <item x="205"/>
        <item x="289"/>
        <item x="78"/>
        <item x="293"/>
        <item x="364"/>
        <item x="480"/>
        <item x="269"/>
        <item x="341"/>
        <item x="25"/>
        <item x="417"/>
        <item x="388"/>
        <item x="440"/>
        <item x="250"/>
        <item x="343"/>
        <item x="128"/>
        <item x="8"/>
        <item x="182"/>
        <item x="392"/>
        <item x="304"/>
        <item x="325"/>
        <item x="179"/>
        <item x="366"/>
        <item x="231"/>
        <item x="339"/>
        <item x="197"/>
        <item x="436"/>
        <item x="204"/>
        <item x="142"/>
        <item x="211"/>
        <item x="69"/>
        <item x="32"/>
        <item x="271"/>
        <item x="323"/>
        <item x="228"/>
        <item x="109"/>
        <item x="254"/>
        <item x="3"/>
        <item x="245"/>
        <item x="227"/>
        <item x="115"/>
        <item x="301"/>
        <item x="279"/>
        <item x="140"/>
        <item x="101"/>
        <item x="74"/>
        <item x="83"/>
        <item x="45"/>
        <item x="162"/>
        <item x="48"/>
        <item x="199"/>
        <item x="320"/>
        <item x="220"/>
        <item x="374"/>
        <item x="178"/>
        <item x="102"/>
        <item x="478"/>
        <item x="34"/>
        <item x="119"/>
        <item x="389"/>
        <item x="40"/>
        <item x="333"/>
        <item x="22"/>
        <item x="43"/>
        <item x="1"/>
        <item x="426"/>
        <item x="96"/>
        <item x="17"/>
        <item x="559"/>
        <item x="7"/>
        <item x="37"/>
        <item x="24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Sales_Amount" fld="7" baseField="0" baseItem="0" numFmtId="164"/>
  </dataFields>
  <formats count="12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0" type="button" dataOnly="0" labelOnly="1" outline="0" axis="axisRow" fieldPosition="0"/>
    </format>
    <format dxfId="54">
      <pivotArea dataOnly="0" labelOnly="1" fieldPosition="0">
        <references count="1">
          <reference field="10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0" type="button" dataOnly="0" labelOnly="1" outline="0" axis="axisRow" fieldPosition="0"/>
    </format>
    <format dxfId="48">
      <pivotArea dataOnly="0" labelOnly="1" fieldPosition="0">
        <references count="1">
          <reference field="10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FFBD5-EFC8-4E6B-9AC4-80982DDBD99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H3:I10" firstHeaderRow="1" firstDataRow="1" firstDataCol="1"/>
  <pivotFields count="16">
    <pivotField numFmtId="1" showAll="0"/>
    <pivotField showAll="0"/>
    <pivotField showAll="0"/>
    <pivotField showAll="0"/>
    <pivotField numFmtId="1" showAll="0"/>
    <pivotField numFmtId="164" showAll="0"/>
    <pivotField numFmtId="9" showAll="0"/>
    <pivotField dataField="1" numFmtId="164" showAll="0">
      <items count="1421">
        <item x="109"/>
        <item x="1198"/>
        <item x="1278"/>
        <item x="946"/>
        <item x="2"/>
        <item x="378"/>
        <item x="457"/>
        <item x="542"/>
        <item x="240"/>
        <item x="1344"/>
        <item x="1235"/>
        <item x="204"/>
        <item x="234"/>
        <item x="1122"/>
        <item x="811"/>
        <item x="637"/>
        <item x="503"/>
        <item x="1110"/>
        <item x="1411"/>
        <item x="468"/>
        <item x="882"/>
        <item x="458"/>
        <item x="648"/>
        <item x="248"/>
        <item x="74"/>
        <item x="1363"/>
        <item x="809"/>
        <item x="674"/>
        <item x="1185"/>
        <item x="1137"/>
        <item x="1356"/>
        <item x="541"/>
        <item x="632"/>
        <item x="359"/>
        <item x="1030"/>
        <item x="721"/>
        <item x="15"/>
        <item x="1141"/>
        <item x="604"/>
        <item x="280"/>
        <item x="1229"/>
        <item x="406"/>
        <item x="825"/>
        <item x="498"/>
        <item x="211"/>
        <item x="744"/>
        <item x="385"/>
        <item x="1386"/>
        <item x="1024"/>
        <item x="915"/>
        <item x="963"/>
        <item x="315"/>
        <item x="914"/>
        <item x="1098"/>
        <item x="1077"/>
        <item x="1044"/>
        <item x="161"/>
        <item x="573"/>
        <item x="1102"/>
        <item x="467"/>
        <item x="484"/>
        <item x="629"/>
        <item x="369"/>
        <item x="641"/>
        <item x="869"/>
        <item x="906"/>
        <item x="780"/>
        <item x="883"/>
        <item x="590"/>
        <item x="702"/>
        <item x="1003"/>
        <item x="242"/>
        <item x="454"/>
        <item x="350"/>
        <item x="1257"/>
        <item x="6"/>
        <item x="520"/>
        <item x="894"/>
        <item x="374"/>
        <item x="653"/>
        <item x="1314"/>
        <item x="435"/>
        <item x="766"/>
        <item x="46"/>
        <item x="691"/>
        <item x="276"/>
        <item x="895"/>
        <item x="461"/>
        <item x="195"/>
        <item x="377"/>
        <item x="1065"/>
        <item x="67"/>
        <item x="1046"/>
        <item x="147"/>
        <item x="312"/>
        <item x="940"/>
        <item x="1146"/>
        <item x="1360"/>
        <item x="563"/>
        <item x="411"/>
        <item x="1272"/>
        <item x="1108"/>
        <item x="1171"/>
        <item x="1"/>
        <item x="999"/>
        <item x="1138"/>
        <item x="265"/>
        <item x="693"/>
        <item x="719"/>
        <item x="231"/>
        <item x="888"/>
        <item x="1066"/>
        <item x="368"/>
        <item x="695"/>
        <item x="646"/>
        <item x="1225"/>
        <item x="716"/>
        <item x="292"/>
        <item x="397"/>
        <item x="755"/>
        <item x="867"/>
        <item x="24"/>
        <item x="717"/>
        <item x="347"/>
        <item x="1339"/>
        <item x="768"/>
        <item x="139"/>
        <item x="108"/>
        <item x="284"/>
        <item x="1183"/>
        <item x="1416"/>
        <item x="1383"/>
        <item x="817"/>
        <item x="577"/>
        <item x="824"/>
        <item x="245"/>
        <item x="165"/>
        <item x="90"/>
        <item x="908"/>
        <item x="219"/>
        <item x="53"/>
        <item x="799"/>
        <item x="319"/>
        <item x="1029"/>
        <item x="774"/>
        <item x="649"/>
        <item x="703"/>
        <item x="1016"/>
        <item x="271"/>
        <item x="156"/>
        <item x="529"/>
        <item x="593"/>
        <item x="918"/>
        <item x="252"/>
        <item x="355"/>
        <item x="255"/>
        <item x="247"/>
        <item x="1204"/>
        <item x="522"/>
        <item x="706"/>
        <item x="712"/>
        <item x="146"/>
        <item x="589"/>
        <item x="1262"/>
        <item x="508"/>
        <item x="338"/>
        <item x="1298"/>
        <item x="68"/>
        <item x="1334"/>
        <item x="767"/>
        <item x="1020"/>
        <item x="1266"/>
        <item x="4"/>
        <item x="185"/>
        <item x="158"/>
        <item x="465"/>
        <item x="1224"/>
        <item x="122"/>
        <item x="727"/>
        <item x="483"/>
        <item x="993"/>
        <item x="393"/>
        <item x="956"/>
        <item x="352"/>
        <item x="849"/>
        <item x="1237"/>
        <item x="822"/>
        <item x="59"/>
        <item x="18"/>
        <item x="798"/>
        <item x="977"/>
        <item x="1149"/>
        <item x="557"/>
        <item x="677"/>
        <item x="116"/>
        <item x="1209"/>
        <item x="558"/>
        <item x="878"/>
        <item x="1279"/>
        <item x="1043"/>
        <item x="810"/>
        <item x="554"/>
        <item x="981"/>
        <item x="1226"/>
        <item x="1245"/>
        <item x="951"/>
        <item x="441"/>
        <item x="1350"/>
        <item x="62"/>
        <item x="1357"/>
        <item x="921"/>
        <item x="759"/>
        <item x="26"/>
        <item x="889"/>
        <item x="1392"/>
        <item x="964"/>
        <item x="492"/>
        <item x="668"/>
        <item x="497"/>
        <item x="396"/>
        <item x="1218"/>
        <item x="0"/>
        <item x="539"/>
        <item x="1242"/>
        <item x="84"/>
        <item x="639"/>
        <item x="974"/>
        <item x="697"/>
        <item x="388"/>
        <item x="896"/>
        <item x="1397"/>
        <item x="1028"/>
        <item x="1196"/>
        <item x="975"/>
        <item x="806"/>
        <item x="1166"/>
        <item x="1015"/>
        <item x="436"/>
        <item x="938"/>
        <item x="357"/>
        <item x="926"/>
        <item x="206"/>
        <item x="650"/>
        <item x="430"/>
        <item x="515"/>
        <item x="625"/>
        <item x="819"/>
        <item x="898"/>
        <item x="608"/>
        <item x="1113"/>
        <item x="262"/>
        <item x="859"/>
        <item x="1281"/>
        <item x="1222"/>
        <item x="827"/>
        <item x="477"/>
        <item x="1295"/>
        <item x="339"/>
        <item x="342"/>
        <item x="842"/>
        <item x="1052"/>
        <item x="901"/>
        <item x="1223"/>
        <item x="950"/>
        <item x="1038"/>
        <item x="390"/>
        <item x="617"/>
        <item x="111"/>
        <item x="1189"/>
        <item x="553"/>
        <item x="807"/>
        <item x="1389"/>
        <item x="416"/>
        <item x="1263"/>
        <item x="1125"/>
        <item x="260"/>
        <item x="448"/>
        <item x="523"/>
        <item x="365"/>
        <item x="1384"/>
        <item x="1182"/>
        <item x="1301"/>
        <item x="277"/>
        <item x="1184"/>
        <item x="620"/>
        <item x="723"/>
        <item x="325"/>
        <item x="724"/>
        <item x="76"/>
        <item x="576"/>
        <item x="735"/>
        <item x="413"/>
        <item x="1331"/>
        <item x="1118"/>
        <item x="82"/>
        <item x="287"/>
        <item x="34"/>
        <item x="307"/>
        <item x="936"/>
        <item x="1346"/>
        <item x="1050"/>
        <item x="336"/>
        <item x="1336"/>
        <item x="425"/>
        <item x="57"/>
        <item x="438"/>
        <item x="1337"/>
        <item x="880"/>
        <item x="645"/>
        <item x="987"/>
        <item x="881"/>
        <item x="163"/>
        <item x="188"/>
        <item x="853"/>
        <item x="491"/>
        <item x="623"/>
        <item x="848"/>
        <item x="43"/>
        <item x="1208"/>
        <item x="564"/>
        <item x="323"/>
        <item x="1329"/>
        <item x="943"/>
        <item x="897"/>
        <item x="1019"/>
        <item x="351"/>
        <item x="1081"/>
        <item x="274"/>
        <item x="1250"/>
        <item x="403"/>
        <item x="941"/>
        <item x="615"/>
        <item x="236"/>
        <item x="1365"/>
        <item x="1187"/>
        <item x="462"/>
        <item x="1289"/>
        <item x="1162"/>
        <item x="80"/>
        <item x="659"/>
        <item x="753"/>
        <item x="301"/>
        <item x="1387"/>
        <item x="1145"/>
        <item x="1211"/>
        <item x="155"/>
        <item x="232"/>
        <item x="106"/>
        <item x="688"/>
        <item x="1406"/>
        <item x="464"/>
        <item x="990"/>
        <item x="466"/>
        <item x="1032"/>
        <item x="502"/>
        <item x="364"/>
        <item x="587"/>
        <item x="657"/>
        <item x="371"/>
        <item x="129"/>
        <item x="1253"/>
        <item x="813"/>
        <item x="736"/>
        <item x="1088"/>
        <item x="544"/>
        <item x="836"/>
        <item x="796"/>
        <item x="392"/>
        <item x="1239"/>
        <item x="574"/>
        <item x="177"/>
        <item x="872"/>
        <item x="535"/>
        <item x="1369"/>
        <item x="569"/>
        <item x="607"/>
        <item x="1140"/>
        <item x="902"/>
        <item x="992"/>
        <item x="384"/>
        <item x="610"/>
        <item x="162"/>
        <item x="741"/>
        <item x="254"/>
        <item x="33"/>
        <item x="313"/>
        <item x="1175"/>
        <item x="151"/>
        <item x="449"/>
        <item x="329"/>
        <item x="930"/>
        <item x="32"/>
        <item x="251"/>
        <item x="1364"/>
        <item x="295"/>
        <item x="474"/>
        <item x="330"/>
        <item x="1313"/>
        <item x="1282"/>
        <item x="1167"/>
        <item x="669"/>
        <item x="208"/>
        <item x="543"/>
        <item x="737"/>
        <item x="1105"/>
        <item x="521"/>
        <item x="613"/>
        <item x="212"/>
        <item x="176"/>
        <item x="1008"/>
        <item x="1080"/>
        <item x="1087"/>
        <item x="476"/>
        <item x="180"/>
        <item x="844"/>
        <item x="258"/>
        <item x="667"/>
        <item x="1104"/>
        <item x="622"/>
        <item x="419"/>
        <item x="407"/>
        <item x="118"/>
        <item x="661"/>
        <item x="1096"/>
        <item x="182"/>
        <item x="551"/>
        <item x="1341"/>
        <item x="20"/>
        <item x="784"/>
        <item x="157"/>
        <item x="200"/>
        <item x="71"/>
        <item x="1062"/>
        <item x="685"/>
        <item x="424"/>
        <item x="762"/>
        <item x="1041"/>
        <item x="531"/>
        <item x="105"/>
        <item x="715"/>
        <item x="249"/>
        <item x="686"/>
        <item x="595"/>
        <item x="850"/>
        <item x="519"/>
        <item x="643"/>
        <item x="389"/>
        <item x="511"/>
        <item x="1116"/>
        <item x="395"/>
        <item x="3"/>
        <item x="713"/>
        <item x="196"/>
        <item x="194"/>
        <item x="1199"/>
        <item x="1115"/>
        <item x="92"/>
        <item x="63"/>
        <item x="479"/>
        <item x="1086"/>
        <item x="725"/>
        <item x="1060"/>
        <item x="676"/>
        <item x="797"/>
        <item x="1095"/>
        <item x="701"/>
        <item x="1112"/>
        <item x="97"/>
        <item x="652"/>
        <item x="1014"/>
        <item x="370"/>
        <item x="534"/>
        <item x="1153"/>
        <item x="1202"/>
        <item x="801"/>
        <item x="562"/>
        <item x="710"/>
        <item x="1374"/>
        <item x="1017"/>
        <item x="739"/>
        <item x="481"/>
        <item x="559"/>
        <item x="1005"/>
        <item x="1332"/>
        <item x="749"/>
        <item x="229"/>
        <item x="1275"/>
        <item x="747"/>
        <item x="962"/>
        <item x="362"/>
        <item x="1022"/>
        <item x="28"/>
        <item x="1403"/>
        <item x="984"/>
        <item x="215"/>
        <item x="1299"/>
        <item x="1147"/>
        <item x="594"/>
        <item x="761"/>
        <item x="290"/>
        <item x="989"/>
        <item x="302"/>
        <item x="877"/>
        <item x="30"/>
        <item x="556"/>
        <item x="696"/>
        <item x="1099"/>
        <item x="363"/>
        <item x="440"/>
        <item x="473"/>
        <item x="586"/>
        <item x="455"/>
        <item x="353"/>
        <item x="311"/>
        <item x="1399"/>
        <item x="800"/>
        <item x="51"/>
        <item x="947"/>
        <item x="612"/>
        <item x="1078"/>
        <item x="808"/>
        <item x="412"/>
        <item x="1203"/>
        <item x="141"/>
        <item x="884"/>
        <item x="168"/>
        <item x="143"/>
        <item x="334"/>
        <item x="876"/>
        <item x="314"/>
        <item x="660"/>
        <item x="606"/>
        <item x="748"/>
        <item x="679"/>
        <item x="409"/>
        <item x="1180"/>
        <item x="91"/>
        <item x="446"/>
        <item x="1109"/>
        <item x="114"/>
        <item x="638"/>
        <item x="1000"/>
        <item x="675"/>
        <item x="95"/>
        <item x="235"/>
        <item x="1277"/>
        <item x="698"/>
        <item x="1134"/>
        <item x="170"/>
        <item x="1090"/>
        <item x="263"/>
        <item x="546"/>
        <item x="354"/>
        <item x="175"/>
        <item x="317"/>
        <item x="957"/>
        <item x="136"/>
        <item x="104"/>
        <item x="1419"/>
        <item x="1120"/>
        <item x="916"/>
        <item x="1355"/>
        <item x="496"/>
        <item x="538"/>
        <item x="1054"/>
        <item x="298"/>
        <item x="1323"/>
        <item x="1155"/>
        <item x="1193"/>
        <item x="815"/>
        <item x="1164"/>
        <item x="1366"/>
        <item x="524"/>
        <item x="433"/>
        <item x="548"/>
        <item x="11"/>
        <item x="636"/>
        <item x="864"/>
        <item x="537"/>
        <item x="332"/>
        <item x="418"/>
        <item x="77"/>
        <item x="35"/>
        <item x="1260"/>
        <item x="892"/>
        <item x="742"/>
        <item x="1342"/>
        <item x="1394"/>
        <item x="410"/>
        <item x="745"/>
        <item x="241"/>
        <item x="1025"/>
        <item x="8"/>
        <item x="257"/>
        <item x="1021"/>
        <item x="678"/>
        <item x="1407"/>
        <item x="193"/>
        <item x="149"/>
        <item x="666"/>
        <item x="1370"/>
        <item x="361"/>
        <item x="399"/>
        <item x="863"/>
        <item x="1128"/>
        <item x="729"/>
        <item x="832"/>
        <item x="525"/>
        <item x="470"/>
        <item x="293"/>
        <item x="874"/>
        <item x="283"/>
        <item x="306"/>
        <item x="408"/>
        <item x="5"/>
        <item x="621"/>
        <item x="1049"/>
        <item x="967"/>
        <item x="159"/>
        <item x="683"/>
        <item x="972"/>
        <item x="1221"/>
        <item x="899"/>
        <item x="171"/>
        <item x="60"/>
        <item x="1160"/>
        <item x="1292"/>
        <item x="922"/>
        <item x="1156"/>
        <item x="602"/>
        <item x="78"/>
        <item x="213"/>
        <item x="518"/>
        <item x="488"/>
        <item x="1216"/>
        <item x="19"/>
        <item x="281"/>
        <item x="991"/>
        <item x="1359"/>
        <item x="1010"/>
        <item x="1367"/>
        <item x="160"/>
        <item x="1121"/>
        <item x="209"/>
        <item x="1409"/>
        <item x="664"/>
        <item x="517"/>
        <item x="925"/>
        <item x="437"/>
        <item x="1243"/>
        <item x="904"/>
        <item x="493"/>
        <item x="1283"/>
        <item x="326"/>
        <item x="1201"/>
        <item x="154"/>
        <item x="1135"/>
        <item x="526"/>
        <item x="444"/>
        <item x="1190"/>
        <item x="597"/>
        <item x="994"/>
        <item x="1169"/>
        <item x="823"/>
        <item x="40"/>
        <item x="1123"/>
        <item x="829"/>
        <item x="427"/>
        <item x="221"/>
        <item x="614"/>
        <item x="640"/>
        <item x="1093"/>
        <item x="700"/>
        <item x="49"/>
        <item x="414"/>
        <item x="1255"/>
        <item x="1311"/>
        <item x="1379"/>
        <item x="680"/>
        <item x="259"/>
        <item x="769"/>
        <item x="1036"/>
        <item x="826"/>
        <item x="920"/>
        <item x="655"/>
        <item x="126"/>
        <item x="1381"/>
        <item x="1213"/>
        <item x="568"/>
        <item x="837"/>
        <item x="1325"/>
        <item x="44"/>
        <item x="1150"/>
        <item x="321"/>
        <item x="572"/>
        <item x="107"/>
        <item x="1119"/>
        <item x="1177"/>
        <item x="94"/>
        <item x="1207"/>
        <item x="310"/>
        <item x="1328"/>
        <item x="782"/>
        <item x="516"/>
        <item x="965"/>
        <item x="1353"/>
        <item x="944"/>
        <item x="1249"/>
        <item x="499"/>
        <item x="1259"/>
        <item x="1372"/>
        <item x="328"/>
        <item x="1103"/>
        <item x="356"/>
        <item x="1321"/>
        <item x="1343"/>
        <item x="1212"/>
        <item x="658"/>
        <item x="1393"/>
        <item x="296"/>
        <item x="244"/>
        <item x="358"/>
        <item x="738"/>
        <item x="494"/>
        <item x="191"/>
        <item x="340"/>
        <item x="1206"/>
        <item x="81"/>
        <item x="731"/>
        <item x="303"/>
        <item x="115"/>
        <item x="214"/>
        <item x="1303"/>
        <item x="1361"/>
        <item x="164"/>
        <item x="746"/>
        <item x="924"/>
        <item x="201"/>
        <item x="207"/>
        <item x="1349"/>
        <item x="1274"/>
        <item x="754"/>
        <item x="581"/>
        <item x="172"/>
        <item x="128"/>
        <item x="431"/>
        <item x="190"/>
        <item x="934"/>
        <item x="969"/>
        <item x="1322"/>
        <item x="186"/>
        <item x="39"/>
        <item x="1047"/>
        <item x="1091"/>
        <item x="507"/>
        <item x="609"/>
        <item x="173"/>
        <item x="644"/>
        <item x="69"/>
        <item x="1007"/>
        <item x="1258"/>
        <item x="955"/>
        <item x="379"/>
        <item x="910"/>
        <item x="868"/>
        <item x="1107"/>
        <item x="439"/>
        <item x="789"/>
        <item x="1405"/>
        <item x="144"/>
        <item x="705"/>
        <item x="933"/>
        <item x="995"/>
        <item x="100"/>
        <item x="1039"/>
        <item x="1270"/>
        <item x="1083"/>
        <item x="570"/>
        <item x="1045"/>
        <item x="264"/>
        <item x="21"/>
        <item x="684"/>
        <item x="958"/>
        <item x="775"/>
        <item x="1417"/>
        <item x="183"/>
        <item x="179"/>
        <item x="1082"/>
        <item x="820"/>
        <item x="1053"/>
        <item x="453"/>
        <item x="616"/>
        <item x="1200"/>
        <item x="1013"/>
        <item x="1084"/>
        <item x="858"/>
        <item x="1352"/>
        <item x="22"/>
        <item x="835"/>
        <item x="1380"/>
        <item x="1286"/>
        <item x="505"/>
        <item x="286"/>
        <item x="42"/>
        <item x="873"/>
        <item x="791"/>
        <item x="1018"/>
        <item x="38"/>
        <item x="1371"/>
        <item x="349"/>
        <item x="1163"/>
        <item x="1142"/>
        <item x="506"/>
        <item x="401"/>
        <item x="1151"/>
        <item x="383"/>
        <item x="1246"/>
        <item x="428"/>
        <item x="911"/>
        <item x="1285"/>
        <item x="875"/>
        <item x="404"/>
        <item x="192"/>
        <item x="1240"/>
        <item x="142"/>
        <item x="1304"/>
        <item x="968"/>
        <item x="718"/>
        <item x="794"/>
        <item x="445"/>
        <item x="1308"/>
        <item x="1085"/>
        <item x="795"/>
        <item x="1037"/>
        <item x="480"/>
        <item x="199"/>
        <item x="140"/>
        <item x="1174"/>
        <item x="1398"/>
        <item x="300"/>
        <item x="726"/>
        <item x="1143"/>
        <item x="945"/>
        <item x="988"/>
        <item x="123"/>
        <item x="905"/>
        <item x="471"/>
        <item x="31"/>
        <item x="549"/>
        <item x="821"/>
        <item x="16"/>
        <item x="855"/>
        <item x="373"/>
        <item x="707"/>
        <item x="120"/>
        <item x="452"/>
        <item x="366"/>
        <item x="584"/>
        <item x="27"/>
        <item x="25"/>
        <item x="309"/>
        <item x="463"/>
        <item x="605"/>
        <item x="1412"/>
        <item x="110"/>
        <item x="860"/>
        <item x="1227"/>
        <item x="891"/>
        <item x="651"/>
        <item x="202"/>
        <item x="1048"/>
        <item x="663"/>
        <item x="1100"/>
        <item x="1309"/>
        <item x="288"/>
        <item x="708"/>
        <item x="838"/>
        <item x="1362"/>
        <item x="1288"/>
        <item x="909"/>
        <item x="501"/>
        <item x="592"/>
        <item x="291"/>
        <item x="133"/>
        <item x="1064"/>
        <item x="527"/>
        <item x="805"/>
        <item x="103"/>
        <item x="983"/>
        <item x="36"/>
        <item x="1130"/>
        <item x="12"/>
        <item x="588"/>
        <item x="1340"/>
        <item x="907"/>
        <item x="1324"/>
        <item x="282"/>
        <item x="509"/>
        <item x="728"/>
        <item x="1385"/>
        <item x="948"/>
        <item x="1319"/>
        <item x="1268"/>
        <item x="778"/>
        <item x="1388"/>
        <item x="1117"/>
        <item x="1401"/>
        <item x="13"/>
        <item x="845"/>
        <item x="583"/>
        <item x="121"/>
        <item x="1191"/>
        <item x="459"/>
        <item x="1408"/>
        <item x="1347"/>
        <item x="547"/>
        <item x="1069"/>
        <item x="690"/>
        <item x="217"/>
        <item x="504"/>
        <item x="803"/>
        <item x="917"/>
        <item x="198"/>
        <item x="61"/>
        <item x="555"/>
        <item x="1396"/>
        <item x="1280"/>
        <item x="792"/>
        <item x="816"/>
        <item x="704"/>
        <item x="48"/>
        <item x="398"/>
        <item x="1248"/>
        <item x="1302"/>
        <item x="285"/>
        <item x="512"/>
        <item x="1327"/>
        <item x="253"/>
        <item x="1170"/>
        <item x="978"/>
        <item x="1219"/>
        <item x="1410"/>
        <item x="137"/>
        <item x="912"/>
        <item x="124"/>
        <item x="1158"/>
        <item x="1058"/>
        <item x="1306"/>
        <item x="591"/>
        <item x="225"/>
        <item x="266"/>
        <item x="489"/>
        <item x="1217"/>
        <item x="87"/>
        <item x="1073"/>
        <item x="246"/>
        <item x="628"/>
        <item x="1413"/>
        <item x="862"/>
        <item x="976"/>
        <item x="181"/>
        <item x="72"/>
        <item x="189"/>
        <item x="885"/>
        <item x="818"/>
        <item x="485"/>
        <item x="565"/>
        <item x="699"/>
        <item x="513"/>
        <item x="1027"/>
        <item x="1124"/>
        <item x="949"/>
        <item x="1139"/>
        <item x="402"/>
        <item x="197"/>
        <item x="814"/>
        <item x="272"/>
        <item x="580"/>
        <item x="758"/>
        <item x="879"/>
        <item x="671"/>
        <item x="730"/>
        <item x="1094"/>
        <item x="222"/>
        <item x="1305"/>
        <item x="1186"/>
        <item x="903"/>
        <item x="1376"/>
        <item x="1290"/>
        <item x="770"/>
        <item x="788"/>
        <item x="380"/>
        <item x="1231"/>
        <item x="857"/>
        <item x="1159"/>
        <item x="1154"/>
        <item x="611"/>
        <item x="1358"/>
        <item x="1230"/>
        <item x="785"/>
        <item x="117"/>
        <item x="596"/>
        <item x="1106"/>
        <item x="1316"/>
        <item x="787"/>
        <item x="475"/>
        <item x="870"/>
        <item x="218"/>
        <item x="852"/>
        <item x="953"/>
        <item x="1220"/>
        <item x="478"/>
        <item x="1023"/>
        <item x="1296"/>
        <item x="1126"/>
        <item x="1034"/>
        <item x="422"/>
        <item x="656"/>
        <item x="781"/>
        <item x="709"/>
        <item x="740"/>
        <item x="833"/>
        <item x="1210"/>
        <item x="1129"/>
        <item x="279"/>
        <item x="790"/>
        <item x="1089"/>
        <item x="451"/>
        <item x="959"/>
        <item x="1241"/>
        <item x="434"/>
        <item x="514"/>
        <item x="692"/>
        <item x="1252"/>
        <item x="1330"/>
        <item x="375"/>
        <item x="305"/>
        <item x="113"/>
        <item x="777"/>
        <item x="230"/>
        <item x="261"/>
        <item x="670"/>
        <item x="1205"/>
        <item x="1176"/>
        <item x="1300"/>
        <item x="275"/>
        <item x="828"/>
        <item x="966"/>
        <item x="1256"/>
        <item x="840"/>
        <item x="1152"/>
        <item x="765"/>
        <item x="1326"/>
        <item x="575"/>
        <item x="391"/>
        <item x="132"/>
        <item x="732"/>
        <item x="224"/>
        <item x="344"/>
        <item x="184"/>
        <item x="843"/>
        <item x="618"/>
        <item x="228"/>
        <item x="112"/>
        <item x="304"/>
        <item x="294"/>
        <item x="752"/>
        <item x="487"/>
        <item x="1318"/>
        <item x="70"/>
        <item x="783"/>
        <item x="841"/>
        <item x="1074"/>
        <item x="971"/>
        <item x="631"/>
        <item x="757"/>
        <item x="578"/>
        <item x="223"/>
        <item x="343"/>
        <item x="500"/>
        <item x="52"/>
        <item x="58"/>
        <item x="750"/>
        <item x="119"/>
        <item x="335"/>
        <item x="919"/>
        <item x="400"/>
        <item x="1165"/>
        <item x="1131"/>
        <item x="96"/>
        <item x="1287"/>
        <item x="937"/>
        <item x="1136"/>
        <item x="929"/>
        <item x="55"/>
        <item x="423"/>
        <item x="456"/>
        <item x="733"/>
        <item x="1402"/>
        <item x="1269"/>
        <item x="923"/>
        <item x="662"/>
        <item x="582"/>
        <item x="268"/>
        <item x="1354"/>
        <item x="50"/>
        <item x="1284"/>
        <item x="533"/>
        <item x="394"/>
        <item x="273"/>
        <item x="226"/>
        <item x="942"/>
        <item x="560"/>
        <item x="771"/>
        <item x="1375"/>
        <item x="1377"/>
        <item x="64"/>
        <item x="73"/>
        <item x="131"/>
        <item x="804"/>
        <item x="88"/>
        <item x="540"/>
        <item x="598"/>
        <item x="85"/>
        <item x="1264"/>
        <item x="1390"/>
        <item x="689"/>
        <item x="1002"/>
        <item x="996"/>
        <item x="802"/>
        <item x="1315"/>
        <item x="954"/>
        <item x="1071"/>
        <item x="654"/>
        <item x="331"/>
        <item x="1404"/>
        <item x="839"/>
        <item x="135"/>
        <item x="102"/>
        <item x="1265"/>
        <item x="372"/>
        <item x="1070"/>
        <item x="41"/>
        <item x="932"/>
        <item x="1251"/>
        <item x="571"/>
        <item x="1236"/>
        <item x="1006"/>
        <item x="1051"/>
        <item x="619"/>
        <item x="1291"/>
        <item x="93"/>
        <item x="1063"/>
        <item x="935"/>
        <item x="846"/>
        <item x="681"/>
        <item x="734"/>
        <item x="322"/>
        <item x="98"/>
        <item x="308"/>
        <item x="1271"/>
        <item x="472"/>
        <item x="1415"/>
        <item x="7"/>
        <item x="1267"/>
        <item x="1338"/>
        <item x="1132"/>
        <item x="1345"/>
        <item x="633"/>
        <item x="490"/>
        <item x="812"/>
        <item x="1035"/>
        <item x="1233"/>
        <item x="890"/>
        <item x="579"/>
        <item x="270"/>
        <item x="647"/>
        <item x="299"/>
        <item x="1232"/>
        <item x="130"/>
        <item x="1348"/>
        <item x="54"/>
        <item x="220"/>
        <item x="9"/>
        <item x="376"/>
        <item x="345"/>
        <item x="174"/>
        <item x="672"/>
        <item x="834"/>
        <item x="871"/>
        <item x="600"/>
        <item x="1414"/>
        <item x="447"/>
        <item x="985"/>
        <item x="1067"/>
        <item x="83"/>
        <item x="567"/>
        <item x="47"/>
        <item x="297"/>
        <item x="65"/>
        <item x="1157"/>
        <item x="694"/>
        <item x="1368"/>
        <item x="714"/>
        <item x="381"/>
        <item x="1168"/>
        <item x="866"/>
        <item x="1114"/>
        <item x="1320"/>
        <item x="56"/>
        <item x="626"/>
        <item x="998"/>
        <item x="1042"/>
        <item x="138"/>
        <item x="346"/>
        <item x="278"/>
        <item x="1188"/>
        <item x="786"/>
        <item x="1031"/>
        <item x="233"/>
        <item x="421"/>
        <item x="1068"/>
        <item x="1181"/>
        <item x="14"/>
        <item x="585"/>
        <item x="1373"/>
        <item x="10"/>
        <item x="1172"/>
        <item x="417"/>
        <item x="148"/>
        <item x="243"/>
        <item x="913"/>
        <item x="687"/>
        <item x="17"/>
        <item x="45"/>
        <item x="169"/>
        <item x="150"/>
        <item x="1178"/>
        <item x="216"/>
        <item x="599"/>
        <item x="1144"/>
        <item x="316"/>
        <item x="333"/>
        <item x="763"/>
        <item x="854"/>
        <item x="510"/>
        <item x="1111"/>
        <item x="153"/>
        <item x="1040"/>
        <item x="75"/>
        <item x="442"/>
        <item x="429"/>
        <item x="627"/>
        <item x="642"/>
        <item x="865"/>
        <item x="99"/>
        <item x="1351"/>
        <item x="145"/>
        <item x="1395"/>
        <item x="630"/>
        <item x="566"/>
        <item x="1059"/>
        <item x="1097"/>
        <item x="405"/>
        <item x="856"/>
        <item x="1148"/>
        <item x="327"/>
        <item x="1215"/>
        <item x="1273"/>
        <item x="773"/>
        <item x="495"/>
        <item x="318"/>
        <item x="682"/>
        <item x="1194"/>
        <item x="178"/>
        <item x="1026"/>
        <item x="432"/>
        <item x="952"/>
        <item x="239"/>
        <item x="1009"/>
        <item x="320"/>
        <item x="1254"/>
        <item x="1312"/>
        <item x="545"/>
        <item x="1004"/>
        <item x="603"/>
        <item x="711"/>
        <item x="722"/>
        <item x="360"/>
        <item x="1307"/>
        <item x="1234"/>
        <item x="861"/>
        <item x="420"/>
        <item x="1061"/>
        <item x="793"/>
        <item x="1214"/>
        <item x="1092"/>
        <item x="482"/>
        <item x="624"/>
        <item x="893"/>
        <item x="1076"/>
        <item x="387"/>
        <item x="187"/>
        <item x="29"/>
        <item x="1317"/>
        <item x="550"/>
        <item x="886"/>
        <item x="831"/>
        <item x="634"/>
        <item x="536"/>
        <item x="751"/>
        <item x="1133"/>
        <item x="469"/>
        <item x="415"/>
        <item x="101"/>
        <item x="127"/>
        <item x="203"/>
        <item x="970"/>
        <item x="1238"/>
        <item x="1033"/>
        <item x="530"/>
        <item x="1179"/>
        <item x="37"/>
        <item x="23"/>
        <item x="776"/>
        <item x="1276"/>
        <item x="1075"/>
        <item x="205"/>
        <item x="1197"/>
        <item x="635"/>
        <item x="237"/>
        <item x="166"/>
        <item x="900"/>
        <item x="1310"/>
        <item x="986"/>
        <item x="167"/>
        <item x="1297"/>
        <item x="486"/>
        <item x="939"/>
        <item x="86"/>
        <item x="1244"/>
        <item x="1127"/>
        <item x="1173"/>
        <item x="1161"/>
        <item x="847"/>
        <item x="1391"/>
        <item x="210"/>
        <item x="348"/>
        <item x="1001"/>
        <item x="997"/>
        <item x="1418"/>
        <item x="756"/>
        <item x="528"/>
        <item x="851"/>
        <item x="743"/>
        <item x="830"/>
        <item x="1011"/>
        <item x="673"/>
        <item x="1012"/>
        <item x="927"/>
        <item x="982"/>
        <item x="1057"/>
        <item x="973"/>
        <item x="382"/>
        <item x="779"/>
        <item x="337"/>
        <item x="979"/>
        <item x="79"/>
        <item x="1192"/>
        <item x="238"/>
        <item x="367"/>
        <item x="1382"/>
        <item x="1195"/>
        <item x="89"/>
        <item x="267"/>
        <item x="450"/>
        <item x="928"/>
        <item x="764"/>
        <item x="227"/>
        <item x="1400"/>
        <item x="1079"/>
        <item x="1228"/>
        <item x="1072"/>
        <item x="1333"/>
        <item x="426"/>
        <item x="887"/>
        <item x="601"/>
        <item x="561"/>
        <item x="961"/>
        <item x="1055"/>
        <item x="1293"/>
        <item x="256"/>
        <item x="324"/>
        <item x="289"/>
        <item x="152"/>
        <item x="250"/>
        <item x="1101"/>
        <item x="341"/>
        <item x="1294"/>
        <item x="1335"/>
        <item x="532"/>
        <item x="1378"/>
        <item x="1261"/>
        <item x="443"/>
        <item x="552"/>
        <item x="960"/>
        <item x="665"/>
        <item x="460"/>
        <item x="772"/>
        <item x="269"/>
        <item x="760"/>
        <item x="980"/>
        <item x="931"/>
        <item x="1056"/>
        <item x="66"/>
        <item x="134"/>
        <item x="720"/>
        <item x="386"/>
        <item x="1247"/>
        <item x="125"/>
        <item t="default"/>
      </items>
    </pivotField>
    <pivotField numFmtId="14" showAll="0">
      <items count="562">
        <item x="149"/>
        <item x="222"/>
        <item x="358"/>
        <item x="511"/>
        <item x="60"/>
        <item x="144"/>
        <item x="354"/>
        <item x="345"/>
        <item x="312"/>
        <item x="376"/>
        <item x="193"/>
        <item x="558"/>
        <item x="540"/>
        <item x="451"/>
        <item x="498"/>
        <item x="552"/>
        <item x="270"/>
        <item x="258"/>
        <item x="431"/>
        <item x="307"/>
        <item x="180"/>
        <item x="430"/>
        <item x="259"/>
        <item x="386"/>
        <item x="512"/>
        <item x="315"/>
        <item x="549"/>
        <item x="108"/>
        <item x="526"/>
        <item x="286"/>
        <item x="433"/>
        <item x="18"/>
        <item x="257"/>
        <item x="318"/>
        <item x="432"/>
        <item x="138"/>
        <item x="378"/>
        <item x="241"/>
        <item x="420"/>
        <item x="488"/>
        <item x="476"/>
        <item x="359"/>
        <item x="513"/>
        <item x="548"/>
        <item x="405"/>
        <item x="309"/>
        <item x="327"/>
        <item x="499"/>
        <item x="545"/>
        <item x="313"/>
        <item x="404"/>
        <item x="448"/>
        <item x="55"/>
        <item x="469"/>
        <item x="484"/>
        <item x="507"/>
        <item x="160"/>
        <item x="530"/>
        <item x="284"/>
        <item x="348"/>
        <item x="196"/>
        <item x="410"/>
        <item x="161"/>
        <item x="441"/>
        <item x="465"/>
        <item x="232"/>
        <item x="551"/>
        <item x="398"/>
        <item x="452"/>
        <item x="247"/>
        <item x="528"/>
        <item x="5"/>
        <item x="400"/>
        <item x="36"/>
        <item x="248"/>
        <item x="438"/>
        <item x="164"/>
        <item x="295"/>
        <item x="407"/>
        <item x="282"/>
        <item x="509"/>
        <item x="534"/>
        <item x="472"/>
        <item x="519"/>
        <item x="288"/>
        <item x="453"/>
        <item x="183"/>
        <item x="194"/>
        <item x="263"/>
        <item x="489"/>
        <item x="560"/>
        <item x="514"/>
        <item x="416"/>
        <item x="391"/>
        <item x="500"/>
        <item x="490"/>
        <item x="351"/>
        <item x="464"/>
        <item x="251"/>
        <item x="535"/>
        <item x="24"/>
        <item x="457"/>
        <item x="437"/>
        <item x="522"/>
        <item x="85"/>
        <item x="463"/>
        <item x="442"/>
        <item x="460"/>
        <item x="501"/>
        <item x="531"/>
        <item x="435"/>
        <item x="214"/>
        <item x="330"/>
        <item x="557"/>
        <item x="382"/>
        <item x="466"/>
        <item x="65"/>
        <item x="541"/>
        <item x="370"/>
        <item x="543"/>
        <item x="165"/>
        <item x="360"/>
        <item x="372"/>
        <item x="104"/>
        <item x="39"/>
        <item x="136"/>
        <item x="188"/>
        <item x="483"/>
        <item x="553"/>
        <item x="314"/>
        <item x="49"/>
        <item x="429"/>
        <item x="470"/>
        <item x="397"/>
        <item x="264"/>
        <item x="390"/>
        <item x="467"/>
        <item x="399"/>
        <item x="539"/>
        <item x="114"/>
        <item x="302"/>
        <item x="505"/>
        <item x="491"/>
        <item x="6"/>
        <item x="546"/>
        <item x="23"/>
        <item x="352"/>
        <item x="449"/>
        <item x="492"/>
        <item x="80"/>
        <item x="12"/>
        <item x="538"/>
        <item x="317"/>
        <item x="443"/>
        <item x="89"/>
        <item x="278"/>
        <item x="529"/>
        <item x="425"/>
        <item x="377"/>
        <item x="455"/>
        <item x="418"/>
        <item x="190"/>
        <item x="396"/>
        <item x="439"/>
        <item x="15"/>
        <item x="481"/>
        <item x="381"/>
        <item x="262"/>
        <item x="536"/>
        <item x="163"/>
        <item x="172"/>
        <item x="517"/>
        <item x="127"/>
        <item x="393"/>
        <item x="46"/>
        <item x="475"/>
        <item x="494"/>
        <item x="414"/>
        <item x="537"/>
        <item x="238"/>
        <item x="515"/>
        <item x="518"/>
        <item x="556"/>
        <item x="70"/>
        <item x="249"/>
        <item x="412"/>
        <item x="277"/>
        <item x="495"/>
        <item x="145"/>
        <item x="383"/>
        <item x="147"/>
        <item x="185"/>
        <item x="243"/>
        <item x="508"/>
        <item x="244"/>
        <item x="218"/>
        <item x="353"/>
        <item x="261"/>
        <item x="367"/>
        <item x="554"/>
        <item x="329"/>
        <item x="131"/>
        <item x="342"/>
        <item x="447"/>
        <item x="175"/>
        <item x="215"/>
        <item x="415"/>
        <item x="336"/>
        <item x="281"/>
        <item x="503"/>
        <item x="361"/>
        <item x="177"/>
        <item x="221"/>
        <item x="187"/>
        <item x="332"/>
        <item x="113"/>
        <item x="82"/>
        <item x="118"/>
        <item x="486"/>
        <item x="326"/>
        <item x="233"/>
        <item x="297"/>
        <item x="88"/>
        <item x="42"/>
        <item x="246"/>
        <item x="319"/>
        <item x="369"/>
        <item x="402"/>
        <item x="324"/>
        <item x="384"/>
        <item x="168"/>
        <item x="9"/>
        <item x="450"/>
        <item x="525"/>
        <item x="504"/>
        <item x="273"/>
        <item x="116"/>
        <item x="347"/>
        <item x="230"/>
        <item x="544"/>
        <item x="474"/>
        <item x="471"/>
        <item x="497"/>
        <item x="292"/>
        <item x="229"/>
        <item x="166"/>
        <item x="496"/>
        <item x="493"/>
        <item x="64"/>
        <item x="444"/>
        <item x="150"/>
        <item x="202"/>
        <item x="30"/>
        <item x="485"/>
        <item x="219"/>
        <item x="427"/>
        <item x="268"/>
        <item x="308"/>
        <item x="428"/>
        <item x="419"/>
        <item x="52"/>
        <item x="10"/>
        <item x="477"/>
        <item x="167"/>
        <item x="321"/>
        <item x="272"/>
        <item x="189"/>
        <item x="335"/>
        <item x="133"/>
        <item x="506"/>
        <item x="285"/>
        <item x="110"/>
        <item x="334"/>
        <item x="236"/>
        <item x="107"/>
        <item x="94"/>
        <item x="446"/>
        <item x="423"/>
        <item x="362"/>
        <item x="217"/>
        <item x="99"/>
        <item x="283"/>
        <item x="252"/>
        <item x="169"/>
        <item x="550"/>
        <item x="234"/>
        <item x="33"/>
        <item x="95"/>
        <item x="542"/>
        <item x="274"/>
        <item x="143"/>
        <item x="458"/>
        <item x="13"/>
        <item x="84"/>
        <item x="516"/>
        <item x="11"/>
        <item x="158"/>
        <item x="87"/>
        <item x="524"/>
        <item x="134"/>
        <item x="225"/>
        <item x="340"/>
        <item x="157"/>
        <item x="97"/>
        <item x="555"/>
        <item x="44"/>
        <item x="90"/>
        <item x="170"/>
        <item x="100"/>
        <item x="59"/>
        <item x="276"/>
        <item x="103"/>
        <item x="125"/>
        <item x="21"/>
        <item x="328"/>
        <item x="26"/>
        <item x="363"/>
        <item x="373"/>
        <item x="154"/>
        <item x="468"/>
        <item x="379"/>
        <item x="198"/>
        <item x="445"/>
        <item x="409"/>
        <item x="212"/>
        <item x="105"/>
        <item x="462"/>
        <item x="371"/>
        <item x="132"/>
        <item x="408"/>
        <item x="184"/>
        <item x="298"/>
        <item x="146"/>
        <item x="61"/>
        <item x="129"/>
        <item x="395"/>
        <item x="92"/>
        <item x="210"/>
        <item x="375"/>
        <item x="520"/>
        <item x="287"/>
        <item x="191"/>
        <item x="148"/>
        <item x="316"/>
        <item x="98"/>
        <item x="72"/>
        <item x="387"/>
        <item x="487"/>
        <item x="461"/>
        <item x="527"/>
        <item x="4"/>
        <item x="192"/>
        <item x="41"/>
        <item x="54"/>
        <item x="173"/>
        <item x="213"/>
        <item x="482"/>
        <item x="331"/>
        <item x="267"/>
        <item x="66"/>
        <item x="81"/>
        <item x="350"/>
        <item x="2"/>
        <item x="209"/>
        <item x="62"/>
        <item x="300"/>
        <item x="290"/>
        <item x="51"/>
        <item x="311"/>
        <item x="106"/>
        <item x="122"/>
        <item x="296"/>
        <item x="294"/>
        <item x="394"/>
        <item x="124"/>
        <item x="47"/>
        <item x="226"/>
        <item x="473"/>
        <item x="63"/>
        <item x="171"/>
        <item x="422"/>
        <item x="207"/>
        <item x="216"/>
        <item x="93"/>
        <item x="260"/>
        <item x="20"/>
        <item x="368"/>
        <item x="130"/>
        <item x="117"/>
        <item x="349"/>
        <item x="338"/>
        <item x="19"/>
        <item x="401"/>
        <item x="121"/>
        <item x="346"/>
        <item x="151"/>
        <item x="203"/>
        <item x="174"/>
        <item x="322"/>
        <item x="365"/>
        <item x="337"/>
        <item x="31"/>
        <item x="459"/>
        <item x="38"/>
        <item x="53"/>
        <item x="153"/>
        <item x="240"/>
        <item x="208"/>
        <item x="201"/>
        <item x="75"/>
        <item x="16"/>
        <item x="256"/>
        <item x="357"/>
        <item x="58"/>
        <item x="523"/>
        <item x="547"/>
        <item x="310"/>
        <item x="0"/>
        <item x="413"/>
        <item x="533"/>
        <item x="76"/>
        <item x="91"/>
        <item x="67"/>
        <item x="305"/>
        <item x="356"/>
        <item x="27"/>
        <item x="454"/>
        <item x="253"/>
        <item x="235"/>
        <item x="355"/>
        <item x="155"/>
        <item x="299"/>
        <item x="479"/>
        <item x="344"/>
        <item x="56"/>
        <item x="434"/>
        <item x="266"/>
        <item x="14"/>
        <item x="421"/>
        <item x="135"/>
        <item x="223"/>
        <item x="123"/>
        <item x="159"/>
        <item x="156"/>
        <item x="176"/>
        <item x="137"/>
        <item x="224"/>
        <item x="291"/>
        <item x="111"/>
        <item x="126"/>
        <item x="71"/>
        <item x="152"/>
        <item x="306"/>
        <item x="112"/>
        <item x="29"/>
        <item x="50"/>
        <item x="424"/>
        <item x="181"/>
        <item x="403"/>
        <item x="380"/>
        <item x="206"/>
        <item x="28"/>
        <item x="456"/>
        <item x="502"/>
        <item x="68"/>
        <item x="239"/>
        <item x="120"/>
        <item x="141"/>
        <item x="532"/>
        <item x="411"/>
        <item x="186"/>
        <item x="86"/>
        <item x="200"/>
        <item x="139"/>
        <item x="35"/>
        <item x="265"/>
        <item x="385"/>
        <item x="237"/>
        <item x="280"/>
        <item x="77"/>
        <item x="73"/>
        <item x="303"/>
        <item x="275"/>
        <item x="79"/>
        <item x="255"/>
        <item x="510"/>
        <item x="57"/>
        <item x="406"/>
        <item x="521"/>
        <item x="195"/>
        <item x="205"/>
        <item x="289"/>
        <item x="78"/>
        <item x="293"/>
        <item x="364"/>
        <item x="480"/>
        <item x="269"/>
        <item x="341"/>
        <item x="25"/>
        <item x="417"/>
        <item x="388"/>
        <item x="440"/>
        <item x="250"/>
        <item x="343"/>
        <item x="128"/>
        <item x="8"/>
        <item x="182"/>
        <item x="392"/>
        <item x="304"/>
        <item x="325"/>
        <item x="179"/>
        <item x="366"/>
        <item x="231"/>
        <item x="339"/>
        <item x="197"/>
        <item x="436"/>
        <item x="204"/>
        <item x="142"/>
        <item x="211"/>
        <item x="69"/>
        <item x="32"/>
        <item x="271"/>
        <item x="323"/>
        <item x="228"/>
        <item x="109"/>
        <item x="254"/>
        <item x="3"/>
        <item x="245"/>
        <item x="227"/>
        <item x="115"/>
        <item x="301"/>
        <item x="279"/>
        <item x="140"/>
        <item x="101"/>
        <item x="74"/>
        <item x="83"/>
        <item x="45"/>
        <item x="162"/>
        <item x="48"/>
        <item x="199"/>
        <item x="320"/>
        <item x="220"/>
        <item x="374"/>
        <item x="178"/>
        <item x="102"/>
        <item x="478"/>
        <item x="34"/>
        <item x="119"/>
        <item x="389"/>
        <item x="40"/>
        <item x="333"/>
        <item x="22"/>
        <item x="43"/>
        <item x="1"/>
        <item x="426"/>
        <item x="96"/>
        <item x="17"/>
        <item x="559"/>
        <item x="7"/>
        <item x="37"/>
        <item x="242"/>
        <item t="default"/>
      </items>
    </pivotField>
    <pivotField axis="axisRow" showAll="0">
      <items count="7">
        <item x="1"/>
        <item x="3"/>
        <item x="0"/>
        <item x="4"/>
        <item x="2"/>
        <item x="5"/>
        <item t="default"/>
      </items>
    </pivotField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7" baseField="0" baseItem="0" numFmtId="164"/>
  </dataFields>
  <formats count="12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9" type="button" dataOnly="0" labelOnly="1" outline="0" axis="axisRow" fieldPosition="0"/>
    </format>
    <format dxfId="66">
      <pivotArea dataOnly="0" labelOnly="1" fieldPosition="0">
        <references count="1">
          <reference field="9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9" type="button" dataOnly="0" labelOnly="1" outline="0" axis="axisRow" fieldPosition="0"/>
    </format>
    <format dxfId="60">
      <pivotArea dataOnly="0" labelOnly="1" fieldPosition="0">
        <references count="1">
          <reference field="9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795EAF-90EE-4004-8771-8085087BE548}" name="Table6" displayName="Table6" ref="A1:P2501" totalsRowShown="0" tableBorderDxfId="90">
  <autoFilter ref="A1:P2501" xr:uid="{D9795EAF-90EE-4004-8771-8085087BE5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5FB6888-1B13-4469-BFDD-F9FB41F63004}" name="Order_ID" dataDxfId="89"/>
    <tableColumn id="2" xr3:uid="{4D84E800-CF21-4FBF-9C46-9A3C8A250D27}" name="Customer_Name" dataDxfId="88"/>
    <tableColumn id="3" xr3:uid="{34C2257A-0667-448B-AE70-BA5B0522A248}" name="Product_Category" dataDxfId="87"/>
    <tableColumn id="4" xr3:uid="{4196BA0F-18AA-494F-ABEC-464717F42658}" name="Product_Name" dataDxfId="86"/>
    <tableColumn id="5" xr3:uid="{AFD58C50-7284-4C2B-8870-94DB78240364}" name="Units_Sold" dataDxfId="85"/>
    <tableColumn id="6" xr3:uid="{430C3428-B0DB-48D8-9893-FFA41C05DEF2}" name="Unit_Price" dataDxfId="84" dataCellStyle="Currency"/>
    <tableColumn id="7" xr3:uid="{F2F9A1FF-1934-4677-AEE7-152E42DC3A98}" name="Discount_%" dataDxfId="83"/>
    <tableColumn id="8" xr3:uid="{8D13A3E8-2219-4963-8C8F-10DBC5647BAF}" name="Sales_Amount" dataDxfId="82" dataCellStyle="Currency">
      <calculatedColumnFormula>E2*F2</calculatedColumnFormula>
    </tableColumn>
    <tableColumn id="9" xr3:uid="{E767F15C-1D89-4311-BCBA-5190D8180EE2}" name="Order_Date" dataDxfId="81"/>
    <tableColumn id="10" xr3:uid="{B6264EEE-811B-4E34-A925-6CAAEAA8ED43}" name="City" dataDxfId="80"/>
    <tableColumn id="11" xr3:uid="{93EAAA00-CD24-483C-9D10-B87C9B83DA71}" name="Segment" dataDxfId="79"/>
    <tableColumn id="12" xr3:uid="{3E4093FA-245B-4F71-90CE-60D69C9D6449}" name="Net_Revenue" dataDxfId="78">
      <calculatedColumnFormula>H2*(1-G2)</calculatedColumnFormula>
    </tableColumn>
    <tableColumn id="13" xr3:uid="{B5153302-497E-42C9-B6EC-16A45B726624}" name="Profit" dataDxfId="77"/>
    <tableColumn id="14" xr3:uid="{F16F1538-C570-456F-BFF5-433A826ECD02}" name="City_Key" dataDxfId="76">
      <calculatedColumnFormula>_xlfn.XLOOKUP(Snitch_Fashion_Sales_cleaned!$J2,Table2[City],Table2[City_Key],"not found")</calculatedColumnFormula>
    </tableColumn>
    <tableColumn id="15" xr3:uid="{FF57F455-10E9-4FC1-99FB-C0423B023073}" name="Product_Key" dataDxfId="75">
      <calculatedColumnFormula>_xlfn.XLOOKUP(Snitch_Fashion_Sales_cleaned!$D2,Table4[Product_Name],Table4[Product_Key],"not found")</calculatedColumnFormula>
    </tableColumn>
    <tableColumn id="16" xr3:uid="{A1535F20-02B3-42DC-9514-0D442E07E098}" name="Date_Key" dataDxfId="74">
      <calculatedColumnFormula>_xlfn.XLOOKUP(Snitch_Fashion_Sales_cleaned!$I2,Table3[Order_Date],Table3[Date_Key])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6928F2-1335-4E36-828A-7B411DEFD475}" name="Table4" displayName="Table4" ref="A1:C25" totalsRowShown="0">
  <autoFilter ref="A1:C25" xr:uid="{916928F2-1335-4E36-828A-7B411DEFD475}">
    <filterColumn colId="0" hiddenButton="1"/>
    <filterColumn colId="1" hiddenButton="1"/>
    <filterColumn colId="2" hiddenButton="1"/>
  </autoFilter>
  <tableColumns count="3">
    <tableColumn id="1" xr3:uid="{7F30A111-3148-4805-B144-A942A55CAAEC}" name="Product_Key"/>
    <tableColumn id="2" xr3:uid="{8BE66EE4-89CA-42BB-B58E-311DA04EBE93}" name="Product_Category" dataDxfId="73"/>
    <tableColumn id="3" xr3:uid="{D1985F3A-E977-4B48-A5B6-ABA3A535834B}" name="Product_Name" dataDxfId="7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9A5439-A1AF-4C3F-88FB-B631174D760B}" name="Table3" displayName="Table3" ref="A1:E563" totalsRowShown="0">
  <autoFilter ref="A1:E563" xr:uid="{E39A5439-A1AF-4C3F-88FB-B631174D760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A9797C6-91B6-4766-9187-104B38F56B44}" name="Date_Key"/>
    <tableColumn id="2" xr3:uid="{7B238BC7-76D8-4FDA-8FC3-4C7342C8776A}" name="Order_Date" dataDxfId="71"/>
    <tableColumn id="3" xr3:uid="{EC96B9A3-8E31-437B-A314-314A7187C2BC}" name="Year">
      <calculatedColumnFormula>YEAR(B2)</calculatedColumnFormula>
    </tableColumn>
    <tableColumn id="4" xr3:uid="{02A7F987-60F7-46C5-9A16-E1D49E29446A}" name="Month">
      <calculatedColumnFormula>TEXT(B2,"mmmm")</calculatedColumnFormula>
    </tableColumn>
    <tableColumn id="5" xr3:uid="{FF1BA7AE-02E5-4E62-8B13-3DAF4A3723C4}" name="Month_Number">
      <calculatedColumnFormula>MONTH(B2)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FCF4CB-5FB8-4971-B68E-08A9062765C4}" name="Table2" displayName="Table2" ref="A1:B7" totalsRowShown="0">
  <autoFilter ref="A1:B7" xr:uid="{1AFCF4CB-5FB8-4971-B68E-08A9062765C4}">
    <filterColumn colId="0" hiddenButton="1"/>
    <filterColumn colId="1" hiddenButton="1"/>
  </autoFilter>
  <tableColumns count="2">
    <tableColumn id="1" xr3:uid="{814DC612-70BF-4035-99FA-A7283E3E0DD5}" name="City_Key"/>
    <tableColumn id="2" xr3:uid="{CD5154B3-829F-4CCE-9454-942093B94C16}" name="City" dataDxfId="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F48A-D650-4748-8565-329BD02A56CE}">
  <dimension ref="A1:P2501"/>
  <sheetViews>
    <sheetView zoomScale="75" zoomScaleNormal="75" workbookViewId="0">
      <selection activeCell="P1" sqref="P1"/>
    </sheetView>
  </sheetViews>
  <sheetFormatPr defaultRowHeight="14.4" x14ac:dyDescent="0.3"/>
  <cols>
    <col min="1" max="1" width="12.77734375" style="4" bestFit="1" customWidth="1"/>
    <col min="2" max="2" width="22.33203125" style="1" bestFit="1" customWidth="1"/>
    <col min="3" max="3" width="20.21875" style="1" bestFit="1" customWidth="1"/>
    <col min="4" max="4" width="17.88671875" style="3" bestFit="1" customWidth="1"/>
    <col min="5" max="5" width="14.33203125" style="4" bestFit="1" customWidth="1"/>
    <col min="6" max="6" width="14" style="5" bestFit="1" customWidth="1"/>
    <col min="7" max="7" width="15.109375" style="6" bestFit="1" customWidth="1"/>
    <col min="8" max="8" width="18.33203125" style="5" bestFit="1" customWidth="1"/>
    <col min="9" max="9" width="14.88671875" style="2" bestFit="1" customWidth="1"/>
    <col min="10" max="10" width="10.6640625" style="3" bestFit="1" customWidth="1"/>
    <col min="11" max="11" width="12.77734375" style="3" bestFit="1" customWidth="1"/>
    <col min="12" max="12" width="16.21875" style="7" bestFit="1" customWidth="1"/>
    <col min="13" max="13" width="12" style="7" bestFit="1" customWidth="1"/>
    <col min="14" max="14" width="14.33203125" style="1" bestFit="1" customWidth="1"/>
    <col min="15" max="15" width="13.6640625" style="1" customWidth="1"/>
    <col min="16" max="16" width="11" style="1" customWidth="1"/>
    <col min="17" max="16384" width="8.88671875" style="1"/>
  </cols>
  <sheetData>
    <row r="1" spans="1:16" x14ac:dyDescent="0.3">
      <c r="A1" s="39" t="s">
        <v>0</v>
      </c>
      <c r="B1" s="40" t="s">
        <v>1</v>
      </c>
      <c r="C1" s="40" t="s">
        <v>2</v>
      </c>
      <c r="D1" s="40" t="s">
        <v>3</v>
      </c>
      <c r="E1" s="39" t="s">
        <v>4</v>
      </c>
      <c r="F1" s="41" t="s">
        <v>5</v>
      </c>
      <c r="G1" s="42" t="s">
        <v>6</v>
      </c>
      <c r="H1" s="41" t="s">
        <v>7</v>
      </c>
      <c r="I1" s="43" t="s">
        <v>8</v>
      </c>
      <c r="J1" s="40" t="s">
        <v>9</v>
      </c>
      <c r="K1" s="40" t="s">
        <v>10</v>
      </c>
      <c r="L1" s="44" t="s">
        <v>2508</v>
      </c>
      <c r="M1" s="44" t="s">
        <v>11</v>
      </c>
      <c r="N1" s="45" t="s">
        <v>2539</v>
      </c>
      <c r="O1" s="46" t="s">
        <v>2535</v>
      </c>
      <c r="P1" s="47" t="s">
        <v>2536</v>
      </c>
    </row>
    <row r="2" spans="1:16" x14ac:dyDescent="0.3">
      <c r="A2" s="27">
        <v>1000</v>
      </c>
      <c r="B2" s="25" t="s">
        <v>12</v>
      </c>
      <c r="C2" s="25" t="s">
        <v>13</v>
      </c>
      <c r="D2" s="26" t="s">
        <v>14</v>
      </c>
      <c r="E2" s="27">
        <v>4</v>
      </c>
      <c r="F2" s="28">
        <v>842</v>
      </c>
      <c r="G2" s="29">
        <v>0.6</v>
      </c>
      <c r="H2" s="28">
        <f>E2*F2</f>
        <v>3368</v>
      </c>
      <c r="I2" s="30">
        <v>45715</v>
      </c>
      <c r="J2" s="26" t="s">
        <v>15</v>
      </c>
      <c r="K2" s="26" t="s">
        <v>16</v>
      </c>
      <c r="L2" s="31">
        <f>H2*(1-G2)</f>
        <v>1347.2</v>
      </c>
      <c r="M2" s="31">
        <v>336.8</v>
      </c>
      <c r="N2" s="22">
        <f>_xlfn.XLOOKUP(Snitch_Fashion_Sales_cleaned!$J2,Table2[City],Table2[City_Key],"not found")</f>
        <v>1</v>
      </c>
      <c r="O2" s="21">
        <f>_xlfn.XLOOKUP(Snitch_Fashion_Sales_cleaned!$D2,Table4[Product_Name],Table4[Product_Key],"not found")</f>
        <v>1</v>
      </c>
      <c r="P2" s="25">
        <f>_xlfn.XLOOKUP(Snitch_Fashion_Sales_cleaned!$I2,Table3[Order_Date],Table3[Date_Key])</f>
        <v>1</v>
      </c>
    </row>
    <row r="3" spans="1:16" x14ac:dyDescent="0.3">
      <c r="A3" s="34">
        <v>1001</v>
      </c>
      <c r="B3" s="32" t="s">
        <v>17</v>
      </c>
      <c r="C3" s="32" t="s">
        <v>13</v>
      </c>
      <c r="D3" s="33" t="s">
        <v>14</v>
      </c>
      <c r="E3" s="34">
        <v>1</v>
      </c>
      <c r="F3" s="35">
        <v>2366.6149999999998</v>
      </c>
      <c r="G3" s="36">
        <v>0.51</v>
      </c>
      <c r="H3" s="35">
        <f t="shared" ref="H3:H5" si="0">E3*F3</f>
        <v>2366.6149999999998</v>
      </c>
      <c r="I3" s="37">
        <v>45853</v>
      </c>
      <c r="J3" s="33" t="s">
        <v>18</v>
      </c>
      <c r="K3" s="33" t="s">
        <v>23</v>
      </c>
      <c r="L3" s="38">
        <f t="shared" ref="L3:L5" si="1">H3*(1-G3)</f>
        <v>1159.6413499999999</v>
      </c>
      <c r="M3" s="38">
        <v>289.91033749999997</v>
      </c>
      <c r="N3" s="24">
        <f>_xlfn.XLOOKUP(Snitch_Fashion_Sales_cleaned!$J3,Table2[City],Table2[City_Key],"not found")</f>
        <v>2</v>
      </c>
      <c r="O3" s="23">
        <f>_xlfn.XLOOKUP(Snitch_Fashion_Sales_cleaned!$D3,Table4[Product_Name],Table4[Product_Key],"not found")</f>
        <v>1</v>
      </c>
      <c r="P3" s="32">
        <f>_xlfn.XLOOKUP(Snitch_Fashion_Sales_cleaned!$I3,Table3[Order_Date],Table3[Date_Key])</f>
        <v>2</v>
      </c>
    </row>
    <row r="4" spans="1:16" x14ac:dyDescent="0.3">
      <c r="A4" s="27">
        <v>1002</v>
      </c>
      <c r="B4" s="25" t="s">
        <v>19</v>
      </c>
      <c r="C4" s="25" t="s">
        <v>20</v>
      </c>
      <c r="D4" s="26" t="s">
        <v>21</v>
      </c>
      <c r="E4" s="27">
        <v>1</v>
      </c>
      <c r="F4" s="28">
        <v>637.82000000000005</v>
      </c>
      <c r="G4" s="29">
        <v>0.51</v>
      </c>
      <c r="H4" s="28">
        <f t="shared" si="0"/>
        <v>637.82000000000005</v>
      </c>
      <c r="I4" s="30">
        <v>45659</v>
      </c>
      <c r="J4" s="26" t="s">
        <v>22</v>
      </c>
      <c r="K4" s="26" t="s">
        <v>23</v>
      </c>
      <c r="L4" s="31">
        <f t="shared" si="1"/>
        <v>312.53180000000003</v>
      </c>
      <c r="M4" s="31">
        <v>-158.03</v>
      </c>
      <c r="N4" s="22">
        <f>_xlfn.XLOOKUP(Snitch_Fashion_Sales_cleaned!$J4,Table2[City],Table2[City_Key],"not found")</f>
        <v>3</v>
      </c>
      <c r="O4" s="21">
        <f>_xlfn.XLOOKUP(Snitch_Fashion_Sales_cleaned!$D4,Table4[Product_Name],Table4[Product_Key],"not found")</f>
        <v>2</v>
      </c>
      <c r="P4" s="25">
        <f>_xlfn.XLOOKUP(Snitch_Fashion_Sales_cleaned!$I4,Table3[Order_Date],Table3[Date_Key])</f>
        <v>3</v>
      </c>
    </row>
    <row r="5" spans="1:16" x14ac:dyDescent="0.3">
      <c r="A5" s="34">
        <v>1003</v>
      </c>
      <c r="B5" s="32" t="s">
        <v>24</v>
      </c>
      <c r="C5" s="32" t="s">
        <v>25</v>
      </c>
      <c r="D5" s="33" t="s">
        <v>26</v>
      </c>
      <c r="E5" s="34">
        <v>2</v>
      </c>
      <c r="F5" s="35">
        <v>2962.27</v>
      </c>
      <c r="G5" s="36">
        <v>0.51</v>
      </c>
      <c r="H5" s="35">
        <f t="shared" si="0"/>
        <v>5924.54</v>
      </c>
      <c r="I5" s="37">
        <v>45826</v>
      </c>
      <c r="J5" s="33" t="s">
        <v>2540</v>
      </c>
      <c r="K5" s="33" t="s">
        <v>23</v>
      </c>
      <c r="L5" s="38">
        <f t="shared" si="1"/>
        <v>2903.0245999999997</v>
      </c>
      <c r="M5" s="38">
        <v>2296.5</v>
      </c>
      <c r="N5" s="24">
        <f>_xlfn.XLOOKUP(Snitch_Fashion_Sales_cleaned!$J5,Table2[City],Table2[City_Key],"not found")</f>
        <v>4</v>
      </c>
      <c r="O5" s="23">
        <f>_xlfn.XLOOKUP(Snitch_Fashion_Sales_cleaned!$D5,Table4[Product_Name],Table4[Product_Key],"not found")</f>
        <v>3</v>
      </c>
      <c r="P5" s="32">
        <f>_xlfn.XLOOKUP(Snitch_Fashion_Sales_cleaned!$I5,Table3[Order_Date],Table3[Date_Key])</f>
        <v>4</v>
      </c>
    </row>
    <row r="6" spans="1:16" x14ac:dyDescent="0.3">
      <c r="A6" s="27">
        <v>1004</v>
      </c>
      <c r="B6" s="25" t="s">
        <v>27</v>
      </c>
      <c r="C6" s="25" t="s">
        <v>28</v>
      </c>
      <c r="D6" s="26" t="s">
        <v>29</v>
      </c>
      <c r="E6" s="27">
        <v>1</v>
      </c>
      <c r="F6" s="28">
        <v>2881.07</v>
      </c>
      <c r="G6" s="29">
        <v>0.27</v>
      </c>
      <c r="H6" s="28">
        <f t="shared" ref="H6:H69" si="2">E6*F6</f>
        <v>2881.07</v>
      </c>
      <c r="I6" s="30">
        <v>45647</v>
      </c>
      <c r="J6" s="26" t="s">
        <v>52</v>
      </c>
      <c r="K6" s="26" t="s">
        <v>23</v>
      </c>
      <c r="L6" s="31">
        <f t="shared" ref="L6:L69" si="3">H6*(1-G6)</f>
        <v>2103.1811000000002</v>
      </c>
      <c r="M6" s="31">
        <v>63.66</v>
      </c>
      <c r="N6" s="22">
        <f>_xlfn.XLOOKUP(Snitch_Fashion_Sales_cleaned!$J6,Table2[City],Table2[City_Key],"not found")</f>
        <v>5</v>
      </c>
      <c r="O6" s="21">
        <f>_xlfn.XLOOKUP(Snitch_Fashion_Sales_cleaned!$D6,Table4[Product_Name],Table4[Product_Key],"not found")</f>
        <v>4</v>
      </c>
      <c r="P6" s="25">
        <f>_xlfn.XLOOKUP(Snitch_Fashion_Sales_cleaned!$I6,Table3[Order_Date],Table3[Date_Key])</f>
        <v>5</v>
      </c>
    </row>
    <row r="7" spans="1:16" x14ac:dyDescent="0.3">
      <c r="A7" s="34">
        <v>1005</v>
      </c>
      <c r="B7" s="32" t="s">
        <v>30</v>
      </c>
      <c r="C7" s="32" t="s">
        <v>31</v>
      </c>
      <c r="D7" s="33" t="s">
        <v>32</v>
      </c>
      <c r="E7" s="34">
        <v>4</v>
      </c>
      <c r="F7" s="35">
        <v>2001.5500000000002</v>
      </c>
      <c r="G7" s="36">
        <v>0.51</v>
      </c>
      <c r="H7" s="35">
        <f t="shared" si="2"/>
        <v>8006.2000000000007</v>
      </c>
      <c r="I7" s="37">
        <v>45265</v>
      </c>
      <c r="J7" s="33" t="s">
        <v>22</v>
      </c>
      <c r="K7" s="33" t="s">
        <v>23</v>
      </c>
      <c r="L7" s="38">
        <f t="shared" si="3"/>
        <v>3923.0380000000005</v>
      </c>
      <c r="M7" s="38">
        <v>1477.73</v>
      </c>
      <c r="N7" s="24">
        <f>_xlfn.XLOOKUP(Snitch_Fashion_Sales_cleaned!$J7,Table2[City],Table2[City_Key],"not found")</f>
        <v>3</v>
      </c>
      <c r="O7" s="23">
        <f>_xlfn.XLOOKUP(Snitch_Fashion_Sales_cleaned!$D7,Table4[Product_Name],Table4[Product_Key],"not found")</f>
        <v>5</v>
      </c>
      <c r="P7" s="32">
        <f>_xlfn.XLOOKUP(Snitch_Fashion_Sales_cleaned!$I7,Table3[Order_Date],Table3[Date_Key])</f>
        <v>6</v>
      </c>
    </row>
    <row r="8" spans="1:16" x14ac:dyDescent="0.3">
      <c r="A8" s="27">
        <v>1006</v>
      </c>
      <c r="B8" s="25" t="s">
        <v>33</v>
      </c>
      <c r="C8" s="25" t="s">
        <v>13</v>
      </c>
      <c r="D8" s="26" t="s">
        <v>34</v>
      </c>
      <c r="E8" s="27">
        <v>1</v>
      </c>
      <c r="F8" s="28">
        <v>2060.85</v>
      </c>
      <c r="G8" s="29">
        <v>0.51</v>
      </c>
      <c r="H8" s="28">
        <f t="shared" si="2"/>
        <v>2060.85</v>
      </c>
      <c r="I8" s="30">
        <v>45384</v>
      </c>
      <c r="J8" s="26" t="s">
        <v>18</v>
      </c>
      <c r="K8" s="26" t="s">
        <v>23</v>
      </c>
      <c r="L8" s="31">
        <f t="shared" si="3"/>
        <v>1009.8164999999999</v>
      </c>
      <c r="M8" s="31">
        <v>198.36</v>
      </c>
      <c r="N8" s="22">
        <f>_xlfn.XLOOKUP(Snitch_Fashion_Sales_cleaned!$J8,Table2[City],Table2[City_Key],"not found")</f>
        <v>2</v>
      </c>
      <c r="O8" s="21">
        <f>_xlfn.XLOOKUP(Snitch_Fashion_Sales_cleaned!$D8,Table4[Product_Name],Table4[Product_Key],"not found")</f>
        <v>6</v>
      </c>
      <c r="P8" s="25">
        <f>_xlfn.XLOOKUP(Snitch_Fashion_Sales_cleaned!$I8,Table3[Order_Date],Table3[Date_Key])</f>
        <v>7</v>
      </c>
    </row>
    <row r="9" spans="1:16" x14ac:dyDescent="0.3">
      <c r="A9" s="34">
        <v>1007</v>
      </c>
      <c r="B9" s="32" t="s">
        <v>35</v>
      </c>
      <c r="C9" s="32" t="s">
        <v>36</v>
      </c>
      <c r="D9" s="33" t="s">
        <v>37</v>
      </c>
      <c r="E9" s="34">
        <v>4</v>
      </c>
      <c r="F9" s="35">
        <v>3669.56</v>
      </c>
      <c r="G9" s="36">
        <v>0.51</v>
      </c>
      <c r="H9" s="35">
        <f t="shared" si="2"/>
        <v>14678.24</v>
      </c>
      <c r="I9" s="37">
        <v>45647</v>
      </c>
      <c r="J9" s="33" t="s">
        <v>2540</v>
      </c>
      <c r="K9" s="33" t="s">
        <v>16</v>
      </c>
      <c r="L9" s="38">
        <f t="shared" si="3"/>
        <v>7192.3375999999998</v>
      </c>
      <c r="M9" s="38">
        <v>2490.0100000000002</v>
      </c>
      <c r="N9" s="24">
        <f>_xlfn.XLOOKUP(Snitch_Fashion_Sales_cleaned!$J9,Table2[City],Table2[City_Key],"not found")</f>
        <v>4</v>
      </c>
      <c r="O9" s="23">
        <f>_xlfn.XLOOKUP(Snitch_Fashion_Sales_cleaned!$D9,Table4[Product_Name],Table4[Product_Key],"not found")</f>
        <v>7</v>
      </c>
      <c r="P9" s="32">
        <f>_xlfn.XLOOKUP(Snitch_Fashion_Sales_cleaned!$I9,Table3[Order_Date],Table3[Date_Key])</f>
        <v>5</v>
      </c>
    </row>
    <row r="10" spans="1:16" x14ac:dyDescent="0.3">
      <c r="A10" s="27">
        <v>1008</v>
      </c>
      <c r="B10" s="25" t="s">
        <v>38</v>
      </c>
      <c r="C10" s="25" t="s">
        <v>28</v>
      </c>
      <c r="D10" s="26" t="s">
        <v>39</v>
      </c>
      <c r="E10" s="27">
        <v>3</v>
      </c>
      <c r="F10" s="28">
        <v>2577.6350000000002</v>
      </c>
      <c r="G10" s="29">
        <v>0.51</v>
      </c>
      <c r="H10" s="28">
        <f t="shared" si="2"/>
        <v>7732.9050000000007</v>
      </c>
      <c r="I10" s="30">
        <v>45647</v>
      </c>
      <c r="J10" s="26" t="s">
        <v>18</v>
      </c>
      <c r="K10" s="26" t="s">
        <v>16</v>
      </c>
      <c r="L10" s="31">
        <f t="shared" si="3"/>
        <v>3789.12345</v>
      </c>
      <c r="M10" s="31">
        <v>-886.8</v>
      </c>
      <c r="N10" s="22">
        <f>_xlfn.XLOOKUP(Snitch_Fashion_Sales_cleaned!$J10,Table2[City],Table2[City_Key],"not found")</f>
        <v>2</v>
      </c>
      <c r="O10" s="21">
        <f>_xlfn.XLOOKUP(Snitch_Fashion_Sales_cleaned!$D10,Table4[Product_Name],Table4[Product_Key],"not found")</f>
        <v>8</v>
      </c>
      <c r="P10" s="25">
        <f>_xlfn.XLOOKUP(Snitch_Fashion_Sales_cleaned!$I10,Table3[Order_Date],Table3[Date_Key])</f>
        <v>5</v>
      </c>
    </row>
    <row r="11" spans="1:16" x14ac:dyDescent="0.3">
      <c r="A11" s="34">
        <v>1009</v>
      </c>
      <c r="B11" s="32" t="s">
        <v>40</v>
      </c>
      <c r="C11" s="32" t="s">
        <v>31</v>
      </c>
      <c r="D11" s="33" t="s">
        <v>41</v>
      </c>
      <c r="E11" s="34">
        <v>5</v>
      </c>
      <c r="F11" s="35">
        <v>3027.66</v>
      </c>
      <c r="G11" s="36">
        <v>0.51</v>
      </c>
      <c r="H11" s="35">
        <f t="shared" si="2"/>
        <v>15138.3</v>
      </c>
      <c r="I11" s="37">
        <v>45858</v>
      </c>
      <c r="J11" s="33" t="s">
        <v>2540</v>
      </c>
      <c r="K11" s="33" t="s">
        <v>23</v>
      </c>
      <c r="L11" s="38">
        <f t="shared" si="3"/>
        <v>7417.7669999999998</v>
      </c>
      <c r="M11" s="38">
        <v>-972.73</v>
      </c>
      <c r="N11" s="24">
        <f>_xlfn.XLOOKUP(Snitch_Fashion_Sales_cleaned!$J11,Table2[City],Table2[City_Key],"not found")</f>
        <v>4</v>
      </c>
      <c r="O11" s="23">
        <f>_xlfn.XLOOKUP(Snitch_Fashion_Sales_cleaned!$D11,Table4[Product_Name],Table4[Product_Key],"not found")</f>
        <v>9</v>
      </c>
      <c r="P11" s="32">
        <f>_xlfn.XLOOKUP(Snitch_Fashion_Sales_cleaned!$I11,Table3[Order_Date],Table3[Date_Key])</f>
        <v>8</v>
      </c>
    </row>
    <row r="12" spans="1:16" x14ac:dyDescent="0.3">
      <c r="A12" s="27">
        <v>1010</v>
      </c>
      <c r="B12" s="25" t="s">
        <v>42</v>
      </c>
      <c r="C12" s="25" t="s">
        <v>31</v>
      </c>
      <c r="D12" s="26" t="s">
        <v>32</v>
      </c>
      <c r="E12" s="27">
        <v>4</v>
      </c>
      <c r="F12" s="28">
        <v>4007.02</v>
      </c>
      <c r="G12" s="29">
        <v>0.51</v>
      </c>
      <c r="H12" s="28">
        <f t="shared" si="2"/>
        <v>16028.08</v>
      </c>
      <c r="I12" s="30">
        <v>45647</v>
      </c>
      <c r="J12" s="26" t="s">
        <v>43</v>
      </c>
      <c r="K12" s="26" t="s">
        <v>23</v>
      </c>
      <c r="L12" s="31">
        <f t="shared" si="3"/>
        <v>7853.7591999999995</v>
      </c>
      <c r="M12" s="31">
        <v>-950.38</v>
      </c>
      <c r="N12" s="22">
        <f>_xlfn.XLOOKUP(Snitch_Fashion_Sales_cleaned!$J12,Table2[City],Table2[City_Key],"not found")</f>
        <v>6</v>
      </c>
      <c r="O12" s="21">
        <f>_xlfn.XLOOKUP(Snitch_Fashion_Sales_cleaned!$D12,Table4[Product_Name],Table4[Product_Key],"not found")</f>
        <v>5</v>
      </c>
      <c r="P12" s="25">
        <f>_xlfn.XLOOKUP(Snitch_Fashion_Sales_cleaned!$I12,Table3[Order_Date],Table3[Date_Key])</f>
        <v>5</v>
      </c>
    </row>
    <row r="13" spans="1:16" x14ac:dyDescent="0.3">
      <c r="A13" s="34">
        <v>1011</v>
      </c>
      <c r="B13" s="32" t="s">
        <v>44</v>
      </c>
      <c r="C13" s="32" t="s">
        <v>28</v>
      </c>
      <c r="D13" s="33" t="s">
        <v>29</v>
      </c>
      <c r="E13" s="34">
        <v>3</v>
      </c>
      <c r="F13" s="35">
        <v>2515.415</v>
      </c>
      <c r="G13" s="36">
        <v>0.51</v>
      </c>
      <c r="H13" s="35">
        <f t="shared" si="2"/>
        <v>7546.2449999999999</v>
      </c>
      <c r="I13" s="37">
        <v>45804</v>
      </c>
      <c r="J13" s="33" t="s">
        <v>15</v>
      </c>
      <c r="K13" s="33" t="s">
        <v>16</v>
      </c>
      <c r="L13" s="38">
        <f t="shared" si="3"/>
        <v>3697.66005</v>
      </c>
      <c r="M13" s="38">
        <v>1370.67</v>
      </c>
      <c r="N13" s="24">
        <f>_xlfn.XLOOKUP(Snitch_Fashion_Sales_cleaned!$J13,Table2[City],Table2[City_Key],"not found")</f>
        <v>1</v>
      </c>
      <c r="O13" s="23">
        <f>_xlfn.XLOOKUP(Snitch_Fashion_Sales_cleaned!$D13,Table4[Product_Name],Table4[Product_Key],"not found")</f>
        <v>4</v>
      </c>
      <c r="P13" s="32">
        <f>_xlfn.XLOOKUP(Snitch_Fashion_Sales_cleaned!$I13,Table3[Order_Date],Table3[Date_Key])</f>
        <v>9</v>
      </c>
    </row>
    <row r="14" spans="1:16" x14ac:dyDescent="0.3">
      <c r="A14" s="27">
        <v>1012</v>
      </c>
      <c r="B14" s="25" t="s">
        <v>45</v>
      </c>
      <c r="C14" s="25" t="s">
        <v>13</v>
      </c>
      <c r="D14" s="26" t="s">
        <v>46</v>
      </c>
      <c r="E14" s="27">
        <v>4</v>
      </c>
      <c r="F14" s="28">
        <v>2891.64</v>
      </c>
      <c r="G14" s="29">
        <v>0.21</v>
      </c>
      <c r="H14" s="28">
        <f t="shared" si="2"/>
        <v>11566.56</v>
      </c>
      <c r="I14" s="30">
        <v>45526</v>
      </c>
      <c r="J14" s="26" t="s">
        <v>18</v>
      </c>
      <c r="K14" s="26" t="s">
        <v>23</v>
      </c>
      <c r="L14" s="31">
        <f t="shared" si="3"/>
        <v>9137.5823999999993</v>
      </c>
      <c r="M14" s="31">
        <v>843.61</v>
      </c>
      <c r="N14" s="22">
        <f>_xlfn.XLOOKUP(Snitch_Fashion_Sales_cleaned!$J14,Table2[City],Table2[City_Key],"not found")</f>
        <v>2</v>
      </c>
      <c r="O14" s="21">
        <f>_xlfn.XLOOKUP(Snitch_Fashion_Sales_cleaned!$D14,Table4[Product_Name],Table4[Product_Key],"not found")</f>
        <v>10</v>
      </c>
      <c r="P14" s="25">
        <f>_xlfn.XLOOKUP(Snitch_Fashion_Sales_cleaned!$I14,Table3[Order_Date],Table3[Date_Key])</f>
        <v>10</v>
      </c>
    </row>
    <row r="15" spans="1:16" x14ac:dyDescent="0.3">
      <c r="A15" s="34">
        <v>1013</v>
      </c>
      <c r="B15" s="32" t="s">
        <v>47</v>
      </c>
      <c r="C15" s="32" t="s">
        <v>31</v>
      </c>
      <c r="D15" s="33" t="s">
        <v>32</v>
      </c>
      <c r="E15" s="34">
        <v>4</v>
      </c>
      <c r="F15" s="35">
        <v>2001.5500000000002</v>
      </c>
      <c r="G15" s="36">
        <v>0.62</v>
      </c>
      <c r="H15" s="35">
        <f t="shared" si="2"/>
        <v>8006.2000000000007</v>
      </c>
      <c r="I15" s="37">
        <v>45647</v>
      </c>
      <c r="J15" s="33" t="s">
        <v>43</v>
      </c>
      <c r="K15" s="33" t="s">
        <v>16</v>
      </c>
      <c r="L15" s="38">
        <f t="shared" si="3"/>
        <v>3042.3560000000002</v>
      </c>
      <c r="M15" s="38">
        <v>1279.58</v>
      </c>
      <c r="N15" s="24">
        <f>_xlfn.XLOOKUP(Snitch_Fashion_Sales_cleaned!$J15,Table2[City],Table2[City_Key],"not found")</f>
        <v>6</v>
      </c>
      <c r="O15" s="23">
        <f>_xlfn.XLOOKUP(Snitch_Fashion_Sales_cleaned!$D15,Table4[Product_Name],Table4[Product_Key],"not found")</f>
        <v>5</v>
      </c>
      <c r="P15" s="32">
        <f>_xlfn.XLOOKUP(Snitch_Fashion_Sales_cleaned!$I15,Table3[Order_Date],Table3[Date_Key])</f>
        <v>5</v>
      </c>
    </row>
    <row r="16" spans="1:16" x14ac:dyDescent="0.3">
      <c r="A16" s="27">
        <v>1014</v>
      </c>
      <c r="B16" s="25" t="s">
        <v>48</v>
      </c>
      <c r="C16" s="25" t="s">
        <v>25</v>
      </c>
      <c r="D16" s="26" t="s">
        <v>26</v>
      </c>
      <c r="E16" s="27">
        <v>4</v>
      </c>
      <c r="F16" s="28">
        <v>2933.45</v>
      </c>
      <c r="G16" s="29">
        <v>0.51</v>
      </c>
      <c r="H16" s="28">
        <f t="shared" si="2"/>
        <v>11733.8</v>
      </c>
      <c r="I16" s="30">
        <v>45556</v>
      </c>
      <c r="J16" s="26" t="s">
        <v>52</v>
      </c>
      <c r="K16" s="26" t="s">
        <v>23</v>
      </c>
      <c r="L16" s="31">
        <f t="shared" si="3"/>
        <v>5749.5619999999999</v>
      </c>
      <c r="M16" s="31">
        <v>-889.25</v>
      </c>
      <c r="N16" s="22">
        <f>_xlfn.XLOOKUP(Snitch_Fashion_Sales_cleaned!$J16,Table2[City],Table2[City_Key],"not found")</f>
        <v>5</v>
      </c>
      <c r="O16" s="21">
        <f>_xlfn.XLOOKUP(Snitch_Fashion_Sales_cleaned!$D16,Table4[Product_Name],Table4[Product_Key],"not found")</f>
        <v>3</v>
      </c>
      <c r="P16" s="25">
        <f>_xlfn.XLOOKUP(Snitch_Fashion_Sales_cleaned!$I16,Table3[Order_Date],Table3[Date_Key])</f>
        <v>11</v>
      </c>
    </row>
    <row r="17" spans="1:16" x14ac:dyDescent="0.3">
      <c r="A17" s="34">
        <v>1015</v>
      </c>
      <c r="B17" s="32" t="s">
        <v>49</v>
      </c>
      <c r="C17" s="32" t="s">
        <v>25</v>
      </c>
      <c r="D17" s="33" t="s">
        <v>50</v>
      </c>
      <c r="E17" s="34">
        <v>6</v>
      </c>
      <c r="F17" s="35">
        <v>2666.2200000000003</v>
      </c>
      <c r="G17" s="36">
        <v>0.51</v>
      </c>
      <c r="H17" s="35">
        <f t="shared" si="2"/>
        <v>15997.320000000002</v>
      </c>
      <c r="I17" s="37">
        <v>45647</v>
      </c>
      <c r="J17" s="33" t="s">
        <v>18</v>
      </c>
      <c r="K17" s="33" t="s">
        <v>23</v>
      </c>
      <c r="L17" s="38">
        <f t="shared" si="3"/>
        <v>7838.6868000000004</v>
      </c>
      <c r="M17" s="38">
        <v>793.8</v>
      </c>
      <c r="N17" s="24">
        <f>_xlfn.XLOOKUP(Snitch_Fashion_Sales_cleaned!$J17,Table2[City],Table2[City_Key],"not found")</f>
        <v>2</v>
      </c>
      <c r="O17" s="23">
        <f>_xlfn.XLOOKUP(Snitch_Fashion_Sales_cleaned!$D17,Table4[Product_Name],Table4[Product_Key],"not found")</f>
        <v>11</v>
      </c>
      <c r="P17" s="32">
        <f>_xlfn.XLOOKUP(Snitch_Fashion_Sales_cleaned!$I17,Table3[Order_Date],Table3[Date_Key])</f>
        <v>5</v>
      </c>
    </row>
    <row r="18" spans="1:16" x14ac:dyDescent="0.3">
      <c r="A18" s="27">
        <v>1016</v>
      </c>
      <c r="B18" s="25" t="s">
        <v>51</v>
      </c>
      <c r="C18" s="25" t="s">
        <v>31</v>
      </c>
      <c r="D18" s="26" t="s">
        <v>32</v>
      </c>
      <c r="E18" s="27">
        <v>4</v>
      </c>
      <c r="F18" s="28">
        <v>2001.5500000000002</v>
      </c>
      <c r="G18" s="29">
        <v>0.51</v>
      </c>
      <c r="H18" s="28">
        <f t="shared" si="2"/>
        <v>8006.2000000000007</v>
      </c>
      <c r="I18" s="30">
        <v>45591</v>
      </c>
      <c r="J18" s="26" t="s">
        <v>52</v>
      </c>
      <c r="K18" s="26" t="s">
        <v>23</v>
      </c>
      <c r="L18" s="31">
        <f t="shared" si="3"/>
        <v>3923.0380000000005</v>
      </c>
      <c r="M18" s="31">
        <v>1881.89</v>
      </c>
      <c r="N18" s="22">
        <f>_xlfn.XLOOKUP(Snitch_Fashion_Sales_cleaned!$J18,Table2[City],Table2[City_Key],"not found")</f>
        <v>5</v>
      </c>
      <c r="O18" s="21">
        <f>_xlfn.XLOOKUP(Snitch_Fashion_Sales_cleaned!$D18,Table4[Product_Name],Table4[Product_Key],"not found")</f>
        <v>5</v>
      </c>
      <c r="P18" s="25">
        <f>_xlfn.XLOOKUP(Snitch_Fashion_Sales_cleaned!$I18,Table3[Order_Date],Table3[Date_Key])</f>
        <v>12</v>
      </c>
    </row>
    <row r="19" spans="1:16" x14ac:dyDescent="0.3">
      <c r="A19" s="34">
        <v>1017</v>
      </c>
      <c r="B19" s="32" t="s">
        <v>53</v>
      </c>
      <c r="C19" s="32" t="s">
        <v>31</v>
      </c>
      <c r="D19" s="33" t="s">
        <v>41</v>
      </c>
      <c r="E19" s="34">
        <v>3</v>
      </c>
      <c r="F19" s="35">
        <v>468.53</v>
      </c>
      <c r="G19" s="36">
        <v>0.51</v>
      </c>
      <c r="H19" s="35">
        <f t="shared" si="2"/>
        <v>1405.59</v>
      </c>
      <c r="I19" s="37">
        <v>45647</v>
      </c>
      <c r="J19" s="33" t="s">
        <v>22</v>
      </c>
      <c r="K19" s="33" t="s">
        <v>23</v>
      </c>
      <c r="L19" s="38">
        <f t="shared" si="3"/>
        <v>688.73909999999989</v>
      </c>
      <c r="M19" s="38">
        <v>-195.65</v>
      </c>
      <c r="N19" s="24">
        <f>_xlfn.XLOOKUP(Snitch_Fashion_Sales_cleaned!$J19,Table2[City],Table2[City_Key],"not found")</f>
        <v>3</v>
      </c>
      <c r="O19" s="23">
        <f>_xlfn.XLOOKUP(Snitch_Fashion_Sales_cleaned!$D19,Table4[Product_Name],Table4[Product_Key],"not found")</f>
        <v>9</v>
      </c>
      <c r="P19" s="32">
        <f>_xlfn.XLOOKUP(Snitch_Fashion_Sales_cleaned!$I19,Table3[Order_Date],Table3[Date_Key])</f>
        <v>5</v>
      </c>
    </row>
    <row r="20" spans="1:16" x14ac:dyDescent="0.3">
      <c r="A20" s="27">
        <v>1018</v>
      </c>
      <c r="B20" s="25" t="s">
        <v>54</v>
      </c>
      <c r="C20" s="25" t="s">
        <v>36</v>
      </c>
      <c r="D20" s="26" t="s">
        <v>55</v>
      </c>
      <c r="E20" s="27">
        <v>4</v>
      </c>
      <c r="F20" s="28">
        <v>2731.6350000000002</v>
      </c>
      <c r="G20" s="29">
        <v>0.51</v>
      </c>
      <c r="H20" s="28">
        <f t="shared" si="2"/>
        <v>10926.54</v>
      </c>
      <c r="I20" s="30">
        <v>45395</v>
      </c>
      <c r="J20" s="26" t="s">
        <v>2540</v>
      </c>
      <c r="K20" s="26" t="s">
        <v>16</v>
      </c>
      <c r="L20" s="31">
        <f t="shared" si="3"/>
        <v>5354.0046000000002</v>
      </c>
      <c r="M20" s="31">
        <v>2102.56</v>
      </c>
      <c r="N20" s="22">
        <f>_xlfn.XLOOKUP(Snitch_Fashion_Sales_cleaned!$J20,Table2[City],Table2[City_Key],"not found")</f>
        <v>4</v>
      </c>
      <c r="O20" s="21">
        <f>_xlfn.XLOOKUP(Snitch_Fashion_Sales_cleaned!$D20,Table4[Product_Name],Table4[Product_Key],"not found")</f>
        <v>12</v>
      </c>
      <c r="P20" s="25">
        <f>_xlfn.XLOOKUP(Snitch_Fashion_Sales_cleaned!$I20,Table3[Order_Date],Table3[Date_Key])</f>
        <v>13</v>
      </c>
    </row>
    <row r="21" spans="1:16" x14ac:dyDescent="0.3">
      <c r="A21" s="34">
        <v>1019</v>
      </c>
      <c r="B21" s="32" t="s">
        <v>56</v>
      </c>
      <c r="C21" s="32" t="s">
        <v>36</v>
      </c>
      <c r="D21" s="33" t="s">
        <v>37</v>
      </c>
      <c r="E21" s="34">
        <v>4</v>
      </c>
      <c r="F21" s="35">
        <v>4064.4</v>
      </c>
      <c r="G21" s="36">
        <v>0.7</v>
      </c>
      <c r="H21" s="35">
        <f t="shared" si="2"/>
        <v>16257.6</v>
      </c>
      <c r="I21" s="37">
        <v>45587</v>
      </c>
      <c r="J21" s="33" t="s">
        <v>18</v>
      </c>
      <c r="K21" s="33" t="s">
        <v>16</v>
      </c>
      <c r="L21" s="38">
        <f t="shared" si="3"/>
        <v>4877.2800000000007</v>
      </c>
      <c r="M21" s="38">
        <v>877.21</v>
      </c>
      <c r="N21" s="24">
        <f>_xlfn.XLOOKUP(Snitch_Fashion_Sales_cleaned!$J21,Table2[City],Table2[City_Key],"not found")</f>
        <v>2</v>
      </c>
      <c r="O21" s="23">
        <f>_xlfn.XLOOKUP(Snitch_Fashion_Sales_cleaned!$D21,Table4[Product_Name],Table4[Product_Key],"not found")</f>
        <v>7</v>
      </c>
      <c r="P21" s="32">
        <f>_xlfn.XLOOKUP(Snitch_Fashion_Sales_cleaned!$I21,Table3[Order_Date],Table3[Date_Key])</f>
        <v>14</v>
      </c>
    </row>
    <row r="22" spans="1:16" x14ac:dyDescent="0.3">
      <c r="A22" s="27">
        <v>1020</v>
      </c>
      <c r="B22" s="25" t="s">
        <v>57</v>
      </c>
      <c r="C22" s="25" t="s">
        <v>13</v>
      </c>
      <c r="D22" s="26" t="s">
        <v>34</v>
      </c>
      <c r="E22" s="27">
        <v>1</v>
      </c>
      <c r="F22" s="28">
        <v>3008.6549999999997</v>
      </c>
      <c r="G22" s="29">
        <v>0.51</v>
      </c>
      <c r="H22" s="28">
        <f t="shared" si="2"/>
        <v>3008.6549999999997</v>
      </c>
      <c r="I22" s="30">
        <v>45735</v>
      </c>
      <c r="J22" s="26" t="s">
        <v>43</v>
      </c>
      <c r="K22" s="26" t="s">
        <v>23</v>
      </c>
      <c r="L22" s="31">
        <f t="shared" si="3"/>
        <v>1474.2409499999999</v>
      </c>
      <c r="M22" s="31">
        <v>669.75</v>
      </c>
      <c r="N22" s="22">
        <f>_xlfn.XLOOKUP(Snitch_Fashion_Sales_cleaned!$J22,Table2[City],Table2[City_Key],"not found")</f>
        <v>6</v>
      </c>
      <c r="O22" s="21">
        <f>_xlfn.XLOOKUP(Snitch_Fashion_Sales_cleaned!$D22,Table4[Product_Name],Table4[Product_Key],"not found")</f>
        <v>6</v>
      </c>
      <c r="P22" s="25">
        <f>_xlfn.XLOOKUP(Snitch_Fashion_Sales_cleaned!$I22,Table3[Order_Date],Table3[Date_Key])</f>
        <v>15</v>
      </c>
    </row>
    <row r="23" spans="1:16" x14ac:dyDescent="0.3">
      <c r="A23" s="34">
        <v>1021</v>
      </c>
      <c r="B23" s="32" t="s">
        <v>58</v>
      </c>
      <c r="C23" s="32" t="s">
        <v>36</v>
      </c>
      <c r="D23" s="33" t="s">
        <v>59</v>
      </c>
      <c r="E23" s="34">
        <v>3</v>
      </c>
      <c r="F23" s="35">
        <v>2765.26</v>
      </c>
      <c r="G23" s="36">
        <v>0.51</v>
      </c>
      <c r="H23" s="35">
        <f t="shared" si="2"/>
        <v>8295.7800000000007</v>
      </c>
      <c r="I23" s="37">
        <v>45417</v>
      </c>
      <c r="J23" s="33" t="s">
        <v>2540</v>
      </c>
      <c r="K23" s="33" t="s">
        <v>23</v>
      </c>
      <c r="L23" s="38">
        <f t="shared" si="3"/>
        <v>4064.9322000000002</v>
      </c>
      <c r="M23" s="38">
        <v>-705.72</v>
      </c>
      <c r="N23" s="24">
        <f>_xlfn.XLOOKUP(Snitch_Fashion_Sales_cleaned!$J23,Table2[City],Table2[City_Key],"not found")</f>
        <v>4</v>
      </c>
      <c r="O23" s="23">
        <f>_xlfn.XLOOKUP(Snitch_Fashion_Sales_cleaned!$D23,Table4[Product_Name],Table4[Product_Key],"not found")</f>
        <v>13</v>
      </c>
      <c r="P23" s="32">
        <f>_xlfn.XLOOKUP(Snitch_Fashion_Sales_cleaned!$I23,Table3[Order_Date],Table3[Date_Key])</f>
        <v>16</v>
      </c>
    </row>
    <row r="24" spans="1:16" x14ac:dyDescent="0.3">
      <c r="A24" s="27">
        <v>1031</v>
      </c>
      <c r="B24" s="25" t="s">
        <v>60</v>
      </c>
      <c r="C24" s="25" t="s">
        <v>36</v>
      </c>
      <c r="D24" s="26" t="s">
        <v>59</v>
      </c>
      <c r="E24" s="27">
        <v>3</v>
      </c>
      <c r="F24" s="28">
        <v>1872.05</v>
      </c>
      <c r="G24" s="29">
        <v>0.15</v>
      </c>
      <c r="H24" s="28">
        <f t="shared" si="2"/>
        <v>5616.15</v>
      </c>
      <c r="I24" s="30">
        <v>45804</v>
      </c>
      <c r="J24" s="26" t="s">
        <v>43</v>
      </c>
      <c r="K24" s="26" t="s">
        <v>16</v>
      </c>
      <c r="L24" s="31">
        <f t="shared" si="3"/>
        <v>4773.7275</v>
      </c>
      <c r="M24" s="31">
        <v>-863.9</v>
      </c>
      <c r="N24" s="22">
        <f>_xlfn.XLOOKUP(Snitch_Fashion_Sales_cleaned!$J24,Table2[City],Table2[City_Key],"not found")</f>
        <v>6</v>
      </c>
      <c r="O24" s="21">
        <f>_xlfn.XLOOKUP(Snitch_Fashion_Sales_cleaned!$D24,Table4[Product_Name],Table4[Product_Key],"not found")</f>
        <v>13</v>
      </c>
      <c r="P24" s="25">
        <f>_xlfn.XLOOKUP(Snitch_Fashion_Sales_cleaned!$I24,Table3[Order_Date],Table3[Date_Key])</f>
        <v>9</v>
      </c>
    </row>
    <row r="25" spans="1:16" x14ac:dyDescent="0.3">
      <c r="A25" s="34">
        <v>1023</v>
      </c>
      <c r="B25" s="32" t="s">
        <v>61</v>
      </c>
      <c r="C25" s="32" t="s">
        <v>25</v>
      </c>
      <c r="D25" s="33" t="s">
        <v>62</v>
      </c>
      <c r="E25" s="34">
        <v>4</v>
      </c>
      <c r="F25" s="35">
        <v>2538.0450000000001</v>
      </c>
      <c r="G25" s="36">
        <v>0.51</v>
      </c>
      <c r="H25" s="35">
        <f t="shared" si="2"/>
        <v>10152.18</v>
      </c>
      <c r="I25" s="37">
        <v>45647</v>
      </c>
      <c r="J25" s="33" t="s">
        <v>22</v>
      </c>
      <c r="K25" s="33" t="s">
        <v>23</v>
      </c>
      <c r="L25" s="38">
        <f t="shared" si="3"/>
        <v>4974.5681999999997</v>
      </c>
      <c r="M25" s="38">
        <v>-875.51</v>
      </c>
      <c r="N25" s="24">
        <f>_xlfn.XLOOKUP(Snitch_Fashion_Sales_cleaned!$J25,Table2[City],Table2[City_Key],"not found")</f>
        <v>3</v>
      </c>
      <c r="O25" s="23">
        <f>_xlfn.XLOOKUP(Snitch_Fashion_Sales_cleaned!$D25,Table4[Product_Name],Table4[Product_Key],"not found")</f>
        <v>14</v>
      </c>
      <c r="P25" s="32">
        <f>_xlfn.XLOOKUP(Snitch_Fashion_Sales_cleaned!$I25,Table3[Order_Date],Table3[Date_Key])</f>
        <v>5</v>
      </c>
    </row>
    <row r="26" spans="1:16" x14ac:dyDescent="0.3">
      <c r="A26" s="27">
        <v>1024</v>
      </c>
      <c r="B26" s="25" t="s">
        <v>63</v>
      </c>
      <c r="C26" s="25" t="s">
        <v>20</v>
      </c>
      <c r="D26" s="26" t="s">
        <v>21</v>
      </c>
      <c r="E26" s="27">
        <v>4</v>
      </c>
      <c r="F26" s="28">
        <v>2579.8000000000002</v>
      </c>
      <c r="G26" s="29">
        <v>0.51</v>
      </c>
      <c r="H26" s="28">
        <f t="shared" si="2"/>
        <v>10319.200000000001</v>
      </c>
      <c r="I26" s="30">
        <v>45707</v>
      </c>
      <c r="J26" s="26" t="s">
        <v>15</v>
      </c>
      <c r="K26" s="26" t="s">
        <v>23</v>
      </c>
      <c r="L26" s="31">
        <f t="shared" si="3"/>
        <v>5056.4080000000004</v>
      </c>
      <c r="M26" s="31">
        <v>491.1</v>
      </c>
      <c r="N26" s="22">
        <f>_xlfn.XLOOKUP(Snitch_Fashion_Sales_cleaned!$J26,Table2[City],Table2[City_Key],"not found")</f>
        <v>1</v>
      </c>
      <c r="O26" s="21">
        <f>_xlfn.XLOOKUP(Snitch_Fashion_Sales_cleaned!$D26,Table4[Product_Name],Table4[Product_Key],"not found")</f>
        <v>2</v>
      </c>
      <c r="P26" s="25">
        <f>_xlfn.XLOOKUP(Snitch_Fashion_Sales_cleaned!$I26,Table3[Order_Date],Table3[Date_Key])</f>
        <v>17</v>
      </c>
    </row>
    <row r="27" spans="1:16" x14ac:dyDescent="0.3">
      <c r="A27" s="34">
        <v>1025</v>
      </c>
      <c r="B27" s="32" t="s">
        <v>64</v>
      </c>
      <c r="C27" s="32" t="s">
        <v>13</v>
      </c>
      <c r="D27" s="33" t="s">
        <v>46</v>
      </c>
      <c r="E27" s="34">
        <v>4</v>
      </c>
      <c r="F27" s="35">
        <v>4595.08</v>
      </c>
      <c r="G27" s="36">
        <v>0.51</v>
      </c>
      <c r="H27" s="35">
        <f t="shared" si="2"/>
        <v>18380.32</v>
      </c>
      <c r="I27" s="37">
        <v>45856</v>
      </c>
      <c r="J27" s="33" t="s">
        <v>2540</v>
      </c>
      <c r="K27" s="33" t="s">
        <v>23</v>
      </c>
      <c r="L27" s="38">
        <f t="shared" si="3"/>
        <v>9006.3567999999996</v>
      </c>
      <c r="M27" s="38">
        <v>330.82</v>
      </c>
      <c r="N27" s="24">
        <f>_xlfn.XLOOKUP(Snitch_Fashion_Sales_cleaned!$J27,Table2[City],Table2[City_Key],"not found")</f>
        <v>4</v>
      </c>
      <c r="O27" s="23">
        <f>_xlfn.XLOOKUP(Snitch_Fashion_Sales_cleaned!$D27,Table4[Product_Name],Table4[Product_Key],"not found")</f>
        <v>10</v>
      </c>
      <c r="P27" s="32">
        <f>_xlfn.XLOOKUP(Snitch_Fashion_Sales_cleaned!$I27,Table3[Order_Date],Table3[Date_Key])</f>
        <v>18</v>
      </c>
    </row>
    <row r="28" spans="1:16" x14ac:dyDescent="0.3">
      <c r="A28" s="27">
        <v>1026</v>
      </c>
      <c r="B28" s="25" t="s">
        <v>65</v>
      </c>
      <c r="C28" s="25" t="s">
        <v>28</v>
      </c>
      <c r="D28" s="26" t="s">
        <v>39</v>
      </c>
      <c r="E28" s="27">
        <v>3</v>
      </c>
      <c r="F28" s="28">
        <v>2577.6350000000002</v>
      </c>
      <c r="G28" s="29">
        <v>0.51</v>
      </c>
      <c r="H28" s="28">
        <f t="shared" si="2"/>
        <v>7732.9050000000007</v>
      </c>
      <c r="I28" s="30">
        <v>45647</v>
      </c>
      <c r="J28" s="26" t="s">
        <v>18</v>
      </c>
      <c r="K28" s="26" t="s">
        <v>23</v>
      </c>
      <c r="L28" s="31">
        <f t="shared" si="3"/>
        <v>3789.12345</v>
      </c>
      <c r="M28" s="31">
        <v>-194.77</v>
      </c>
      <c r="N28" s="22">
        <f>_xlfn.XLOOKUP(Snitch_Fashion_Sales_cleaned!$J28,Table2[City],Table2[City_Key],"not found")</f>
        <v>2</v>
      </c>
      <c r="O28" s="21">
        <f>_xlfn.XLOOKUP(Snitch_Fashion_Sales_cleaned!$D28,Table4[Product_Name],Table4[Product_Key],"not found")</f>
        <v>8</v>
      </c>
      <c r="P28" s="25">
        <f>_xlfn.XLOOKUP(Snitch_Fashion_Sales_cleaned!$I28,Table3[Order_Date],Table3[Date_Key])</f>
        <v>5</v>
      </c>
    </row>
    <row r="29" spans="1:16" x14ac:dyDescent="0.3">
      <c r="A29" s="34">
        <v>1027</v>
      </c>
      <c r="B29" s="32" t="s">
        <v>66</v>
      </c>
      <c r="C29" s="32" t="s">
        <v>28</v>
      </c>
      <c r="D29" s="33" t="s">
        <v>29</v>
      </c>
      <c r="E29" s="34">
        <v>1</v>
      </c>
      <c r="F29" s="35">
        <v>2515.415</v>
      </c>
      <c r="G29" s="36">
        <v>0.51</v>
      </c>
      <c r="H29" s="35">
        <f t="shared" si="2"/>
        <v>2515.415</v>
      </c>
      <c r="I29" s="37">
        <v>45647</v>
      </c>
      <c r="J29" s="33" t="s">
        <v>52</v>
      </c>
      <c r="K29" s="33" t="s">
        <v>23</v>
      </c>
      <c r="L29" s="38">
        <f t="shared" si="3"/>
        <v>1232.5533499999999</v>
      </c>
      <c r="M29" s="38">
        <v>1085.3599999999999</v>
      </c>
      <c r="N29" s="24">
        <f>_xlfn.XLOOKUP(Snitch_Fashion_Sales_cleaned!$J29,Table2[City],Table2[City_Key],"not found")</f>
        <v>5</v>
      </c>
      <c r="O29" s="23">
        <f>_xlfn.XLOOKUP(Snitch_Fashion_Sales_cleaned!$D29,Table4[Product_Name],Table4[Product_Key],"not found")</f>
        <v>4</v>
      </c>
      <c r="P29" s="32">
        <f>_xlfn.XLOOKUP(Snitch_Fashion_Sales_cleaned!$I29,Table3[Order_Date],Table3[Date_Key])</f>
        <v>5</v>
      </c>
    </row>
    <row r="30" spans="1:16" x14ac:dyDescent="0.3">
      <c r="A30" s="27">
        <v>1028</v>
      </c>
      <c r="B30" s="25" t="s">
        <v>67</v>
      </c>
      <c r="C30" s="25" t="s">
        <v>31</v>
      </c>
      <c r="D30" s="26" t="s">
        <v>68</v>
      </c>
      <c r="E30" s="27">
        <v>4</v>
      </c>
      <c r="F30" s="28">
        <v>2765.79</v>
      </c>
      <c r="G30" s="29">
        <v>0.51</v>
      </c>
      <c r="H30" s="28">
        <f t="shared" si="2"/>
        <v>11063.16</v>
      </c>
      <c r="I30" s="30">
        <v>45647</v>
      </c>
      <c r="J30" s="26" t="s">
        <v>52</v>
      </c>
      <c r="K30" s="26" t="s">
        <v>23</v>
      </c>
      <c r="L30" s="31">
        <f t="shared" si="3"/>
        <v>5420.9484000000002</v>
      </c>
      <c r="M30" s="31">
        <v>2060.0300000000002</v>
      </c>
      <c r="N30" s="22">
        <f>_xlfn.XLOOKUP(Snitch_Fashion_Sales_cleaned!$J30,Table2[City],Table2[City_Key],"not found")</f>
        <v>5</v>
      </c>
      <c r="O30" s="21">
        <f>_xlfn.XLOOKUP(Snitch_Fashion_Sales_cleaned!$D30,Table4[Product_Name],Table4[Product_Key],"not found")</f>
        <v>15</v>
      </c>
      <c r="P30" s="25">
        <f>_xlfn.XLOOKUP(Snitch_Fashion_Sales_cleaned!$I30,Table3[Order_Date],Table3[Date_Key])</f>
        <v>5</v>
      </c>
    </row>
    <row r="31" spans="1:16" x14ac:dyDescent="0.3">
      <c r="A31" s="34">
        <v>1029</v>
      </c>
      <c r="B31" s="32" t="s">
        <v>69</v>
      </c>
      <c r="C31" s="32" t="s">
        <v>31</v>
      </c>
      <c r="D31" s="33" t="s">
        <v>68</v>
      </c>
      <c r="E31" s="34">
        <v>4</v>
      </c>
      <c r="F31" s="35">
        <v>2765.79</v>
      </c>
      <c r="G31" s="36">
        <v>0.51</v>
      </c>
      <c r="H31" s="35">
        <f t="shared" si="2"/>
        <v>11063.16</v>
      </c>
      <c r="I31" s="37">
        <v>45647</v>
      </c>
      <c r="J31" s="33" t="s">
        <v>22</v>
      </c>
      <c r="K31" s="33" t="s">
        <v>23</v>
      </c>
      <c r="L31" s="38">
        <f t="shared" si="3"/>
        <v>5420.9484000000002</v>
      </c>
      <c r="M31" s="38">
        <v>1737.92</v>
      </c>
      <c r="N31" s="24">
        <f>_xlfn.XLOOKUP(Snitch_Fashion_Sales_cleaned!$J31,Table2[City],Table2[City_Key],"not found")</f>
        <v>3</v>
      </c>
      <c r="O31" s="23">
        <f>_xlfn.XLOOKUP(Snitch_Fashion_Sales_cleaned!$D31,Table4[Product_Name],Table4[Product_Key],"not found")</f>
        <v>15</v>
      </c>
      <c r="P31" s="32">
        <f>_xlfn.XLOOKUP(Snitch_Fashion_Sales_cleaned!$I31,Table3[Order_Date],Table3[Date_Key])</f>
        <v>5</v>
      </c>
    </row>
    <row r="32" spans="1:16" x14ac:dyDescent="0.3">
      <c r="A32" s="27">
        <v>1030</v>
      </c>
      <c r="B32" s="25" t="s">
        <v>70</v>
      </c>
      <c r="C32" s="25" t="s">
        <v>36</v>
      </c>
      <c r="D32" s="26" t="s">
        <v>55</v>
      </c>
      <c r="E32" s="27">
        <v>3</v>
      </c>
      <c r="F32" s="28">
        <v>1069.77</v>
      </c>
      <c r="G32" s="29">
        <v>0.51</v>
      </c>
      <c r="H32" s="28">
        <f t="shared" si="2"/>
        <v>3209.31</v>
      </c>
      <c r="I32" s="30">
        <v>45172</v>
      </c>
      <c r="J32" s="26" t="s">
        <v>52</v>
      </c>
      <c r="K32" s="26" t="s">
        <v>16</v>
      </c>
      <c r="L32" s="31">
        <f t="shared" si="3"/>
        <v>1572.5618999999999</v>
      </c>
      <c r="M32" s="31">
        <v>1155.3800000000001</v>
      </c>
      <c r="N32" s="22">
        <f>_xlfn.XLOOKUP(Snitch_Fashion_Sales_cleaned!$J32,Table2[City],Table2[City_Key],"not found")</f>
        <v>5</v>
      </c>
      <c r="O32" s="21">
        <f>_xlfn.XLOOKUP(Snitch_Fashion_Sales_cleaned!$D32,Table4[Product_Name],Table4[Product_Key],"not found")</f>
        <v>12</v>
      </c>
      <c r="P32" s="25">
        <f>_xlfn.XLOOKUP(Snitch_Fashion_Sales_cleaned!$I32,Table3[Order_Date],Table3[Date_Key])</f>
        <v>19</v>
      </c>
    </row>
    <row r="33" spans="1:16" x14ac:dyDescent="0.3">
      <c r="A33" s="34">
        <v>1031</v>
      </c>
      <c r="B33" s="32" t="s">
        <v>71</v>
      </c>
      <c r="C33" s="32" t="s">
        <v>36</v>
      </c>
      <c r="D33" s="33" t="s">
        <v>59</v>
      </c>
      <c r="E33" s="34">
        <v>4</v>
      </c>
      <c r="F33" s="35">
        <v>2765.26</v>
      </c>
      <c r="G33" s="36">
        <v>0.51</v>
      </c>
      <c r="H33" s="35">
        <f t="shared" si="2"/>
        <v>11061.04</v>
      </c>
      <c r="I33" s="37">
        <v>45688</v>
      </c>
      <c r="J33" s="33" t="s">
        <v>2540</v>
      </c>
      <c r="K33" s="33" t="s">
        <v>23</v>
      </c>
      <c r="L33" s="38">
        <f t="shared" si="3"/>
        <v>5419.9096</v>
      </c>
      <c r="M33" s="38">
        <v>-960.24</v>
      </c>
      <c r="N33" s="24">
        <f>_xlfn.XLOOKUP(Snitch_Fashion_Sales_cleaned!$J33,Table2[City],Table2[City_Key],"not found")</f>
        <v>4</v>
      </c>
      <c r="O33" s="23">
        <f>_xlfn.XLOOKUP(Snitch_Fashion_Sales_cleaned!$D33,Table4[Product_Name],Table4[Product_Key],"not found")</f>
        <v>13</v>
      </c>
      <c r="P33" s="32">
        <f>_xlfn.XLOOKUP(Snitch_Fashion_Sales_cleaned!$I33,Table3[Order_Date],Table3[Date_Key])</f>
        <v>20</v>
      </c>
    </row>
    <row r="34" spans="1:16" x14ac:dyDescent="0.3">
      <c r="A34" s="27">
        <v>1032</v>
      </c>
      <c r="B34" s="25" t="s">
        <v>72</v>
      </c>
      <c r="C34" s="25" t="s">
        <v>13</v>
      </c>
      <c r="D34" s="26" t="s">
        <v>34</v>
      </c>
      <c r="E34" s="27">
        <v>3</v>
      </c>
      <c r="F34" s="28">
        <v>2182.0100000000002</v>
      </c>
      <c r="G34" s="29">
        <v>0.51</v>
      </c>
      <c r="H34" s="28">
        <f t="shared" si="2"/>
        <v>6546.0300000000007</v>
      </c>
      <c r="I34" s="30">
        <v>45682</v>
      </c>
      <c r="J34" s="26" t="s">
        <v>15</v>
      </c>
      <c r="K34" s="26" t="s">
        <v>23</v>
      </c>
      <c r="L34" s="31">
        <f t="shared" si="3"/>
        <v>3207.5547000000001</v>
      </c>
      <c r="M34" s="31">
        <v>1377.61</v>
      </c>
      <c r="N34" s="22">
        <f>_xlfn.XLOOKUP(Snitch_Fashion_Sales_cleaned!$J34,Table2[City],Table2[City_Key],"not found")</f>
        <v>1</v>
      </c>
      <c r="O34" s="21">
        <f>_xlfn.XLOOKUP(Snitch_Fashion_Sales_cleaned!$D34,Table4[Product_Name],Table4[Product_Key],"not found")</f>
        <v>6</v>
      </c>
      <c r="P34" s="25">
        <f>_xlfn.XLOOKUP(Snitch_Fashion_Sales_cleaned!$I34,Table3[Order_Date],Table3[Date_Key])</f>
        <v>21</v>
      </c>
    </row>
    <row r="35" spans="1:16" x14ac:dyDescent="0.3">
      <c r="A35" s="34">
        <v>1033</v>
      </c>
      <c r="B35" s="32" t="s">
        <v>73</v>
      </c>
      <c r="C35" s="32" t="s">
        <v>13</v>
      </c>
      <c r="D35" s="33" t="s">
        <v>46</v>
      </c>
      <c r="E35" s="34">
        <v>4</v>
      </c>
      <c r="F35" s="35">
        <v>2891.64</v>
      </c>
      <c r="G35" s="36">
        <v>0.51</v>
      </c>
      <c r="H35" s="35">
        <f t="shared" si="2"/>
        <v>11566.56</v>
      </c>
      <c r="I35" s="37">
        <v>45609</v>
      </c>
      <c r="J35" s="33" t="s">
        <v>52</v>
      </c>
      <c r="K35" s="33" t="s">
        <v>23</v>
      </c>
      <c r="L35" s="38">
        <f t="shared" si="3"/>
        <v>5667.6143999999995</v>
      </c>
      <c r="M35" s="38">
        <v>903.69</v>
      </c>
      <c r="N35" s="24">
        <f>_xlfn.XLOOKUP(Snitch_Fashion_Sales_cleaned!$J35,Table2[City],Table2[City_Key],"not found")</f>
        <v>5</v>
      </c>
      <c r="O35" s="23">
        <f>_xlfn.XLOOKUP(Snitch_Fashion_Sales_cleaned!$D35,Table4[Product_Name],Table4[Product_Key],"not found")</f>
        <v>10</v>
      </c>
      <c r="P35" s="32">
        <f>_xlfn.XLOOKUP(Snitch_Fashion_Sales_cleaned!$I35,Table3[Order_Date],Table3[Date_Key])</f>
        <v>22</v>
      </c>
    </row>
    <row r="36" spans="1:16" x14ac:dyDescent="0.3">
      <c r="A36" s="27">
        <v>1034</v>
      </c>
      <c r="B36" s="25" t="s">
        <v>74</v>
      </c>
      <c r="C36" s="25" t="s">
        <v>20</v>
      </c>
      <c r="D36" s="26" t="s">
        <v>21</v>
      </c>
      <c r="E36" s="27">
        <v>4</v>
      </c>
      <c r="F36" s="28">
        <v>4449.3599999999997</v>
      </c>
      <c r="G36" s="29">
        <v>0.94</v>
      </c>
      <c r="H36" s="28">
        <f t="shared" si="2"/>
        <v>17797.439999999999</v>
      </c>
      <c r="I36" s="30">
        <v>45851</v>
      </c>
      <c r="J36" s="26" t="s">
        <v>15</v>
      </c>
      <c r="K36" s="26" t="s">
        <v>23</v>
      </c>
      <c r="L36" s="31">
        <f t="shared" si="3"/>
        <v>1067.8464000000008</v>
      </c>
      <c r="M36" s="31">
        <v>-282.68</v>
      </c>
      <c r="N36" s="22">
        <f>_xlfn.XLOOKUP(Snitch_Fashion_Sales_cleaned!$J36,Table2[City],Table2[City_Key],"not found")</f>
        <v>1</v>
      </c>
      <c r="O36" s="21">
        <f>_xlfn.XLOOKUP(Snitch_Fashion_Sales_cleaned!$D36,Table4[Product_Name],Table4[Product_Key],"not found")</f>
        <v>2</v>
      </c>
      <c r="P36" s="25">
        <f>_xlfn.XLOOKUP(Snitch_Fashion_Sales_cleaned!$I36,Table3[Order_Date],Table3[Date_Key])</f>
        <v>23</v>
      </c>
    </row>
    <row r="37" spans="1:16" x14ac:dyDescent="0.3">
      <c r="A37" s="34">
        <v>1035</v>
      </c>
      <c r="B37" s="32" t="s">
        <v>75</v>
      </c>
      <c r="C37" s="32" t="s">
        <v>20</v>
      </c>
      <c r="D37" s="33" t="s">
        <v>76</v>
      </c>
      <c r="E37" s="34">
        <v>3</v>
      </c>
      <c r="F37" s="35">
        <v>2229.4899999999998</v>
      </c>
      <c r="G37" s="36">
        <v>0.94</v>
      </c>
      <c r="H37" s="35">
        <f t="shared" si="2"/>
        <v>6688.4699999999993</v>
      </c>
      <c r="I37" s="37">
        <v>45647</v>
      </c>
      <c r="J37" s="33" t="s">
        <v>18</v>
      </c>
      <c r="K37" s="33" t="s">
        <v>16</v>
      </c>
      <c r="L37" s="38">
        <f t="shared" si="3"/>
        <v>401.30820000000034</v>
      </c>
      <c r="M37" s="38">
        <v>-199.18</v>
      </c>
      <c r="N37" s="24">
        <f>_xlfn.XLOOKUP(Snitch_Fashion_Sales_cleaned!$J37,Table2[City],Table2[City_Key],"not found")</f>
        <v>2</v>
      </c>
      <c r="O37" s="23">
        <f>_xlfn.XLOOKUP(Snitch_Fashion_Sales_cleaned!$D37,Table4[Product_Name],Table4[Product_Key],"not found")</f>
        <v>16</v>
      </c>
      <c r="P37" s="32">
        <f>_xlfn.XLOOKUP(Snitch_Fashion_Sales_cleaned!$I37,Table3[Order_Date],Table3[Date_Key])</f>
        <v>5</v>
      </c>
    </row>
    <row r="38" spans="1:16" x14ac:dyDescent="0.3">
      <c r="A38" s="27">
        <v>1036</v>
      </c>
      <c r="B38" s="25" t="s">
        <v>77</v>
      </c>
      <c r="C38" s="25" t="s">
        <v>31</v>
      </c>
      <c r="D38" s="26" t="s">
        <v>78</v>
      </c>
      <c r="E38" s="27">
        <v>4</v>
      </c>
      <c r="F38" s="28">
        <v>2721.83</v>
      </c>
      <c r="G38" s="29">
        <v>0.51</v>
      </c>
      <c r="H38" s="28">
        <f t="shared" si="2"/>
        <v>10887.32</v>
      </c>
      <c r="I38" s="30">
        <v>45388</v>
      </c>
      <c r="J38" s="26" t="s">
        <v>18</v>
      </c>
      <c r="K38" s="26" t="s">
        <v>23</v>
      </c>
      <c r="L38" s="31">
        <f t="shared" si="3"/>
        <v>5334.7867999999999</v>
      </c>
      <c r="M38" s="31">
        <v>1213.95</v>
      </c>
      <c r="N38" s="22">
        <f>_xlfn.XLOOKUP(Snitch_Fashion_Sales_cleaned!$J38,Table2[City],Table2[City_Key],"not found")</f>
        <v>2</v>
      </c>
      <c r="O38" s="21">
        <f>_xlfn.XLOOKUP(Snitch_Fashion_Sales_cleaned!$D38,Table4[Product_Name],Table4[Product_Key],"not found")</f>
        <v>17</v>
      </c>
      <c r="P38" s="25">
        <f>_xlfn.XLOOKUP(Snitch_Fashion_Sales_cleaned!$I38,Table3[Order_Date],Table3[Date_Key])</f>
        <v>24</v>
      </c>
    </row>
    <row r="39" spans="1:16" x14ac:dyDescent="0.3">
      <c r="A39" s="34">
        <v>1037</v>
      </c>
      <c r="B39" s="32" t="s">
        <v>79</v>
      </c>
      <c r="C39" s="32" t="s">
        <v>28</v>
      </c>
      <c r="D39" s="33" t="s">
        <v>39</v>
      </c>
      <c r="E39" s="34">
        <v>2</v>
      </c>
      <c r="F39" s="35">
        <v>2577.6350000000002</v>
      </c>
      <c r="G39" s="36">
        <v>0.51</v>
      </c>
      <c r="H39" s="35">
        <f t="shared" si="2"/>
        <v>5155.2700000000004</v>
      </c>
      <c r="I39" s="37">
        <v>45647</v>
      </c>
      <c r="J39" s="33" t="s">
        <v>18</v>
      </c>
      <c r="K39" s="33" t="s">
        <v>23</v>
      </c>
      <c r="L39" s="38">
        <f t="shared" si="3"/>
        <v>2526.0823</v>
      </c>
      <c r="M39" s="38">
        <v>907.77</v>
      </c>
      <c r="N39" s="24">
        <f>_xlfn.XLOOKUP(Snitch_Fashion_Sales_cleaned!$J39,Table2[City],Table2[City_Key],"not found")</f>
        <v>2</v>
      </c>
      <c r="O39" s="23">
        <f>_xlfn.XLOOKUP(Snitch_Fashion_Sales_cleaned!$D39,Table4[Product_Name],Table4[Product_Key],"not found")</f>
        <v>8</v>
      </c>
      <c r="P39" s="32">
        <f>_xlfn.XLOOKUP(Snitch_Fashion_Sales_cleaned!$I39,Table3[Order_Date],Table3[Date_Key])</f>
        <v>5</v>
      </c>
    </row>
    <row r="40" spans="1:16" x14ac:dyDescent="0.3">
      <c r="A40" s="27">
        <v>1038</v>
      </c>
      <c r="B40" s="25" t="s">
        <v>80</v>
      </c>
      <c r="C40" s="25" t="s">
        <v>31</v>
      </c>
      <c r="D40" s="26" t="s">
        <v>32</v>
      </c>
      <c r="E40" s="27">
        <v>3</v>
      </c>
      <c r="F40" s="28">
        <v>1692.38</v>
      </c>
      <c r="G40" s="29">
        <v>0.51</v>
      </c>
      <c r="H40" s="28">
        <f t="shared" si="2"/>
        <v>5077.1400000000003</v>
      </c>
      <c r="I40" s="30">
        <v>45311</v>
      </c>
      <c r="J40" s="26" t="s">
        <v>2540</v>
      </c>
      <c r="K40" s="26" t="s">
        <v>16</v>
      </c>
      <c r="L40" s="31">
        <f t="shared" si="3"/>
        <v>2487.7986000000001</v>
      </c>
      <c r="M40" s="31">
        <v>1704.49</v>
      </c>
      <c r="N40" s="22">
        <f>_xlfn.XLOOKUP(Snitch_Fashion_Sales_cleaned!$J40,Table2[City],Table2[City_Key],"not found")</f>
        <v>4</v>
      </c>
      <c r="O40" s="21">
        <f>_xlfn.XLOOKUP(Snitch_Fashion_Sales_cleaned!$D40,Table4[Product_Name],Table4[Product_Key],"not found")</f>
        <v>5</v>
      </c>
      <c r="P40" s="25">
        <f>_xlfn.XLOOKUP(Snitch_Fashion_Sales_cleaned!$I40,Table3[Order_Date],Table3[Date_Key])</f>
        <v>25</v>
      </c>
    </row>
    <row r="41" spans="1:16" x14ac:dyDescent="0.3">
      <c r="A41" s="34">
        <v>1039</v>
      </c>
      <c r="B41" s="32" t="s">
        <v>81</v>
      </c>
      <c r="C41" s="32" t="s">
        <v>25</v>
      </c>
      <c r="D41" s="33" t="s">
        <v>82</v>
      </c>
      <c r="E41" s="34">
        <v>3</v>
      </c>
      <c r="F41" s="35">
        <v>1372.16</v>
      </c>
      <c r="G41" s="36">
        <v>0.56000000000000005</v>
      </c>
      <c r="H41" s="35">
        <f t="shared" si="2"/>
        <v>4116.4800000000005</v>
      </c>
      <c r="I41" s="37">
        <v>45797</v>
      </c>
      <c r="J41" s="33" t="s">
        <v>52</v>
      </c>
      <c r="K41" s="33" t="s">
        <v>16</v>
      </c>
      <c r="L41" s="38">
        <f t="shared" si="3"/>
        <v>1811.2511999999999</v>
      </c>
      <c r="M41" s="38">
        <v>1626.51</v>
      </c>
      <c r="N41" s="24">
        <f>_xlfn.XLOOKUP(Snitch_Fashion_Sales_cleaned!$J41,Table2[City],Table2[City_Key],"not found")</f>
        <v>5</v>
      </c>
      <c r="O41" s="23">
        <f>_xlfn.XLOOKUP(Snitch_Fashion_Sales_cleaned!$D41,Table4[Product_Name],Table4[Product_Key],"not found")</f>
        <v>18</v>
      </c>
      <c r="P41" s="32">
        <f>_xlfn.XLOOKUP(Snitch_Fashion_Sales_cleaned!$I41,Table3[Order_Date],Table3[Date_Key])</f>
        <v>26</v>
      </c>
    </row>
    <row r="42" spans="1:16" x14ac:dyDescent="0.3">
      <c r="A42" s="27">
        <v>1040</v>
      </c>
      <c r="B42" s="25" t="s">
        <v>83</v>
      </c>
      <c r="C42" s="25" t="s">
        <v>20</v>
      </c>
      <c r="D42" s="26" t="s">
        <v>84</v>
      </c>
      <c r="E42" s="27">
        <v>3</v>
      </c>
      <c r="F42" s="28">
        <v>2537.59</v>
      </c>
      <c r="G42" s="29">
        <v>0.51</v>
      </c>
      <c r="H42" s="28">
        <f t="shared" si="2"/>
        <v>7612.77</v>
      </c>
      <c r="I42" s="30">
        <v>45611</v>
      </c>
      <c r="J42" s="26" t="s">
        <v>18</v>
      </c>
      <c r="K42" s="26" t="s">
        <v>16</v>
      </c>
      <c r="L42" s="31">
        <f t="shared" si="3"/>
        <v>3730.2573000000002</v>
      </c>
      <c r="M42" s="31">
        <v>693.6</v>
      </c>
      <c r="N42" s="22">
        <f>_xlfn.XLOOKUP(Snitch_Fashion_Sales_cleaned!$J42,Table2[City],Table2[City_Key],"not found")</f>
        <v>2</v>
      </c>
      <c r="O42" s="21">
        <f>_xlfn.XLOOKUP(Snitch_Fashion_Sales_cleaned!$D42,Table4[Product_Name],Table4[Product_Key],"not found")</f>
        <v>19</v>
      </c>
      <c r="P42" s="25">
        <f>_xlfn.XLOOKUP(Snitch_Fashion_Sales_cleaned!$I42,Table3[Order_Date],Table3[Date_Key])</f>
        <v>27</v>
      </c>
    </row>
    <row r="43" spans="1:16" x14ac:dyDescent="0.3">
      <c r="A43" s="34">
        <v>1041</v>
      </c>
      <c r="B43" s="32" t="s">
        <v>85</v>
      </c>
      <c r="C43" s="32" t="s">
        <v>20</v>
      </c>
      <c r="D43" s="33" t="s">
        <v>21</v>
      </c>
      <c r="E43" s="34">
        <v>4</v>
      </c>
      <c r="F43" s="35">
        <v>2579.8000000000002</v>
      </c>
      <c r="G43" s="36">
        <v>0.51</v>
      </c>
      <c r="H43" s="35">
        <f t="shared" si="2"/>
        <v>10319.200000000001</v>
      </c>
      <c r="I43" s="37">
        <v>45723</v>
      </c>
      <c r="J43" s="33" t="s">
        <v>18</v>
      </c>
      <c r="K43" s="33" t="s">
        <v>16</v>
      </c>
      <c r="L43" s="38">
        <f t="shared" si="3"/>
        <v>5056.4080000000004</v>
      </c>
      <c r="M43" s="38">
        <v>-983.06</v>
      </c>
      <c r="N43" s="24">
        <f>_xlfn.XLOOKUP(Snitch_Fashion_Sales_cleaned!$J43,Table2[City],Table2[City_Key],"not found")</f>
        <v>2</v>
      </c>
      <c r="O43" s="23">
        <f>_xlfn.XLOOKUP(Snitch_Fashion_Sales_cleaned!$D43,Table4[Product_Name],Table4[Product_Key],"not found")</f>
        <v>2</v>
      </c>
      <c r="P43" s="32">
        <f>_xlfn.XLOOKUP(Snitch_Fashion_Sales_cleaned!$I43,Table3[Order_Date],Table3[Date_Key])</f>
        <v>28</v>
      </c>
    </row>
    <row r="44" spans="1:16" x14ac:dyDescent="0.3">
      <c r="A44" s="27">
        <v>1042</v>
      </c>
      <c r="B44" s="25" t="s">
        <v>86</v>
      </c>
      <c r="C44" s="25" t="s">
        <v>36</v>
      </c>
      <c r="D44" s="26" t="s">
        <v>87</v>
      </c>
      <c r="E44" s="27">
        <v>4</v>
      </c>
      <c r="F44" s="28">
        <v>2889.5349999999999</v>
      </c>
      <c r="G44" s="29">
        <v>0.51</v>
      </c>
      <c r="H44" s="28">
        <f t="shared" si="2"/>
        <v>11558.14</v>
      </c>
      <c r="I44" s="30">
        <v>45759</v>
      </c>
      <c r="J44" s="26" t="s">
        <v>43</v>
      </c>
      <c r="K44" s="26" t="s">
        <v>23</v>
      </c>
      <c r="L44" s="31">
        <f t="shared" si="3"/>
        <v>5663.4885999999997</v>
      </c>
      <c r="M44" s="31">
        <v>283.39</v>
      </c>
      <c r="N44" s="22">
        <f>_xlfn.XLOOKUP(Snitch_Fashion_Sales_cleaned!$J44,Table2[City],Table2[City_Key],"not found")</f>
        <v>6</v>
      </c>
      <c r="O44" s="21">
        <f>_xlfn.XLOOKUP(Snitch_Fashion_Sales_cleaned!$D44,Table4[Product_Name],Table4[Product_Key],"not found")</f>
        <v>20</v>
      </c>
      <c r="P44" s="25">
        <f>_xlfn.XLOOKUP(Snitch_Fashion_Sales_cleaned!$I44,Table3[Order_Date],Table3[Date_Key])</f>
        <v>29</v>
      </c>
    </row>
    <row r="45" spans="1:16" x14ac:dyDescent="0.3">
      <c r="A45" s="34">
        <v>1043</v>
      </c>
      <c r="B45" s="32" t="s">
        <v>88</v>
      </c>
      <c r="C45" s="32" t="s">
        <v>31</v>
      </c>
      <c r="D45" s="33" t="s">
        <v>78</v>
      </c>
      <c r="E45" s="34">
        <v>4</v>
      </c>
      <c r="F45" s="35">
        <v>4575.93</v>
      </c>
      <c r="G45" s="36">
        <v>0.56000000000000005</v>
      </c>
      <c r="H45" s="35">
        <f t="shared" si="2"/>
        <v>18303.72</v>
      </c>
      <c r="I45" s="37">
        <v>45752</v>
      </c>
      <c r="J45" s="33" t="s">
        <v>18</v>
      </c>
      <c r="K45" s="33" t="s">
        <v>23</v>
      </c>
      <c r="L45" s="38">
        <f t="shared" si="3"/>
        <v>8053.6367999999993</v>
      </c>
      <c r="M45" s="38">
        <v>442.14</v>
      </c>
      <c r="N45" s="24">
        <f>_xlfn.XLOOKUP(Snitch_Fashion_Sales_cleaned!$J45,Table2[City],Table2[City_Key],"not found")</f>
        <v>2</v>
      </c>
      <c r="O45" s="23">
        <f>_xlfn.XLOOKUP(Snitch_Fashion_Sales_cleaned!$D45,Table4[Product_Name],Table4[Product_Key],"not found")</f>
        <v>17</v>
      </c>
      <c r="P45" s="32">
        <f>_xlfn.XLOOKUP(Snitch_Fashion_Sales_cleaned!$I45,Table3[Order_Date],Table3[Date_Key])</f>
        <v>30</v>
      </c>
    </row>
    <row r="46" spans="1:16" x14ac:dyDescent="0.3">
      <c r="A46" s="27">
        <v>1044</v>
      </c>
      <c r="B46" s="25" t="s">
        <v>89</v>
      </c>
      <c r="C46" s="25" t="s">
        <v>31</v>
      </c>
      <c r="D46" s="26" t="s">
        <v>68</v>
      </c>
      <c r="E46" s="27">
        <v>4</v>
      </c>
      <c r="F46" s="28">
        <v>2765.79</v>
      </c>
      <c r="G46" s="29">
        <v>0.51</v>
      </c>
      <c r="H46" s="28">
        <f t="shared" si="2"/>
        <v>11063.16</v>
      </c>
      <c r="I46" s="30">
        <v>45547</v>
      </c>
      <c r="J46" s="26" t="s">
        <v>2540</v>
      </c>
      <c r="K46" s="26" t="s">
        <v>23</v>
      </c>
      <c r="L46" s="31">
        <f t="shared" si="3"/>
        <v>5420.9484000000002</v>
      </c>
      <c r="M46" s="31">
        <v>-80.23</v>
      </c>
      <c r="N46" s="22">
        <f>_xlfn.XLOOKUP(Snitch_Fashion_Sales_cleaned!$J46,Table2[City],Table2[City_Key],"not found")</f>
        <v>4</v>
      </c>
      <c r="O46" s="21">
        <f>_xlfn.XLOOKUP(Snitch_Fashion_Sales_cleaned!$D46,Table4[Product_Name],Table4[Product_Key],"not found")</f>
        <v>15</v>
      </c>
      <c r="P46" s="25">
        <f>_xlfn.XLOOKUP(Snitch_Fashion_Sales_cleaned!$I46,Table3[Order_Date],Table3[Date_Key])</f>
        <v>31</v>
      </c>
    </row>
    <row r="47" spans="1:16" x14ac:dyDescent="0.3">
      <c r="A47" s="34">
        <v>1045</v>
      </c>
      <c r="B47" s="32" t="s">
        <v>90</v>
      </c>
      <c r="C47" s="32" t="s">
        <v>28</v>
      </c>
      <c r="D47" s="33" t="s">
        <v>39</v>
      </c>
      <c r="E47" s="34">
        <v>3</v>
      </c>
      <c r="F47" s="35">
        <v>3477.16</v>
      </c>
      <c r="G47" s="36">
        <v>0.51</v>
      </c>
      <c r="H47" s="35">
        <f t="shared" si="2"/>
        <v>10431.48</v>
      </c>
      <c r="I47" s="37">
        <v>45698</v>
      </c>
      <c r="J47" s="33" t="s">
        <v>52</v>
      </c>
      <c r="K47" s="33" t="s">
        <v>23</v>
      </c>
      <c r="L47" s="38">
        <f t="shared" si="3"/>
        <v>5111.4251999999997</v>
      </c>
      <c r="M47" s="38">
        <v>1323.75</v>
      </c>
      <c r="N47" s="24">
        <f>_xlfn.XLOOKUP(Snitch_Fashion_Sales_cleaned!$J47,Table2[City],Table2[City_Key],"not found")</f>
        <v>5</v>
      </c>
      <c r="O47" s="23">
        <f>_xlfn.XLOOKUP(Snitch_Fashion_Sales_cleaned!$D47,Table4[Product_Name],Table4[Product_Key],"not found")</f>
        <v>8</v>
      </c>
      <c r="P47" s="32">
        <f>_xlfn.XLOOKUP(Snitch_Fashion_Sales_cleaned!$I47,Table3[Order_Date],Table3[Date_Key])</f>
        <v>32</v>
      </c>
    </row>
    <row r="48" spans="1:16" x14ac:dyDescent="0.3">
      <c r="A48" s="27">
        <v>1046</v>
      </c>
      <c r="B48" s="25" t="s">
        <v>91</v>
      </c>
      <c r="C48" s="25" t="s">
        <v>13</v>
      </c>
      <c r="D48" s="26" t="s">
        <v>14</v>
      </c>
      <c r="E48" s="27">
        <v>4</v>
      </c>
      <c r="F48" s="28">
        <v>2441.92</v>
      </c>
      <c r="G48" s="29">
        <v>0.92</v>
      </c>
      <c r="H48" s="28">
        <f t="shared" si="2"/>
        <v>9767.68</v>
      </c>
      <c r="I48" s="30">
        <v>45647</v>
      </c>
      <c r="J48" s="26" t="s">
        <v>15</v>
      </c>
      <c r="K48" s="26" t="s">
        <v>23</v>
      </c>
      <c r="L48" s="31">
        <f t="shared" si="3"/>
        <v>781.41439999999966</v>
      </c>
      <c r="M48" s="31">
        <v>195.35359999999991</v>
      </c>
      <c r="N48" s="22">
        <f>_xlfn.XLOOKUP(Snitch_Fashion_Sales_cleaned!$J48,Table2[City],Table2[City_Key],"not found")</f>
        <v>1</v>
      </c>
      <c r="O48" s="21">
        <f>_xlfn.XLOOKUP(Snitch_Fashion_Sales_cleaned!$D48,Table4[Product_Name],Table4[Product_Key],"not found")</f>
        <v>1</v>
      </c>
      <c r="P48" s="25">
        <f>_xlfn.XLOOKUP(Snitch_Fashion_Sales_cleaned!$I48,Table3[Order_Date],Table3[Date_Key])</f>
        <v>5</v>
      </c>
    </row>
    <row r="49" spans="1:16" x14ac:dyDescent="0.3">
      <c r="A49" s="34">
        <v>1047</v>
      </c>
      <c r="B49" s="32" t="s">
        <v>92</v>
      </c>
      <c r="C49" s="32" t="s">
        <v>13</v>
      </c>
      <c r="D49" s="33" t="s">
        <v>46</v>
      </c>
      <c r="E49" s="34">
        <v>3</v>
      </c>
      <c r="F49" s="35">
        <v>2891.64</v>
      </c>
      <c r="G49" s="36">
        <v>0.51</v>
      </c>
      <c r="H49" s="35">
        <f t="shared" si="2"/>
        <v>8674.92</v>
      </c>
      <c r="I49" s="37">
        <v>45820</v>
      </c>
      <c r="J49" s="33" t="s">
        <v>52</v>
      </c>
      <c r="K49" s="33" t="s">
        <v>16</v>
      </c>
      <c r="L49" s="38">
        <f t="shared" si="3"/>
        <v>4250.7107999999998</v>
      </c>
      <c r="M49" s="38">
        <v>-395.76</v>
      </c>
      <c r="N49" s="24">
        <f>_xlfn.XLOOKUP(Snitch_Fashion_Sales_cleaned!$J49,Table2[City],Table2[City_Key],"not found")</f>
        <v>5</v>
      </c>
      <c r="O49" s="23">
        <f>_xlfn.XLOOKUP(Snitch_Fashion_Sales_cleaned!$D49,Table4[Product_Name],Table4[Product_Key],"not found")</f>
        <v>10</v>
      </c>
      <c r="P49" s="32">
        <f>_xlfn.XLOOKUP(Snitch_Fashion_Sales_cleaned!$I49,Table3[Order_Date],Table3[Date_Key])</f>
        <v>33</v>
      </c>
    </row>
    <row r="50" spans="1:16" x14ac:dyDescent="0.3">
      <c r="A50" s="27">
        <v>1048</v>
      </c>
      <c r="B50" s="25" t="s">
        <v>93</v>
      </c>
      <c r="C50" s="25" t="s">
        <v>13</v>
      </c>
      <c r="D50" s="26" t="s">
        <v>46</v>
      </c>
      <c r="E50" s="27">
        <v>5</v>
      </c>
      <c r="F50" s="28">
        <v>2891.64</v>
      </c>
      <c r="G50" s="29">
        <v>0.41</v>
      </c>
      <c r="H50" s="28">
        <f t="shared" si="2"/>
        <v>14458.199999999999</v>
      </c>
      <c r="I50" s="30">
        <v>45581</v>
      </c>
      <c r="J50" s="26" t="s">
        <v>15</v>
      </c>
      <c r="K50" s="26" t="s">
        <v>23</v>
      </c>
      <c r="L50" s="31">
        <f t="shared" si="3"/>
        <v>8530.3379999999997</v>
      </c>
      <c r="M50" s="31">
        <v>2409.2600000000002</v>
      </c>
      <c r="N50" s="22">
        <f>_xlfn.XLOOKUP(Snitch_Fashion_Sales_cleaned!$J50,Table2[City],Table2[City_Key],"not found")</f>
        <v>1</v>
      </c>
      <c r="O50" s="21">
        <f>_xlfn.XLOOKUP(Snitch_Fashion_Sales_cleaned!$D50,Table4[Product_Name],Table4[Product_Key],"not found")</f>
        <v>10</v>
      </c>
      <c r="P50" s="25">
        <f>_xlfn.XLOOKUP(Snitch_Fashion_Sales_cleaned!$I50,Table3[Order_Date],Table3[Date_Key])</f>
        <v>34</v>
      </c>
    </row>
    <row r="51" spans="1:16" x14ac:dyDescent="0.3">
      <c r="A51" s="34">
        <v>1049</v>
      </c>
      <c r="B51" s="32" t="s">
        <v>94</v>
      </c>
      <c r="C51" s="32" t="s">
        <v>31</v>
      </c>
      <c r="D51" s="33" t="s">
        <v>78</v>
      </c>
      <c r="E51" s="34">
        <v>4</v>
      </c>
      <c r="F51" s="35">
        <v>2599.75</v>
      </c>
      <c r="G51" s="36">
        <v>0.51</v>
      </c>
      <c r="H51" s="35">
        <f t="shared" si="2"/>
        <v>10399</v>
      </c>
      <c r="I51" s="37">
        <v>45647</v>
      </c>
      <c r="J51" s="33" t="s">
        <v>22</v>
      </c>
      <c r="K51" s="33" t="s">
        <v>16</v>
      </c>
      <c r="L51" s="38">
        <f t="shared" si="3"/>
        <v>5095.51</v>
      </c>
      <c r="M51" s="38">
        <v>19.87</v>
      </c>
      <c r="N51" s="24">
        <f>_xlfn.XLOOKUP(Snitch_Fashion_Sales_cleaned!$J51,Table2[City],Table2[City_Key],"not found")</f>
        <v>3</v>
      </c>
      <c r="O51" s="23">
        <f>_xlfn.XLOOKUP(Snitch_Fashion_Sales_cleaned!$D51,Table4[Product_Name],Table4[Product_Key],"not found")</f>
        <v>17</v>
      </c>
      <c r="P51" s="32">
        <f>_xlfn.XLOOKUP(Snitch_Fashion_Sales_cleaned!$I51,Table3[Order_Date],Table3[Date_Key])</f>
        <v>5</v>
      </c>
    </row>
    <row r="52" spans="1:16" x14ac:dyDescent="0.3">
      <c r="A52" s="27">
        <v>1050</v>
      </c>
      <c r="B52" s="25" t="s">
        <v>95</v>
      </c>
      <c r="C52" s="25" t="s">
        <v>13</v>
      </c>
      <c r="D52" s="26" t="s">
        <v>14</v>
      </c>
      <c r="E52" s="27">
        <v>4</v>
      </c>
      <c r="F52" s="28">
        <v>1083.1600000000001</v>
      </c>
      <c r="G52" s="29">
        <v>0.51</v>
      </c>
      <c r="H52" s="28">
        <f t="shared" si="2"/>
        <v>4332.6400000000003</v>
      </c>
      <c r="I52" s="30">
        <v>45846</v>
      </c>
      <c r="J52" s="26" t="s">
        <v>43</v>
      </c>
      <c r="K52" s="26" t="s">
        <v>16</v>
      </c>
      <c r="L52" s="31">
        <f t="shared" si="3"/>
        <v>2122.9936000000002</v>
      </c>
      <c r="M52" s="31">
        <v>530.74840000000006</v>
      </c>
      <c r="N52" s="22">
        <f>_xlfn.XLOOKUP(Snitch_Fashion_Sales_cleaned!$J52,Table2[City],Table2[City_Key],"not found")</f>
        <v>6</v>
      </c>
      <c r="O52" s="21">
        <f>_xlfn.XLOOKUP(Snitch_Fashion_Sales_cleaned!$D52,Table4[Product_Name],Table4[Product_Key],"not found")</f>
        <v>1</v>
      </c>
      <c r="P52" s="25">
        <f>_xlfn.XLOOKUP(Snitch_Fashion_Sales_cleaned!$I52,Table3[Order_Date],Table3[Date_Key])</f>
        <v>35</v>
      </c>
    </row>
    <row r="53" spans="1:16" x14ac:dyDescent="0.3">
      <c r="A53" s="34">
        <v>1051</v>
      </c>
      <c r="B53" s="32" t="s">
        <v>96</v>
      </c>
      <c r="C53" s="32" t="s">
        <v>13</v>
      </c>
      <c r="D53" s="33" t="s">
        <v>34</v>
      </c>
      <c r="E53" s="34">
        <v>3</v>
      </c>
      <c r="F53" s="35">
        <v>3008.6549999999997</v>
      </c>
      <c r="G53" s="36">
        <v>0.56999999999999995</v>
      </c>
      <c r="H53" s="35">
        <f t="shared" si="2"/>
        <v>9025.9650000000001</v>
      </c>
      <c r="I53" s="37">
        <v>45773</v>
      </c>
      <c r="J53" s="33" t="s">
        <v>15</v>
      </c>
      <c r="K53" s="33" t="s">
        <v>16</v>
      </c>
      <c r="L53" s="38">
        <f t="shared" si="3"/>
        <v>3881.1649500000003</v>
      </c>
      <c r="M53" s="38">
        <v>2857.9</v>
      </c>
      <c r="N53" s="24">
        <f>_xlfn.XLOOKUP(Snitch_Fashion_Sales_cleaned!$J53,Table2[City],Table2[City_Key],"not found")</f>
        <v>1</v>
      </c>
      <c r="O53" s="23">
        <f>_xlfn.XLOOKUP(Snitch_Fashion_Sales_cleaned!$D53,Table4[Product_Name],Table4[Product_Key],"not found")</f>
        <v>6</v>
      </c>
      <c r="P53" s="32">
        <f>_xlfn.XLOOKUP(Snitch_Fashion_Sales_cleaned!$I53,Table3[Order_Date],Table3[Date_Key])</f>
        <v>36</v>
      </c>
    </row>
    <row r="54" spans="1:16" x14ac:dyDescent="0.3">
      <c r="A54" s="27">
        <v>1052</v>
      </c>
      <c r="B54" s="25" t="s">
        <v>97</v>
      </c>
      <c r="C54" s="25" t="s">
        <v>13</v>
      </c>
      <c r="D54" s="26" t="s">
        <v>98</v>
      </c>
      <c r="E54" s="27">
        <v>5</v>
      </c>
      <c r="F54" s="28">
        <v>3252.49</v>
      </c>
      <c r="G54" s="29">
        <v>0.56000000000000005</v>
      </c>
      <c r="H54" s="28">
        <f t="shared" si="2"/>
        <v>16262.449999999999</v>
      </c>
      <c r="I54" s="30">
        <v>45268</v>
      </c>
      <c r="J54" s="26" t="s">
        <v>2540</v>
      </c>
      <c r="K54" s="26" t="s">
        <v>23</v>
      </c>
      <c r="L54" s="31">
        <f t="shared" si="3"/>
        <v>7155.4779999999982</v>
      </c>
      <c r="M54" s="31">
        <v>-11.15</v>
      </c>
      <c r="N54" s="22">
        <f>_xlfn.XLOOKUP(Snitch_Fashion_Sales_cleaned!$J54,Table2[City],Table2[City_Key],"not found")</f>
        <v>4</v>
      </c>
      <c r="O54" s="21">
        <f>_xlfn.XLOOKUP(Snitch_Fashion_Sales_cleaned!$D54,Table4[Product_Name],Table4[Product_Key],"not found")</f>
        <v>21</v>
      </c>
      <c r="P54" s="25">
        <f>_xlfn.XLOOKUP(Snitch_Fashion_Sales_cleaned!$I54,Table3[Order_Date],Table3[Date_Key])</f>
        <v>37</v>
      </c>
    </row>
    <row r="55" spans="1:16" x14ac:dyDescent="0.3">
      <c r="A55" s="34">
        <v>1053</v>
      </c>
      <c r="B55" s="32" t="s">
        <v>99</v>
      </c>
      <c r="C55" s="32" t="s">
        <v>36</v>
      </c>
      <c r="D55" s="33" t="s">
        <v>55</v>
      </c>
      <c r="E55" s="34">
        <v>3</v>
      </c>
      <c r="F55" s="35">
        <v>714.23</v>
      </c>
      <c r="G55" s="36">
        <v>0.51</v>
      </c>
      <c r="H55" s="35">
        <f t="shared" si="2"/>
        <v>2142.69</v>
      </c>
      <c r="I55" s="37">
        <v>45859</v>
      </c>
      <c r="J55" s="33" t="s">
        <v>15</v>
      </c>
      <c r="K55" s="33" t="s">
        <v>23</v>
      </c>
      <c r="L55" s="38">
        <f t="shared" si="3"/>
        <v>1049.9181000000001</v>
      </c>
      <c r="M55" s="38">
        <v>262.47952500000002</v>
      </c>
      <c r="N55" s="24">
        <f>_xlfn.XLOOKUP(Snitch_Fashion_Sales_cleaned!$J55,Table2[City],Table2[City_Key],"not found")</f>
        <v>1</v>
      </c>
      <c r="O55" s="23">
        <f>_xlfn.XLOOKUP(Snitch_Fashion_Sales_cleaned!$D55,Table4[Product_Name],Table4[Product_Key],"not found")</f>
        <v>12</v>
      </c>
      <c r="P55" s="32">
        <f>_xlfn.XLOOKUP(Snitch_Fashion_Sales_cleaned!$I55,Table3[Order_Date],Table3[Date_Key])</f>
        <v>38</v>
      </c>
    </row>
    <row r="56" spans="1:16" x14ac:dyDescent="0.3">
      <c r="A56" s="27">
        <v>1054</v>
      </c>
      <c r="B56" s="25" t="s">
        <v>100</v>
      </c>
      <c r="C56" s="25" t="s">
        <v>31</v>
      </c>
      <c r="D56" s="26" t="s">
        <v>68</v>
      </c>
      <c r="E56" s="27">
        <v>4</v>
      </c>
      <c r="F56" s="28">
        <v>2765.79</v>
      </c>
      <c r="G56" s="29">
        <v>0.51</v>
      </c>
      <c r="H56" s="28">
        <f t="shared" si="2"/>
        <v>11063.16</v>
      </c>
      <c r="I56" s="30">
        <v>45700</v>
      </c>
      <c r="J56" s="26" t="s">
        <v>43</v>
      </c>
      <c r="K56" s="26" t="s">
        <v>23</v>
      </c>
      <c r="L56" s="31">
        <f t="shared" si="3"/>
        <v>5420.9484000000002</v>
      </c>
      <c r="M56" s="31">
        <v>1002.96</v>
      </c>
      <c r="N56" s="22">
        <f>_xlfn.XLOOKUP(Snitch_Fashion_Sales_cleaned!$J56,Table2[City],Table2[City_Key],"not found")</f>
        <v>6</v>
      </c>
      <c r="O56" s="21">
        <f>_xlfn.XLOOKUP(Snitch_Fashion_Sales_cleaned!$D56,Table4[Product_Name],Table4[Product_Key],"not found")</f>
        <v>15</v>
      </c>
      <c r="P56" s="25">
        <f>_xlfn.XLOOKUP(Snitch_Fashion_Sales_cleaned!$I56,Table3[Order_Date],Table3[Date_Key])</f>
        <v>39</v>
      </c>
    </row>
    <row r="57" spans="1:16" x14ac:dyDescent="0.3">
      <c r="A57" s="34">
        <v>1055</v>
      </c>
      <c r="B57" s="32" t="s">
        <v>101</v>
      </c>
      <c r="C57" s="32" t="s">
        <v>13</v>
      </c>
      <c r="D57" s="33" t="s">
        <v>34</v>
      </c>
      <c r="E57" s="34">
        <v>3</v>
      </c>
      <c r="F57" s="35">
        <v>3008.6549999999997</v>
      </c>
      <c r="G57" s="36">
        <v>0.51</v>
      </c>
      <c r="H57" s="35">
        <f t="shared" si="2"/>
        <v>9025.9650000000001</v>
      </c>
      <c r="I57" s="37">
        <v>45353</v>
      </c>
      <c r="J57" s="33" t="s">
        <v>43</v>
      </c>
      <c r="K57" s="33" t="s">
        <v>23</v>
      </c>
      <c r="L57" s="38">
        <f t="shared" si="3"/>
        <v>4422.7228500000001</v>
      </c>
      <c r="M57" s="38">
        <v>1374.9</v>
      </c>
      <c r="N57" s="24">
        <f>_xlfn.XLOOKUP(Snitch_Fashion_Sales_cleaned!$J57,Table2[City],Table2[City_Key],"not found")</f>
        <v>6</v>
      </c>
      <c r="O57" s="23">
        <f>_xlfn.XLOOKUP(Snitch_Fashion_Sales_cleaned!$D57,Table4[Product_Name],Table4[Product_Key],"not found")</f>
        <v>6</v>
      </c>
      <c r="P57" s="32">
        <f>_xlfn.XLOOKUP(Snitch_Fashion_Sales_cleaned!$I57,Table3[Order_Date],Table3[Date_Key])</f>
        <v>40</v>
      </c>
    </row>
    <row r="58" spans="1:16" x14ac:dyDescent="0.3">
      <c r="A58" s="27">
        <v>1056</v>
      </c>
      <c r="B58" s="25" t="s">
        <v>102</v>
      </c>
      <c r="C58" s="25" t="s">
        <v>28</v>
      </c>
      <c r="D58" s="26" t="s">
        <v>39</v>
      </c>
      <c r="E58" s="27">
        <v>6</v>
      </c>
      <c r="F58" s="28">
        <v>2577.6350000000002</v>
      </c>
      <c r="G58" s="29">
        <v>0.51</v>
      </c>
      <c r="H58" s="28">
        <f t="shared" si="2"/>
        <v>15465.810000000001</v>
      </c>
      <c r="I58" s="30">
        <v>45849</v>
      </c>
      <c r="J58" s="26" t="s">
        <v>22</v>
      </c>
      <c r="K58" s="26" t="s">
        <v>16</v>
      </c>
      <c r="L58" s="31">
        <f t="shared" si="3"/>
        <v>7578.2469000000001</v>
      </c>
      <c r="M58" s="31">
        <v>-343.36</v>
      </c>
      <c r="N58" s="22">
        <f>_xlfn.XLOOKUP(Snitch_Fashion_Sales_cleaned!$J58,Table2[City],Table2[City_Key],"not found")</f>
        <v>3</v>
      </c>
      <c r="O58" s="21">
        <f>_xlfn.XLOOKUP(Snitch_Fashion_Sales_cleaned!$D58,Table4[Product_Name],Table4[Product_Key],"not found")</f>
        <v>8</v>
      </c>
      <c r="P58" s="25">
        <f>_xlfn.XLOOKUP(Snitch_Fashion_Sales_cleaned!$I58,Table3[Order_Date],Table3[Date_Key])</f>
        <v>41</v>
      </c>
    </row>
    <row r="59" spans="1:16" x14ac:dyDescent="0.3">
      <c r="A59" s="34">
        <v>1057</v>
      </c>
      <c r="B59" s="32" t="s">
        <v>103</v>
      </c>
      <c r="C59" s="32" t="s">
        <v>20</v>
      </c>
      <c r="D59" s="33" t="s">
        <v>21</v>
      </c>
      <c r="E59" s="34">
        <v>4</v>
      </c>
      <c r="F59" s="35">
        <v>2579.8000000000002</v>
      </c>
      <c r="G59" s="36">
        <v>0.04</v>
      </c>
      <c r="H59" s="35">
        <f t="shared" si="2"/>
        <v>10319.200000000001</v>
      </c>
      <c r="I59" s="37">
        <v>45649</v>
      </c>
      <c r="J59" s="33" t="s">
        <v>43</v>
      </c>
      <c r="K59" s="33" t="s">
        <v>23</v>
      </c>
      <c r="L59" s="38">
        <f t="shared" si="3"/>
        <v>9906.4320000000007</v>
      </c>
      <c r="M59" s="38">
        <v>1725.76</v>
      </c>
      <c r="N59" s="24">
        <f>_xlfn.XLOOKUP(Snitch_Fashion_Sales_cleaned!$J59,Table2[City],Table2[City_Key],"not found")</f>
        <v>6</v>
      </c>
      <c r="O59" s="23">
        <f>_xlfn.XLOOKUP(Snitch_Fashion_Sales_cleaned!$D59,Table4[Product_Name],Table4[Product_Key],"not found")</f>
        <v>2</v>
      </c>
      <c r="P59" s="32">
        <f>_xlfn.XLOOKUP(Snitch_Fashion_Sales_cleaned!$I59,Table3[Order_Date],Table3[Date_Key])</f>
        <v>42</v>
      </c>
    </row>
    <row r="60" spans="1:16" x14ac:dyDescent="0.3">
      <c r="A60" s="27">
        <v>1058</v>
      </c>
      <c r="B60" s="25" t="s">
        <v>104</v>
      </c>
      <c r="C60" s="25" t="s">
        <v>31</v>
      </c>
      <c r="D60" s="26" t="s">
        <v>41</v>
      </c>
      <c r="E60" s="27">
        <v>3</v>
      </c>
      <c r="F60" s="28">
        <v>3982.53</v>
      </c>
      <c r="G60" s="29">
        <v>0.51</v>
      </c>
      <c r="H60" s="28">
        <f t="shared" si="2"/>
        <v>11947.59</v>
      </c>
      <c r="I60" s="30">
        <v>45518</v>
      </c>
      <c r="J60" s="26" t="s">
        <v>43</v>
      </c>
      <c r="K60" s="26" t="s">
        <v>16</v>
      </c>
      <c r="L60" s="31">
        <f t="shared" si="3"/>
        <v>5854.3190999999997</v>
      </c>
      <c r="M60" s="31">
        <v>1912.49</v>
      </c>
      <c r="N60" s="22">
        <f>_xlfn.XLOOKUP(Snitch_Fashion_Sales_cleaned!$J60,Table2[City],Table2[City_Key],"not found")</f>
        <v>6</v>
      </c>
      <c r="O60" s="21">
        <f>_xlfn.XLOOKUP(Snitch_Fashion_Sales_cleaned!$D60,Table4[Product_Name],Table4[Product_Key],"not found")</f>
        <v>9</v>
      </c>
      <c r="P60" s="25">
        <f>_xlfn.XLOOKUP(Snitch_Fashion_Sales_cleaned!$I60,Table3[Order_Date],Table3[Date_Key])</f>
        <v>43</v>
      </c>
    </row>
    <row r="61" spans="1:16" x14ac:dyDescent="0.3">
      <c r="A61" s="34">
        <v>1059</v>
      </c>
      <c r="B61" s="32" t="s">
        <v>105</v>
      </c>
      <c r="C61" s="32" t="s">
        <v>13</v>
      </c>
      <c r="D61" s="33" t="s">
        <v>34</v>
      </c>
      <c r="E61" s="34">
        <v>3</v>
      </c>
      <c r="F61" s="35">
        <v>2927.57</v>
      </c>
      <c r="G61" s="36">
        <v>0.19</v>
      </c>
      <c r="H61" s="35">
        <f t="shared" si="2"/>
        <v>8782.7100000000009</v>
      </c>
      <c r="I61" s="37">
        <v>45647</v>
      </c>
      <c r="J61" s="33" t="s">
        <v>15</v>
      </c>
      <c r="K61" s="33" t="s">
        <v>23</v>
      </c>
      <c r="L61" s="38">
        <f t="shared" si="3"/>
        <v>7113.995100000001</v>
      </c>
      <c r="M61" s="38">
        <v>2218.42</v>
      </c>
      <c r="N61" s="24">
        <f>_xlfn.XLOOKUP(Snitch_Fashion_Sales_cleaned!$J61,Table2[City],Table2[City_Key],"not found")</f>
        <v>1</v>
      </c>
      <c r="O61" s="23">
        <f>_xlfn.XLOOKUP(Snitch_Fashion_Sales_cleaned!$D61,Table4[Product_Name],Table4[Product_Key],"not found")</f>
        <v>6</v>
      </c>
      <c r="P61" s="32">
        <f>_xlfn.XLOOKUP(Snitch_Fashion_Sales_cleaned!$I61,Table3[Order_Date],Table3[Date_Key])</f>
        <v>5</v>
      </c>
    </row>
    <row r="62" spans="1:16" x14ac:dyDescent="0.3">
      <c r="A62" s="27">
        <v>1060</v>
      </c>
      <c r="B62" s="25" t="s">
        <v>106</v>
      </c>
      <c r="C62" s="25" t="s">
        <v>13</v>
      </c>
      <c r="D62" s="26" t="s">
        <v>98</v>
      </c>
      <c r="E62" s="27">
        <v>5</v>
      </c>
      <c r="F62" s="28">
        <v>2813.51</v>
      </c>
      <c r="G62" s="29">
        <v>0.51</v>
      </c>
      <c r="H62" s="28">
        <f t="shared" si="2"/>
        <v>14067.550000000001</v>
      </c>
      <c r="I62" s="30">
        <v>45852</v>
      </c>
      <c r="J62" s="26" t="s">
        <v>43</v>
      </c>
      <c r="K62" s="26" t="s">
        <v>23</v>
      </c>
      <c r="L62" s="31">
        <f t="shared" si="3"/>
        <v>6893.0995000000003</v>
      </c>
      <c r="M62" s="31">
        <v>94.96</v>
      </c>
      <c r="N62" s="22">
        <f>_xlfn.XLOOKUP(Snitch_Fashion_Sales_cleaned!$J62,Table2[City],Table2[City_Key],"not found")</f>
        <v>6</v>
      </c>
      <c r="O62" s="21">
        <f>_xlfn.XLOOKUP(Snitch_Fashion_Sales_cleaned!$D62,Table4[Product_Name],Table4[Product_Key],"not found")</f>
        <v>21</v>
      </c>
      <c r="P62" s="25">
        <f>_xlfn.XLOOKUP(Snitch_Fashion_Sales_cleaned!$I62,Table3[Order_Date],Table3[Date_Key])</f>
        <v>44</v>
      </c>
    </row>
    <row r="63" spans="1:16" x14ac:dyDescent="0.3">
      <c r="A63" s="34">
        <v>1061</v>
      </c>
      <c r="B63" s="32" t="s">
        <v>107</v>
      </c>
      <c r="C63" s="32" t="s">
        <v>28</v>
      </c>
      <c r="D63" s="33" t="s">
        <v>29</v>
      </c>
      <c r="E63" s="34">
        <v>3</v>
      </c>
      <c r="F63" s="35">
        <v>2291.15</v>
      </c>
      <c r="G63" s="36">
        <v>0.33</v>
      </c>
      <c r="H63" s="35">
        <f t="shared" si="2"/>
        <v>6873.4500000000007</v>
      </c>
      <c r="I63" s="37">
        <v>45601</v>
      </c>
      <c r="J63" s="33" t="s">
        <v>22</v>
      </c>
      <c r="K63" s="33" t="s">
        <v>23</v>
      </c>
      <c r="L63" s="38">
        <f t="shared" si="3"/>
        <v>4605.2115000000003</v>
      </c>
      <c r="M63" s="38">
        <v>2536.3000000000002</v>
      </c>
      <c r="N63" s="24">
        <f>_xlfn.XLOOKUP(Snitch_Fashion_Sales_cleaned!$J63,Table2[City],Table2[City_Key],"not found")</f>
        <v>3</v>
      </c>
      <c r="O63" s="23">
        <f>_xlfn.XLOOKUP(Snitch_Fashion_Sales_cleaned!$D63,Table4[Product_Name],Table4[Product_Key],"not found")</f>
        <v>4</v>
      </c>
      <c r="P63" s="32">
        <f>_xlfn.XLOOKUP(Snitch_Fashion_Sales_cleaned!$I63,Table3[Order_Date],Table3[Date_Key])</f>
        <v>45</v>
      </c>
    </row>
    <row r="64" spans="1:16" x14ac:dyDescent="0.3">
      <c r="A64" s="27">
        <v>1062</v>
      </c>
      <c r="B64" s="25" t="s">
        <v>108</v>
      </c>
      <c r="C64" s="25" t="s">
        <v>13</v>
      </c>
      <c r="D64" s="26" t="s">
        <v>98</v>
      </c>
      <c r="E64" s="27">
        <v>5</v>
      </c>
      <c r="F64" s="28">
        <v>2750.33</v>
      </c>
      <c r="G64" s="29">
        <v>0.51</v>
      </c>
      <c r="H64" s="28">
        <f t="shared" si="2"/>
        <v>13751.65</v>
      </c>
      <c r="I64" s="30">
        <v>45647</v>
      </c>
      <c r="J64" s="26" t="s">
        <v>43</v>
      </c>
      <c r="K64" s="26" t="s">
        <v>16</v>
      </c>
      <c r="L64" s="31">
        <f t="shared" si="3"/>
        <v>6738.3085000000001</v>
      </c>
      <c r="M64" s="31">
        <v>328.72</v>
      </c>
      <c r="N64" s="22">
        <f>_xlfn.XLOOKUP(Snitch_Fashion_Sales_cleaned!$J64,Table2[City],Table2[City_Key],"not found")</f>
        <v>6</v>
      </c>
      <c r="O64" s="21">
        <f>_xlfn.XLOOKUP(Snitch_Fashion_Sales_cleaned!$D64,Table4[Product_Name],Table4[Product_Key],"not found")</f>
        <v>21</v>
      </c>
      <c r="P64" s="25">
        <f>_xlfn.XLOOKUP(Snitch_Fashion_Sales_cleaned!$I64,Table3[Order_Date],Table3[Date_Key])</f>
        <v>5</v>
      </c>
    </row>
    <row r="65" spans="1:16" x14ac:dyDescent="0.3">
      <c r="A65" s="34">
        <v>1063</v>
      </c>
      <c r="B65" s="32" t="s">
        <v>109</v>
      </c>
      <c r="C65" s="32" t="s">
        <v>31</v>
      </c>
      <c r="D65" s="33" t="s">
        <v>78</v>
      </c>
      <c r="E65" s="34">
        <v>1</v>
      </c>
      <c r="F65" s="35">
        <v>2599.75</v>
      </c>
      <c r="G65" s="36">
        <v>0.51</v>
      </c>
      <c r="H65" s="35">
        <f t="shared" si="2"/>
        <v>2599.75</v>
      </c>
      <c r="I65" s="37">
        <v>45836</v>
      </c>
      <c r="J65" s="33" t="s">
        <v>2540</v>
      </c>
      <c r="K65" s="33" t="s">
        <v>16</v>
      </c>
      <c r="L65" s="38">
        <f t="shared" si="3"/>
        <v>1273.8775000000001</v>
      </c>
      <c r="M65" s="38">
        <v>318.46937500000001</v>
      </c>
      <c r="N65" s="24">
        <f>_xlfn.XLOOKUP(Snitch_Fashion_Sales_cleaned!$J65,Table2[City],Table2[City_Key],"not found")</f>
        <v>4</v>
      </c>
      <c r="O65" s="23">
        <f>_xlfn.XLOOKUP(Snitch_Fashion_Sales_cleaned!$D65,Table4[Product_Name],Table4[Product_Key],"not found")</f>
        <v>17</v>
      </c>
      <c r="P65" s="32">
        <f>_xlfn.XLOOKUP(Snitch_Fashion_Sales_cleaned!$I65,Table3[Order_Date],Table3[Date_Key])</f>
        <v>46</v>
      </c>
    </row>
    <row r="66" spans="1:16" x14ac:dyDescent="0.3">
      <c r="A66" s="27">
        <v>1064</v>
      </c>
      <c r="B66" s="25" t="s">
        <v>110</v>
      </c>
      <c r="C66" s="25" t="s">
        <v>20</v>
      </c>
      <c r="D66" s="26" t="s">
        <v>84</v>
      </c>
      <c r="E66" s="27">
        <v>3</v>
      </c>
      <c r="F66" s="28">
        <v>2537.59</v>
      </c>
      <c r="G66" s="29">
        <v>0.51</v>
      </c>
      <c r="H66" s="28">
        <f t="shared" si="2"/>
        <v>7612.77</v>
      </c>
      <c r="I66" s="30">
        <v>45647</v>
      </c>
      <c r="J66" s="26" t="s">
        <v>2540</v>
      </c>
      <c r="K66" s="26" t="s">
        <v>23</v>
      </c>
      <c r="L66" s="31">
        <f t="shared" si="3"/>
        <v>3730.2573000000002</v>
      </c>
      <c r="M66" s="31">
        <v>-901.74</v>
      </c>
      <c r="N66" s="22">
        <f>_xlfn.XLOOKUP(Snitch_Fashion_Sales_cleaned!$J66,Table2[City],Table2[City_Key],"not found")</f>
        <v>4</v>
      </c>
      <c r="O66" s="21">
        <f>_xlfn.XLOOKUP(Snitch_Fashion_Sales_cleaned!$D66,Table4[Product_Name],Table4[Product_Key],"not found")</f>
        <v>19</v>
      </c>
      <c r="P66" s="25">
        <f>_xlfn.XLOOKUP(Snitch_Fashion_Sales_cleaned!$I66,Table3[Order_Date],Table3[Date_Key])</f>
        <v>5</v>
      </c>
    </row>
    <row r="67" spans="1:16" x14ac:dyDescent="0.3">
      <c r="A67" s="34">
        <v>1065</v>
      </c>
      <c r="B67" s="32" t="s">
        <v>111</v>
      </c>
      <c r="C67" s="32" t="s">
        <v>13</v>
      </c>
      <c r="D67" s="33" t="s">
        <v>34</v>
      </c>
      <c r="E67" s="34">
        <v>5</v>
      </c>
      <c r="F67" s="35">
        <v>3008.6549999999997</v>
      </c>
      <c r="G67" s="36">
        <v>0.51</v>
      </c>
      <c r="H67" s="35">
        <f t="shared" si="2"/>
        <v>15043.274999999998</v>
      </c>
      <c r="I67" s="37">
        <v>45440</v>
      </c>
      <c r="J67" s="33" t="s">
        <v>2540</v>
      </c>
      <c r="K67" s="33" t="s">
        <v>23</v>
      </c>
      <c r="L67" s="38">
        <f t="shared" si="3"/>
        <v>7371.204749999999</v>
      </c>
      <c r="M67" s="38">
        <v>2316.9699999999998</v>
      </c>
      <c r="N67" s="24">
        <f>_xlfn.XLOOKUP(Snitch_Fashion_Sales_cleaned!$J67,Table2[City],Table2[City_Key],"not found")</f>
        <v>4</v>
      </c>
      <c r="O67" s="23">
        <f>_xlfn.XLOOKUP(Snitch_Fashion_Sales_cleaned!$D67,Table4[Product_Name],Table4[Product_Key],"not found")</f>
        <v>6</v>
      </c>
      <c r="P67" s="32">
        <f>_xlfn.XLOOKUP(Snitch_Fashion_Sales_cleaned!$I67,Table3[Order_Date],Table3[Date_Key])</f>
        <v>47</v>
      </c>
    </row>
    <row r="68" spans="1:16" x14ac:dyDescent="0.3">
      <c r="A68" s="27">
        <v>1066</v>
      </c>
      <c r="B68" s="25" t="s">
        <v>112</v>
      </c>
      <c r="C68" s="25" t="s">
        <v>25</v>
      </c>
      <c r="D68" s="26" t="s">
        <v>62</v>
      </c>
      <c r="E68" s="27">
        <v>4</v>
      </c>
      <c r="F68" s="28">
        <v>3479.44</v>
      </c>
      <c r="G68" s="29">
        <v>0.51</v>
      </c>
      <c r="H68" s="28">
        <f t="shared" si="2"/>
        <v>13917.76</v>
      </c>
      <c r="I68" s="30">
        <v>45672</v>
      </c>
      <c r="J68" s="26" t="s">
        <v>15</v>
      </c>
      <c r="K68" s="26" t="s">
        <v>23</v>
      </c>
      <c r="L68" s="31">
        <f t="shared" si="3"/>
        <v>6819.7024000000001</v>
      </c>
      <c r="M68" s="31">
        <v>-252.78</v>
      </c>
      <c r="N68" s="22">
        <f>_xlfn.XLOOKUP(Snitch_Fashion_Sales_cleaned!$J68,Table2[City],Table2[City_Key],"not found")</f>
        <v>1</v>
      </c>
      <c r="O68" s="21">
        <f>_xlfn.XLOOKUP(Snitch_Fashion_Sales_cleaned!$D68,Table4[Product_Name],Table4[Product_Key],"not found")</f>
        <v>14</v>
      </c>
      <c r="P68" s="25">
        <f>_xlfn.XLOOKUP(Snitch_Fashion_Sales_cleaned!$I68,Table3[Order_Date],Table3[Date_Key])</f>
        <v>48</v>
      </c>
    </row>
    <row r="69" spans="1:16" x14ac:dyDescent="0.3">
      <c r="A69" s="34">
        <v>1067</v>
      </c>
      <c r="B69" s="32" t="s">
        <v>113</v>
      </c>
      <c r="C69" s="32" t="s">
        <v>36</v>
      </c>
      <c r="D69" s="33" t="s">
        <v>37</v>
      </c>
      <c r="E69" s="34">
        <v>4</v>
      </c>
      <c r="F69" s="35">
        <v>3945.25</v>
      </c>
      <c r="G69" s="36">
        <v>0.51</v>
      </c>
      <c r="H69" s="35">
        <f t="shared" si="2"/>
        <v>15781</v>
      </c>
      <c r="I69" s="37">
        <v>45838</v>
      </c>
      <c r="J69" s="33" t="s">
        <v>2540</v>
      </c>
      <c r="K69" s="33" t="s">
        <v>23</v>
      </c>
      <c r="L69" s="38">
        <f t="shared" si="3"/>
        <v>7732.69</v>
      </c>
      <c r="M69" s="38">
        <v>305.55</v>
      </c>
      <c r="N69" s="24">
        <f>_xlfn.XLOOKUP(Snitch_Fashion_Sales_cleaned!$J69,Table2[City],Table2[City_Key],"not found")</f>
        <v>4</v>
      </c>
      <c r="O69" s="23">
        <f>_xlfn.XLOOKUP(Snitch_Fashion_Sales_cleaned!$D69,Table4[Product_Name],Table4[Product_Key],"not found")</f>
        <v>7</v>
      </c>
      <c r="P69" s="32">
        <f>_xlfn.XLOOKUP(Snitch_Fashion_Sales_cleaned!$I69,Table3[Order_Date],Table3[Date_Key])</f>
        <v>49</v>
      </c>
    </row>
    <row r="70" spans="1:16" x14ac:dyDescent="0.3">
      <c r="A70" s="27">
        <v>1068</v>
      </c>
      <c r="B70" s="25" t="s">
        <v>114</v>
      </c>
      <c r="C70" s="25" t="s">
        <v>36</v>
      </c>
      <c r="D70" s="26" t="s">
        <v>59</v>
      </c>
      <c r="E70" s="27">
        <v>4</v>
      </c>
      <c r="F70" s="28">
        <v>2765.26</v>
      </c>
      <c r="G70" s="29">
        <v>0.51</v>
      </c>
      <c r="H70" s="28">
        <f t="shared" ref="H70:H133" si="4">E70*F70</f>
        <v>11061.04</v>
      </c>
      <c r="I70" s="30">
        <v>45647</v>
      </c>
      <c r="J70" s="26" t="s">
        <v>18</v>
      </c>
      <c r="K70" s="26" t="s">
        <v>16</v>
      </c>
      <c r="L70" s="31">
        <f t="shared" ref="L70:L133" si="5">H70*(1-G70)</f>
        <v>5419.9096</v>
      </c>
      <c r="M70" s="31">
        <v>1719.9</v>
      </c>
      <c r="N70" s="22">
        <f>_xlfn.XLOOKUP(Snitch_Fashion_Sales_cleaned!$J70,Table2[City],Table2[City_Key],"not found")</f>
        <v>2</v>
      </c>
      <c r="O70" s="21">
        <f>_xlfn.XLOOKUP(Snitch_Fashion_Sales_cleaned!$D70,Table4[Product_Name],Table4[Product_Key],"not found")</f>
        <v>13</v>
      </c>
      <c r="P70" s="25">
        <f>_xlfn.XLOOKUP(Snitch_Fashion_Sales_cleaned!$I70,Table3[Order_Date],Table3[Date_Key])</f>
        <v>5</v>
      </c>
    </row>
    <row r="71" spans="1:16" x14ac:dyDescent="0.3">
      <c r="A71" s="34">
        <v>1069</v>
      </c>
      <c r="B71" s="32" t="s">
        <v>115</v>
      </c>
      <c r="C71" s="32" t="s">
        <v>28</v>
      </c>
      <c r="D71" s="33" t="s">
        <v>116</v>
      </c>
      <c r="E71" s="34">
        <v>2</v>
      </c>
      <c r="F71" s="35">
        <v>2102.02</v>
      </c>
      <c r="G71" s="36">
        <v>0.51</v>
      </c>
      <c r="H71" s="35">
        <f t="shared" si="4"/>
        <v>4204.04</v>
      </c>
      <c r="I71" s="37">
        <v>45362</v>
      </c>
      <c r="J71" s="33" t="s">
        <v>15</v>
      </c>
      <c r="K71" s="33" t="s">
        <v>23</v>
      </c>
      <c r="L71" s="38">
        <f t="shared" si="5"/>
        <v>2059.9796000000001</v>
      </c>
      <c r="M71" s="38">
        <v>-992.61</v>
      </c>
      <c r="N71" s="24">
        <f>_xlfn.XLOOKUP(Snitch_Fashion_Sales_cleaned!$J71,Table2[City],Table2[City_Key],"not found")</f>
        <v>1</v>
      </c>
      <c r="O71" s="23">
        <f>_xlfn.XLOOKUP(Snitch_Fashion_Sales_cleaned!$D71,Table4[Product_Name],Table4[Product_Key],"not found")</f>
        <v>22</v>
      </c>
      <c r="P71" s="32">
        <f>_xlfn.XLOOKUP(Snitch_Fashion_Sales_cleaned!$I71,Table3[Order_Date],Table3[Date_Key])</f>
        <v>50</v>
      </c>
    </row>
    <row r="72" spans="1:16" x14ac:dyDescent="0.3">
      <c r="A72" s="27">
        <v>1070</v>
      </c>
      <c r="B72" s="25" t="s">
        <v>117</v>
      </c>
      <c r="C72" s="25" t="s">
        <v>20</v>
      </c>
      <c r="D72" s="26" t="s">
        <v>118</v>
      </c>
      <c r="E72" s="27">
        <v>5</v>
      </c>
      <c r="F72" s="28">
        <v>2752.99</v>
      </c>
      <c r="G72" s="29">
        <v>0.51</v>
      </c>
      <c r="H72" s="28">
        <f t="shared" si="4"/>
        <v>13764.949999999999</v>
      </c>
      <c r="I72" s="30">
        <v>45753</v>
      </c>
      <c r="J72" s="26" t="s">
        <v>52</v>
      </c>
      <c r="K72" s="26" t="s">
        <v>23</v>
      </c>
      <c r="L72" s="31">
        <f t="shared" si="5"/>
        <v>6744.825499999999</v>
      </c>
      <c r="M72" s="31">
        <v>1383.48</v>
      </c>
      <c r="N72" s="22">
        <f>_xlfn.XLOOKUP(Snitch_Fashion_Sales_cleaned!$J72,Table2[City],Table2[City_Key],"not found")</f>
        <v>5</v>
      </c>
      <c r="O72" s="21">
        <f>_xlfn.XLOOKUP(Snitch_Fashion_Sales_cleaned!$D72,Table4[Product_Name],Table4[Product_Key],"not found")</f>
        <v>23</v>
      </c>
      <c r="P72" s="25">
        <f>_xlfn.XLOOKUP(Snitch_Fashion_Sales_cleaned!$I72,Table3[Order_Date],Table3[Date_Key])</f>
        <v>51</v>
      </c>
    </row>
    <row r="73" spans="1:16" x14ac:dyDescent="0.3">
      <c r="A73" s="34">
        <v>1071</v>
      </c>
      <c r="B73" s="32" t="s">
        <v>119</v>
      </c>
      <c r="C73" s="32" t="s">
        <v>28</v>
      </c>
      <c r="D73" s="33" t="s">
        <v>39</v>
      </c>
      <c r="E73" s="34">
        <v>3</v>
      </c>
      <c r="F73" s="35">
        <v>1000.76</v>
      </c>
      <c r="G73" s="36">
        <v>0.51</v>
      </c>
      <c r="H73" s="35">
        <f t="shared" si="4"/>
        <v>3002.2799999999997</v>
      </c>
      <c r="I73" s="37">
        <v>45647</v>
      </c>
      <c r="J73" s="33" t="s">
        <v>15</v>
      </c>
      <c r="K73" s="33" t="s">
        <v>23</v>
      </c>
      <c r="L73" s="38">
        <f t="shared" si="5"/>
        <v>1471.1171999999999</v>
      </c>
      <c r="M73" s="38">
        <v>367.77929999999998</v>
      </c>
      <c r="N73" s="24">
        <f>_xlfn.XLOOKUP(Snitch_Fashion_Sales_cleaned!$J73,Table2[City],Table2[City_Key],"not found")</f>
        <v>1</v>
      </c>
      <c r="O73" s="23">
        <f>_xlfn.XLOOKUP(Snitch_Fashion_Sales_cleaned!$D73,Table4[Product_Name],Table4[Product_Key],"not found")</f>
        <v>8</v>
      </c>
      <c r="P73" s="32">
        <f>_xlfn.XLOOKUP(Snitch_Fashion_Sales_cleaned!$I73,Table3[Order_Date],Table3[Date_Key])</f>
        <v>5</v>
      </c>
    </row>
    <row r="74" spans="1:16" x14ac:dyDescent="0.3">
      <c r="A74" s="27">
        <v>1072</v>
      </c>
      <c r="B74" s="25" t="s">
        <v>120</v>
      </c>
      <c r="C74" s="25" t="s">
        <v>36</v>
      </c>
      <c r="D74" s="26" t="s">
        <v>55</v>
      </c>
      <c r="E74" s="27">
        <v>3</v>
      </c>
      <c r="F74" s="28">
        <v>2731.6350000000002</v>
      </c>
      <c r="G74" s="29">
        <v>0.51</v>
      </c>
      <c r="H74" s="28">
        <f t="shared" si="4"/>
        <v>8194.9050000000007</v>
      </c>
      <c r="I74" s="30">
        <v>45647</v>
      </c>
      <c r="J74" s="26" t="s">
        <v>2540</v>
      </c>
      <c r="K74" s="26" t="s">
        <v>16</v>
      </c>
      <c r="L74" s="31">
        <f t="shared" si="5"/>
        <v>4015.5034500000002</v>
      </c>
      <c r="M74" s="31">
        <v>2878.09</v>
      </c>
      <c r="N74" s="22">
        <f>_xlfn.XLOOKUP(Snitch_Fashion_Sales_cleaned!$J74,Table2[City],Table2[City_Key],"not found")</f>
        <v>4</v>
      </c>
      <c r="O74" s="21">
        <f>_xlfn.XLOOKUP(Snitch_Fashion_Sales_cleaned!$D74,Table4[Product_Name],Table4[Product_Key],"not found")</f>
        <v>12</v>
      </c>
      <c r="P74" s="25">
        <f>_xlfn.XLOOKUP(Snitch_Fashion_Sales_cleaned!$I74,Table3[Order_Date],Table3[Date_Key])</f>
        <v>5</v>
      </c>
    </row>
    <row r="75" spans="1:16" x14ac:dyDescent="0.3">
      <c r="A75" s="34">
        <v>1073</v>
      </c>
      <c r="B75" s="32" t="s">
        <v>121</v>
      </c>
      <c r="C75" s="32" t="s">
        <v>13</v>
      </c>
      <c r="D75" s="33" t="s">
        <v>46</v>
      </c>
      <c r="E75" s="34">
        <v>4</v>
      </c>
      <c r="F75" s="35">
        <v>2891.64</v>
      </c>
      <c r="G75" s="36">
        <v>0.18</v>
      </c>
      <c r="H75" s="35">
        <f t="shared" si="4"/>
        <v>11566.56</v>
      </c>
      <c r="I75" s="37">
        <v>45647</v>
      </c>
      <c r="J75" s="33" t="s">
        <v>43</v>
      </c>
      <c r="K75" s="33" t="s">
        <v>23</v>
      </c>
      <c r="L75" s="38">
        <f t="shared" si="5"/>
        <v>9484.5792000000001</v>
      </c>
      <c r="M75" s="38">
        <v>368.69</v>
      </c>
      <c r="N75" s="24">
        <f>_xlfn.XLOOKUP(Snitch_Fashion_Sales_cleaned!$J75,Table2[City],Table2[City_Key],"not found")</f>
        <v>6</v>
      </c>
      <c r="O75" s="23">
        <f>_xlfn.XLOOKUP(Snitch_Fashion_Sales_cleaned!$D75,Table4[Product_Name],Table4[Product_Key],"not found")</f>
        <v>10</v>
      </c>
      <c r="P75" s="32">
        <f>_xlfn.XLOOKUP(Snitch_Fashion_Sales_cleaned!$I75,Table3[Order_Date],Table3[Date_Key])</f>
        <v>5</v>
      </c>
    </row>
    <row r="76" spans="1:16" x14ac:dyDescent="0.3">
      <c r="A76" s="27">
        <v>1074</v>
      </c>
      <c r="B76" s="25" t="s">
        <v>122</v>
      </c>
      <c r="C76" s="25" t="s">
        <v>36</v>
      </c>
      <c r="D76" s="26" t="s">
        <v>37</v>
      </c>
      <c r="E76" s="27">
        <v>4</v>
      </c>
      <c r="F76" s="28">
        <v>2975.64</v>
      </c>
      <c r="G76" s="29">
        <v>0.51</v>
      </c>
      <c r="H76" s="28">
        <f t="shared" si="4"/>
        <v>11902.56</v>
      </c>
      <c r="I76" s="30">
        <v>45682</v>
      </c>
      <c r="J76" s="26" t="s">
        <v>52</v>
      </c>
      <c r="K76" s="26" t="s">
        <v>23</v>
      </c>
      <c r="L76" s="31">
        <f t="shared" si="5"/>
        <v>5832.2543999999998</v>
      </c>
      <c r="M76" s="31">
        <v>192.91</v>
      </c>
      <c r="N76" s="22">
        <f>_xlfn.XLOOKUP(Snitch_Fashion_Sales_cleaned!$J76,Table2[City],Table2[City_Key],"not found")</f>
        <v>5</v>
      </c>
      <c r="O76" s="21">
        <f>_xlfn.XLOOKUP(Snitch_Fashion_Sales_cleaned!$D76,Table4[Product_Name],Table4[Product_Key],"not found")</f>
        <v>7</v>
      </c>
      <c r="P76" s="25">
        <f>_xlfn.XLOOKUP(Snitch_Fashion_Sales_cleaned!$I76,Table3[Order_Date],Table3[Date_Key])</f>
        <v>21</v>
      </c>
    </row>
    <row r="77" spans="1:16" x14ac:dyDescent="0.3">
      <c r="A77" s="34">
        <v>1075</v>
      </c>
      <c r="B77" s="32" t="s">
        <v>123</v>
      </c>
      <c r="C77" s="32" t="s">
        <v>31</v>
      </c>
      <c r="D77" s="33" t="s">
        <v>32</v>
      </c>
      <c r="E77" s="34">
        <v>4</v>
      </c>
      <c r="F77" s="35">
        <v>795.85</v>
      </c>
      <c r="G77" s="36">
        <v>0.51</v>
      </c>
      <c r="H77" s="35">
        <f t="shared" si="4"/>
        <v>3183.4</v>
      </c>
      <c r="I77" s="37">
        <v>45647</v>
      </c>
      <c r="J77" s="33" t="s">
        <v>43</v>
      </c>
      <c r="K77" s="33" t="s">
        <v>23</v>
      </c>
      <c r="L77" s="38">
        <f t="shared" si="5"/>
        <v>1559.866</v>
      </c>
      <c r="M77" s="38">
        <v>389.9665</v>
      </c>
      <c r="N77" s="24">
        <f>_xlfn.XLOOKUP(Snitch_Fashion_Sales_cleaned!$J77,Table2[City],Table2[City_Key],"not found")</f>
        <v>6</v>
      </c>
      <c r="O77" s="23">
        <f>_xlfn.XLOOKUP(Snitch_Fashion_Sales_cleaned!$D77,Table4[Product_Name],Table4[Product_Key],"not found")</f>
        <v>5</v>
      </c>
      <c r="P77" s="32">
        <f>_xlfn.XLOOKUP(Snitch_Fashion_Sales_cleaned!$I77,Table3[Order_Date],Table3[Date_Key])</f>
        <v>5</v>
      </c>
    </row>
    <row r="78" spans="1:16" x14ac:dyDescent="0.3">
      <c r="A78" s="27">
        <v>1076</v>
      </c>
      <c r="B78" s="25" t="s">
        <v>124</v>
      </c>
      <c r="C78" s="25" t="s">
        <v>31</v>
      </c>
      <c r="D78" s="26" t="s">
        <v>41</v>
      </c>
      <c r="E78" s="27">
        <v>2</v>
      </c>
      <c r="F78" s="28">
        <v>3027.66</v>
      </c>
      <c r="G78" s="29">
        <v>0.51</v>
      </c>
      <c r="H78" s="28">
        <f t="shared" si="4"/>
        <v>6055.32</v>
      </c>
      <c r="I78" s="30">
        <v>45664</v>
      </c>
      <c r="J78" s="26" t="s">
        <v>2540</v>
      </c>
      <c r="K78" s="26" t="s">
        <v>23</v>
      </c>
      <c r="L78" s="31">
        <f t="shared" si="5"/>
        <v>2967.1068</v>
      </c>
      <c r="M78" s="31">
        <v>1408.61</v>
      </c>
      <c r="N78" s="22">
        <f>_xlfn.XLOOKUP(Snitch_Fashion_Sales_cleaned!$J78,Table2[City],Table2[City_Key],"not found")</f>
        <v>4</v>
      </c>
      <c r="O78" s="21">
        <f>_xlfn.XLOOKUP(Snitch_Fashion_Sales_cleaned!$D78,Table4[Product_Name],Table4[Product_Key],"not found")</f>
        <v>9</v>
      </c>
      <c r="P78" s="25">
        <f>_xlfn.XLOOKUP(Snitch_Fashion_Sales_cleaned!$I78,Table3[Order_Date],Table3[Date_Key])</f>
        <v>52</v>
      </c>
    </row>
    <row r="79" spans="1:16" x14ac:dyDescent="0.3">
      <c r="A79" s="34">
        <v>1077</v>
      </c>
      <c r="B79" s="32" t="s">
        <v>125</v>
      </c>
      <c r="C79" s="32" t="s">
        <v>31</v>
      </c>
      <c r="D79" s="33" t="s">
        <v>41</v>
      </c>
      <c r="E79" s="34">
        <v>2</v>
      </c>
      <c r="F79" s="35">
        <v>3027.66</v>
      </c>
      <c r="G79" s="36">
        <v>0.51</v>
      </c>
      <c r="H79" s="35">
        <f t="shared" si="4"/>
        <v>6055.32</v>
      </c>
      <c r="I79" s="37">
        <v>45555</v>
      </c>
      <c r="J79" s="33" t="s">
        <v>52</v>
      </c>
      <c r="K79" s="33" t="s">
        <v>23</v>
      </c>
      <c r="L79" s="38">
        <f t="shared" si="5"/>
        <v>2967.1068</v>
      </c>
      <c r="M79" s="38">
        <v>902.52</v>
      </c>
      <c r="N79" s="24">
        <f>_xlfn.XLOOKUP(Snitch_Fashion_Sales_cleaned!$J79,Table2[City],Table2[City_Key],"not found")</f>
        <v>5</v>
      </c>
      <c r="O79" s="23">
        <f>_xlfn.XLOOKUP(Snitch_Fashion_Sales_cleaned!$D79,Table4[Product_Name],Table4[Product_Key],"not found")</f>
        <v>9</v>
      </c>
      <c r="P79" s="32">
        <f>_xlfn.XLOOKUP(Snitch_Fashion_Sales_cleaned!$I79,Table3[Order_Date],Table3[Date_Key])</f>
        <v>53</v>
      </c>
    </row>
    <row r="80" spans="1:16" x14ac:dyDescent="0.3">
      <c r="A80" s="27">
        <v>1078</v>
      </c>
      <c r="B80" s="25" t="s">
        <v>126</v>
      </c>
      <c r="C80" s="25" t="s">
        <v>20</v>
      </c>
      <c r="D80" s="26" t="s">
        <v>118</v>
      </c>
      <c r="E80" s="27">
        <v>3.5</v>
      </c>
      <c r="F80" s="28">
        <v>4059.56</v>
      </c>
      <c r="G80" s="29">
        <v>0.51</v>
      </c>
      <c r="H80" s="28">
        <f t="shared" si="4"/>
        <v>14208.46</v>
      </c>
      <c r="I80" s="30">
        <v>45701</v>
      </c>
      <c r="J80" s="26" t="s">
        <v>43</v>
      </c>
      <c r="K80" s="26" t="s">
        <v>16</v>
      </c>
      <c r="L80" s="31">
        <f t="shared" si="5"/>
        <v>6962.1453999999994</v>
      </c>
      <c r="M80" s="31">
        <v>-819.94</v>
      </c>
      <c r="N80" s="22">
        <f>_xlfn.XLOOKUP(Snitch_Fashion_Sales_cleaned!$J80,Table2[City],Table2[City_Key],"not found")</f>
        <v>6</v>
      </c>
      <c r="O80" s="21">
        <f>_xlfn.XLOOKUP(Snitch_Fashion_Sales_cleaned!$D80,Table4[Product_Name],Table4[Product_Key],"not found")</f>
        <v>23</v>
      </c>
      <c r="P80" s="25">
        <f>_xlfn.XLOOKUP(Snitch_Fashion_Sales_cleaned!$I80,Table3[Order_Date],Table3[Date_Key])</f>
        <v>54</v>
      </c>
    </row>
    <row r="81" spans="1:16" x14ac:dyDescent="0.3">
      <c r="A81" s="34">
        <v>1079</v>
      </c>
      <c r="B81" s="32" t="s">
        <v>127</v>
      </c>
      <c r="C81" s="32" t="s">
        <v>31</v>
      </c>
      <c r="D81" s="33" t="s">
        <v>68</v>
      </c>
      <c r="E81" s="34">
        <v>4</v>
      </c>
      <c r="F81" s="35">
        <v>2765.79</v>
      </c>
      <c r="G81" s="36">
        <v>0.51</v>
      </c>
      <c r="H81" s="35">
        <f t="shared" si="4"/>
        <v>11063.16</v>
      </c>
      <c r="I81" s="37">
        <v>45647</v>
      </c>
      <c r="J81" s="33" t="s">
        <v>52</v>
      </c>
      <c r="K81" s="33" t="s">
        <v>23</v>
      </c>
      <c r="L81" s="38">
        <f t="shared" si="5"/>
        <v>5420.9484000000002</v>
      </c>
      <c r="M81" s="38">
        <v>-22.55</v>
      </c>
      <c r="N81" s="24">
        <f>_xlfn.XLOOKUP(Snitch_Fashion_Sales_cleaned!$J81,Table2[City],Table2[City_Key],"not found")</f>
        <v>5</v>
      </c>
      <c r="O81" s="23">
        <f>_xlfn.XLOOKUP(Snitch_Fashion_Sales_cleaned!$D81,Table4[Product_Name],Table4[Product_Key],"not found")</f>
        <v>15</v>
      </c>
      <c r="P81" s="32">
        <f>_xlfn.XLOOKUP(Snitch_Fashion_Sales_cleaned!$I81,Table3[Order_Date],Table3[Date_Key])</f>
        <v>5</v>
      </c>
    </row>
    <row r="82" spans="1:16" x14ac:dyDescent="0.3">
      <c r="A82" s="27">
        <v>1080</v>
      </c>
      <c r="B82" s="25" t="s">
        <v>128</v>
      </c>
      <c r="C82" s="25" t="s">
        <v>31</v>
      </c>
      <c r="D82" s="26" t="s">
        <v>32</v>
      </c>
      <c r="E82" s="27">
        <v>4</v>
      </c>
      <c r="F82" s="28">
        <v>3872.22</v>
      </c>
      <c r="G82" s="29">
        <v>0.51</v>
      </c>
      <c r="H82" s="28">
        <f t="shared" si="4"/>
        <v>15488.88</v>
      </c>
      <c r="I82" s="30">
        <v>45647</v>
      </c>
      <c r="J82" s="26" t="s">
        <v>22</v>
      </c>
      <c r="K82" s="26" t="s">
        <v>16</v>
      </c>
      <c r="L82" s="31">
        <f t="shared" si="5"/>
        <v>7589.5511999999999</v>
      </c>
      <c r="M82" s="31">
        <v>-302.97000000000003</v>
      </c>
      <c r="N82" s="22">
        <f>_xlfn.XLOOKUP(Snitch_Fashion_Sales_cleaned!$J82,Table2[City],Table2[City_Key],"not found")</f>
        <v>3</v>
      </c>
      <c r="O82" s="21">
        <f>_xlfn.XLOOKUP(Snitch_Fashion_Sales_cleaned!$D82,Table4[Product_Name],Table4[Product_Key],"not found")</f>
        <v>5</v>
      </c>
      <c r="P82" s="25">
        <f>_xlfn.XLOOKUP(Snitch_Fashion_Sales_cleaned!$I82,Table3[Order_Date],Table3[Date_Key])</f>
        <v>5</v>
      </c>
    </row>
    <row r="83" spans="1:16" x14ac:dyDescent="0.3">
      <c r="A83" s="34">
        <v>1081</v>
      </c>
      <c r="B83" s="32" t="s">
        <v>129</v>
      </c>
      <c r="C83" s="32" t="s">
        <v>13</v>
      </c>
      <c r="D83" s="33" t="s">
        <v>34</v>
      </c>
      <c r="E83" s="34">
        <v>6</v>
      </c>
      <c r="F83" s="35">
        <v>4798.0600000000004</v>
      </c>
      <c r="G83" s="36">
        <v>0.81</v>
      </c>
      <c r="H83" s="35">
        <f t="shared" si="4"/>
        <v>28788.36</v>
      </c>
      <c r="I83" s="37">
        <v>45647</v>
      </c>
      <c r="J83" s="33" t="s">
        <v>52</v>
      </c>
      <c r="K83" s="33" t="s">
        <v>23</v>
      </c>
      <c r="L83" s="38">
        <f t="shared" si="5"/>
        <v>5469.7883999999985</v>
      </c>
      <c r="M83" s="38">
        <v>-361.78</v>
      </c>
      <c r="N83" s="24">
        <f>_xlfn.XLOOKUP(Snitch_Fashion_Sales_cleaned!$J83,Table2[City],Table2[City_Key],"not found")</f>
        <v>5</v>
      </c>
      <c r="O83" s="23">
        <f>_xlfn.XLOOKUP(Snitch_Fashion_Sales_cleaned!$D83,Table4[Product_Name],Table4[Product_Key],"not found")</f>
        <v>6</v>
      </c>
      <c r="P83" s="32">
        <f>_xlfn.XLOOKUP(Snitch_Fashion_Sales_cleaned!$I83,Table3[Order_Date],Table3[Date_Key])</f>
        <v>5</v>
      </c>
    </row>
    <row r="84" spans="1:16" x14ac:dyDescent="0.3">
      <c r="A84" s="27">
        <v>1082</v>
      </c>
      <c r="B84" s="25" t="s">
        <v>130</v>
      </c>
      <c r="C84" s="25" t="s">
        <v>36</v>
      </c>
      <c r="D84" s="26" t="s">
        <v>87</v>
      </c>
      <c r="E84" s="27">
        <v>4</v>
      </c>
      <c r="F84" s="28">
        <v>2889.5349999999999</v>
      </c>
      <c r="G84" s="29">
        <v>0.51</v>
      </c>
      <c r="H84" s="28">
        <f t="shared" si="4"/>
        <v>11558.14</v>
      </c>
      <c r="I84" s="30">
        <v>45647</v>
      </c>
      <c r="J84" s="26" t="s">
        <v>2540</v>
      </c>
      <c r="K84" s="26" t="s">
        <v>23</v>
      </c>
      <c r="L84" s="31">
        <f t="shared" si="5"/>
        <v>5663.4885999999997</v>
      </c>
      <c r="M84" s="31">
        <v>712.91</v>
      </c>
      <c r="N84" s="22">
        <f>_xlfn.XLOOKUP(Snitch_Fashion_Sales_cleaned!$J84,Table2[City],Table2[City_Key],"not found")</f>
        <v>4</v>
      </c>
      <c r="O84" s="21">
        <f>_xlfn.XLOOKUP(Snitch_Fashion_Sales_cleaned!$D84,Table4[Product_Name],Table4[Product_Key],"not found")</f>
        <v>20</v>
      </c>
      <c r="P84" s="25">
        <f>_xlfn.XLOOKUP(Snitch_Fashion_Sales_cleaned!$I84,Table3[Order_Date],Table3[Date_Key])</f>
        <v>5</v>
      </c>
    </row>
    <row r="85" spans="1:16" x14ac:dyDescent="0.3">
      <c r="A85" s="34">
        <v>1083</v>
      </c>
      <c r="B85" s="32" t="s">
        <v>131</v>
      </c>
      <c r="C85" s="32" t="s">
        <v>20</v>
      </c>
      <c r="D85" s="33" t="s">
        <v>76</v>
      </c>
      <c r="E85" s="34">
        <v>1</v>
      </c>
      <c r="F85" s="35">
        <v>2229.4899999999998</v>
      </c>
      <c r="G85" s="36">
        <v>0.51</v>
      </c>
      <c r="H85" s="35">
        <f t="shared" si="4"/>
        <v>2229.4899999999998</v>
      </c>
      <c r="I85" s="37">
        <v>45647</v>
      </c>
      <c r="J85" s="33" t="s">
        <v>43</v>
      </c>
      <c r="K85" s="33" t="s">
        <v>23</v>
      </c>
      <c r="L85" s="38">
        <f t="shared" si="5"/>
        <v>1092.4500999999998</v>
      </c>
      <c r="M85" s="38">
        <v>-612.62</v>
      </c>
      <c r="N85" s="24">
        <f>_xlfn.XLOOKUP(Snitch_Fashion_Sales_cleaned!$J85,Table2[City],Table2[City_Key],"not found")</f>
        <v>6</v>
      </c>
      <c r="O85" s="23">
        <f>_xlfn.XLOOKUP(Snitch_Fashion_Sales_cleaned!$D85,Table4[Product_Name],Table4[Product_Key],"not found")</f>
        <v>16</v>
      </c>
      <c r="P85" s="32">
        <f>_xlfn.XLOOKUP(Snitch_Fashion_Sales_cleaned!$I85,Table3[Order_Date],Table3[Date_Key])</f>
        <v>5</v>
      </c>
    </row>
    <row r="86" spans="1:16" x14ac:dyDescent="0.3">
      <c r="A86" s="27">
        <v>1084</v>
      </c>
      <c r="B86" s="25" t="s">
        <v>132</v>
      </c>
      <c r="C86" s="25" t="s">
        <v>25</v>
      </c>
      <c r="D86" s="26" t="s">
        <v>26</v>
      </c>
      <c r="E86" s="27">
        <v>4</v>
      </c>
      <c r="F86" s="28">
        <v>2933.45</v>
      </c>
      <c r="G86" s="29">
        <v>0.53</v>
      </c>
      <c r="H86" s="28">
        <f t="shared" si="4"/>
        <v>11733.8</v>
      </c>
      <c r="I86" s="30">
        <v>45650</v>
      </c>
      <c r="J86" s="26" t="s">
        <v>43</v>
      </c>
      <c r="K86" s="26" t="s">
        <v>23</v>
      </c>
      <c r="L86" s="31">
        <f t="shared" si="5"/>
        <v>5514.8859999999995</v>
      </c>
      <c r="M86" s="31">
        <v>2458.0700000000002</v>
      </c>
      <c r="N86" s="22">
        <f>_xlfn.XLOOKUP(Snitch_Fashion_Sales_cleaned!$J86,Table2[City],Table2[City_Key],"not found")</f>
        <v>6</v>
      </c>
      <c r="O86" s="21">
        <f>_xlfn.XLOOKUP(Snitch_Fashion_Sales_cleaned!$D86,Table4[Product_Name],Table4[Product_Key],"not found")</f>
        <v>3</v>
      </c>
      <c r="P86" s="25">
        <f>_xlfn.XLOOKUP(Snitch_Fashion_Sales_cleaned!$I86,Table3[Order_Date],Table3[Date_Key])</f>
        <v>55</v>
      </c>
    </row>
    <row r="87" spans="1:16" x14ac:dyDescent="0.3">
      <c r="A87" s="34">
        <v>1085</v>
      </c>
      <c r="B87" s="32" t="s">
        <v>133</v>
      </c>
      <c r="C87" s="32" t="s">
        <v>25</v>
      </c>
      <c r="D87" s="33" t="s">
        <v>62</v>
      </c>
      <c r="E87" s="34">
        <v>4</v>
      </c>
      <c r="F87" s="35">
        <v>2538.0450000000001</v>
      </c>
      <c r="G87" s="36">
        <v>0.02</v>
      </c>
      <c r="H87" s="35">
        <f t="shared" si="4"/>
        <v>10152.18</v>
      </c>
      <c r="I87" s="37">
        <v>45217</v>
      </c>
      <c r="J87" s="33" t="s">
        <v>43</v>
      </c>
      <c r="K87" s="33" t="s">
        <v>23</v>
      </c>
      <c r="L87" s="38">
        <f t="shared" si="5"/>
        <v>9949.1363999999994</v>
      </c>
      <c r="M87" s="38">
        <v>264.73</v>
      </c>
      <c r="N87" s="24">
        <f>_xlfn.XLOOKUP(Snitch_Fashion_Sales_cleaned!$J87,Table2[City],Table2[City_Key],"not found")</f>
        <v>6</v>
      </c>
      <c r="O87" s="23">
        <f>_xlfn.XLOOKUP(Snitch_Fashion_Sales_cleaned!$D87,Table4[Product_Name],Table4[Product_Key],"not found")</f>
        <v>14</v>
      </c>
      <c r="P87" s="32">
        <f>_xlfn.XLOOKUP(Snitch_Fashion_Sales_cleaned!$I87,Table3[Order_Date],Table3[Date_Key])</f>
        <v>56</v>
      </c>
    </row>
    <row r="88" spans="1:16" x14ac:dyDescent="0.3">
      <c r="A88" s="27">
        <v>1086</v>
      </c>
      <c r="B88" s="25" t="s">
        <v>134</v>
      </c>
      <c r="C88" s="25" t="s">
        <v>28</v>
      </c>
      <c r="D88" s="26" t="s">
        <v>39</v>
      </c>
      <c r="E88" s="27">
        <v>3</v>
      </c>
      <c r="F88" s="28">
        <v>948.33</v>
      </c>
      <c r="G88" s="29">
        <v>0.46</v>
      </c>
      <c r="H88" s="28">
        <f t="shared" si="4"/>
        <v>2844.9900000000002</v>
      </c>
      <c r="I88" s="30">
        <v>45732</v>
      </c>
      <c r="J88" s="26" t="s">
        <v>2540</v>
      </c>
      <c r="K88" s="26" t="s">
        <v>16</v>
      </c>
      <c r="L88" s="31">
        <f t="shared" si="5"/>
        <v>1536.2946000000002</v>
      </c>
      <c r="M88" s="31">
        <v>-865.22</v>
      </c>
      <c r="N88" s="22">
        <f>_xlfn.XLOOKUP(Snitch_Fashion_Sales_cleaned!$J88,Table2[City],Table2[City_Key],"not found")</f>
        <v>4</v>
      </c>
      <c r="O88" s="21">
        <f>_xlfn.XLOOKUP(Snitch_Fashion_Sales_cleaned!$D88,Table4[Product_Name],Table4[Product_Key],"not found")</f>
        <v>8</v>
      </c>
      <c r="P88" s="25">
        <f>_xlfn.XLOOKUP(Snitch_Fashion_Sales_cleaned!$I88,Table3[Order_Date],Table3[Date_Key])</f>
        <v>57</v>
      </c>
    </row>
    <row r="89" spans="1:16" x14ac:dyDescent="0.3">
      <c r="A89" s="34">
        <v>1087</v>
      </c>
      <c r="B89" s="32" t="s">
        <v>135</v>
      </c>
      <c r="C89" s="32" t="s">
        <v>13</v>
      </c>
      <c r="D89" s="33" t="s">
        <v>98</v>
      </c>
      <c r="E89" s="34">
        <v>5</v>
      </c>
      <c r="F89" s="35">
        <v>1976.75</v>
      </c>
      <c r="G89" s="36">
        <v>0.81</v>
      </c>
      <c r="H89" s="35">
        <f t="shared" si="4"/>
        <v>9883.75</v>
      </c>
      <c r="I89" s="37">
        <v>45846</v>
      </c>
      <c r="J89" s="33" t="s">
        <v>22</v>
      </c>
      <c r="K89" s="33" t="s">
        <v>16</v>
      </c>
      <c r="L89" s="38">
        <f t="shared" si="5"/>
        <v>1877.9124999999995</v>
      </c>
      <c r="M89" s="38">
        <v>469.47812499999986</v>
      </c>
      <c r="N89" s="24">
        <f>_xlfn.XLOOKUP(Snitch_Fashion_Sales_cleaned!$J89,Table2[City],Table2[City_Key],"not found")</f>
        <v>3</v>
      </c>
      <c r="O89" s="23">
        <f>_xlfn.XLOOKUP(Snitch_Fashion_Sales_cleaned!$D89,Table4[Product_Name],Table4[Product_Key],"not found")</f>
        <v>21</v>
      </c>
      <c r="P89" s="32">
        <f>_xlfn.XLOOKUP(Snitch_Fashion_Sales_cleaned!$I89,Table3[Order_Date],Table3[Date_Key])</f>
        <v>35</v>
      </c>
    </row>
    <row r="90" spans="1:16" x14ac:dyDescent="0.3">
      <c r="A90" s="27">
        <v>1088</v>
      </c>
      <c r="B90" s="25" t="s">
        <v>136</v>
      </c>
      <c r="C90" s="25" t="s">
        <v>28</v>
      </c>
      <c r="D90" s="26" t="s">
        <v>137</v>
      </c>
      <c r="E90" s="27">
        <v>3.5</v>
      </c>
      <c r="F90" s="28">
        <v>3891.14</v>
      </c>
      <c r="G90" s="29">
        <v>0.51</v>
      </c>
      <c r="H90" s="28">
        <f t="shared" si="4"/>
        <v>13618.99</v>
      </c>
      <c r="I90" s="30">
        <v>45785</v>
      </c>
      <c r="J90" s="26" t="s">
        <v>43</v>
      </c>
      <c r="K90" s="26" t="s">
        <v>16</v>
      </c>
      <c r="L90" s="31">
        <f t="shared" si="5"/>
        <v>6673.3050999999996</v>
      </c>
      <c r="M90" s="31">
        <v>1374.27</v>
      </c>
      <c r="N90" s="22">
        <f>_xlfn.XLOOKUP(Snitch_Fashion_Sales_cleaned!$J90,Table2[City],Table2[City_Key],"not found")</f>
        <v>6</v>
      </c>
      <c r="O90" s="21">
        <f>_xlfn.XLOOKUP(Snitch_Fashion_Sales_cleaned!$D90,Table4[Product_Name],Table4[Product_Key],"not found")</f>
        <v>24</v>
      </c>
      <c r="P90" s="25">
        <f>_xlfn.XLOOKUP(Snitch_Fashion_Sales_cleaned!$I90,Table3[Order_Date],Table3[Date_Key])</f>
        <v>58</v>
      </c>
    </row>
    <row r="91" spans="1:16" x14ac:dyDescent="0.3">
      <c r="A91" s="34">
        <v>1089</v>
      </c>
      <c r="B91" s="32" t="s">
        <v>138</v>
      </c>
      <c r="C91" s="32" t="s">
        <v>25</v>
      </c>
      <c r="D91" s="33" t="s">
        <v>62</v>
      </c>
      <c r="E91" s="34">
        <v>4</v>
      </c>
      <c r="F91" s="35">
        <v>1412.17</v>
      </c>
      <c r="G91" s="36">
        <v>0.88</v>
      </c>
      <c r="H91" s="35">
        <f t="shared" si="4"/>
        <v>5648.68</v>
      </c>
      <c r="I91" s="37">
        <v>45710</v>
      </c>
      <c r="J91" s="33" t="s">
        <v>22</v>
      </c>
      <c r="K91" s="33" t="s">
        <v>23</v>
      </c>
      <c r="L91" s="38">
        <f t="shared" si="5"/>
        <v>677.84159999999997</v>
      </c>
      <c r="M91" s="38">
        <v>-355.26</v>
      </c>
      <c r="N91" s="24">
        <f>_xlfn.XLOOKUP(Snitch_Fashion_Sales_cleaned!$J91,Table2[City],Table2[City_Key],"not found")</f>
        <v>3</v>
      </c>
      <c r="O91" s="23">
        <f>_xlfn.XLOOKUP(Snitch_Fashion_Sales_cleaned!$D91,Table4[Product_Name],Table4[Product_Key],"not found")</f>
        <v>14</v>
      </c>
      <c r="P91" s="32">
        <f>_xlfn.XLOOKUP(Snitch_Fashion_Sales_cleaned!$I91,Table3[Order_Date],Table3[Date_Key])</f>
        <v>59</v>
      </c>
    </row>
    <row r="92" spans="1:16" x14ac:dyDescent="0.3">
      <c r="A92" s="27">
        <v>1090</v>
      </c>
      <c r="B92" s="25" t="s">
        <v>139</v>
      </c>
      <c r="C92" s="25" t="s">
        <v>25</v>
      </c>
      <c r="D92" s="26" t="s">
        <v>62</v>
      </c>
      <c r="E92" s="27">
        <v>5</v>
      </c>
      <c r="F92" s="28">
        <v>2477.8200000000002</v>
      </c>
      <c r="G92" s="29">
        <v>0.51</v>
      </c>
      <c r="H92" s="28">
        <f t="shared" si="4"/>
        <v>12389.1</v>
      </c>
      <c r="I92" s="30">
        <v>45605</v>
      </c>
      <c r="J92" s="26" t="s">
        <v>18</v>
      </c>
      <c r="K92" s="26" t="s">
        <v>16</v>
      </c>
      <c r="L92" s="31">
        <f t="shared" si="5"/>
        <v>6070.6589999999997</v>
      </c>
      <c r="M92" s="31">
        <v>-888.86</v>
      </c>
      <c r="N92" s="22">
        <f>_xlfn.XLOOKUP(Snitch_Fashion_Sales_cleaned!$J92,Table2[City],Table2[City_Key],"not found")</f>
        <v>2</v>
      </c>
      <c r="O92" s="21">
        <f>_xlfn.XLOOKUP(Snitch_Fashion_Sales_cleaned!$D92,Table4[Product_Name],Table4[Product_Key],"not found")</f>
        <v>14</v>
      </c>
      <c r="P92" s="25">
        <f>_xlfn.XLOOKUP(Snitch_Fashion_Sales_cleaned!$I92,Table3[Order_Date],Table3[Date_Key])</f>
        <v>60</v>
      </c>
    </row>
    <row r="93" spans="1:16" x14ac:dyDescent="0.3">
      <c r="A93" s="34">
        <v>1091</v>
      </c>
      <c r="B93" s="32" t="s">
        <v>140</v>
      </c>
      <c r="C93" s="32" t="s">
        <v>28</v>
      </c>
      <c r="D93" s="33" t="s">
        <v>29</v>
      </c>
      <c r="E93" s="34">
        <v>1</v>
      </c>
      <c r="F93" s="35">
        <v>2515.415</v>
      </c>
      <c r="G93" s="36">
        <v>0.51</v>
      </c>
      <c r="H93" s="35">
        <f t="shared" si="4"/>
        <v>2515.415</v>
      </c>
      <c r="I93" s="37">
        <v>45135</v>
      </c>
      <c r="J93" s="33" t="s">
        <v>15</v>
      </c>
      <c r="K93" s="33" t="s">
        <v>23</v>
      </c>
      <c r="L93" s="38">
        <f t="shared" si="5"/>
        <v>1232.5533499999999</v>
      </c>
      <c r="M93" s="38">
        <v>156.43</v>
      </c>
      <c r="N93" s="24">
        <f>_xlfn.XLOOKUP(Snitch_Fashion_Sales_cleaned!$J93,Table2[City],Table2[City_Key],"not found")</f>
        <v>1</v>
      </c>
      <c r="O93" s="23">
        <f>_xlfn.XLOOKUP(Snitch_Fashion_Sales_cleaned!$D93,Table4[Product_Name],Table4[Product_Key],"not found")</f>
        <v>4</v>
      </c>
      <c r="P93" s="32">
        <f>_xlfn.XLOOKUP(Snitch_Fashion_Sales_cleaned!$I93,Table3[Order_Date],Table3[Date_Key])</f>
        <v>61</v>
      </c>
    </row>
    <row r="94" spans="1:16" x14ac:dyDescent="0.3">
      <c r="A94" s="27">
        <v>1092</v>
      </c>
      <c r="B94" s="25" t="s">
        <v>141</v>
      </c>
      <c r="C94" s="25" t="s">
        <v>36</v>
      </c>
      <c r="D94" s="26" t="s">
        <v>87</v>
      </c>
      <c r="E94" s="27">
        <v>4</v>
      </c>
      <c r="F94" s="28">
        <v>2889.5349999999999</v>
      </c>
      <c r="G94" s="29">
        <v>0.51</v>
      </c>
      <c r="H94" s="28">
        <f t="shared" si="4"/>
        <v>11558.14</v>
      </c>
      <c r="I94" s="30">
        <v>45647</v>
      </c>
      <c r="J94" s="26" t="s">
        <v>43</v>
      </c>
      <c r="K94" s="26" t="s">
        <v>23</v>
      </c>
      <c r="L94" s="31">
        <f t="shared" si="5"/>
        <v>5663.4885999999997</v>
      </c>
      <c r="M94" s="31">
        <v>1122.6600000000001</v>
      </c>
      <c r="N94" s="22">
        <f>_xlfn.XLOOKUP(Snitch_Fashion_Sales_cleaned!$J94,Table2[City],Table2[City_Key],"not found")</f>
        <v>6</v>
      </c>
      <c r="O94" s="21">
        <f>_xlfn.XLOOKUP(Snitch_Fashion_Sales_cleaned!$D94,Table4[Product_Name],Table4[Product_Key],"not found")</f>
        <v>20</v>
      </c>
      <c r="P94" s="25">
        <f>_xlfn.XLOOKUP(Snitch_Fashion_Sales_cleaned!$I94,Table3[Order_Date],Table3[Date_Key])</f>
        <v>5</v>
      </c>
    </row>
    <row r="95" spans="1:16" x14ac:dyDescent="0.3">
      <c r="A95" s="34">
        <v>1093</v>
      </c>
      <c r="B95" s="32" t="s">
        <v>142</v>
      </c>
      <c r="C95" s="32" t="s">
        <v>36</v>
      </c>
      <c r="D95" s="33" t="s">
        <v>87</v>
      </c>
      <c r="E95" s="34">
        <v>4</v>
      </c>
      <c r="F95" s="35">
        <v>2889.5349999999999</v>
      </c>
      <c r="G95" s="36">
        <v>0.51</v>
      </c>
      <c r="H95" s="35">
        <f t="shared" si="4"/>
        <v>11558.14</v>
      </c>
      <c r="I95" s="37">
        <v>45629</v>
      </c>
      <c r="J95" s="33" t="s">
        <v>2540</v>
      </c>
      <c r="K95" s="33" t="s">
        <v>23</v>
      </c>
      <c r="L95" s="38">
        <f t="shared" si="5"/>
        <v>5663.4885999999997</v>
      </c>
      <c r="M95" s="38">
        <v>2966.76</v>
      </c>
      <c r="N95" s="24">
        <f>_xlfn.XLOOKUP(Snitch_Fashion_Sales_cleaned!$J95,Table2[City],Table2[City_Key],"not found")</f>
        <v>4</v>
      </c>
      <c r="O95" s="23">
        <f>_xlfn.XLOOKUP(Snitch_Fashion_Sales_cleaned!$D95,Table4[Product_Name],Table4[Product_Key],"not found")</f>
        <v>20</v>
      </c>
      <c r="P95" s="32">
        <f>_xlfn.XLOOKUP(Snitch_Fashion_Sales_cleaned!$I95,Table3[Order_Date],Table3[Date_Key])</f>
        <v>62</v>
      </c>
    </row>
    <row r="96" spans="1:16" x14ac:dyDescent="0.3">
      <c r="A96" s="27">
        <v>1094</v>
      </c>
      <c r="B96" s="25" t="s">
        <v>143</v>
      </c>
      <c r="C96" s="25" t="s">
        <v>20</v>
      </c>
      <c r="D96" s="26" t="s">
        <v>84</v>
      </c>
      <c r="E96" s="27">
        <v>3</v>
      </c>
      <c r="F96" s="28">
        <v>4741.41</v>
      </c>
      <c r="G96" s="29">
        <v>0.51</v>
      </c>
      <c r="H96" s="28">
        <f t="shared" si="4"/>
        <v>14224.23</v>
      </c>
      <c r="I96" s="30">
        <v>45647</v>
      </c>
      <c r="J96" s="26" t="s">
        <v>22</v>
      </c>
      <c r="K96" s="26" t="s">
        <v>16</v>
      </c>
      <c r="L96" s="31">
        <f t="shared" si="5"/>
        <v>6969.8726999999999</v>
      </c>
      <c r="M96" s="31">
        <v>1901.7</v>
      </c>
      <c r="N96" s="22">
        <f>_xlfn.XLOOKUP(Snitch_Fashion_Sales_cleaned!$J96,Table2[City],Table2[City_Key],"not found")</f>
        <v>3</v>
      </c>
      <c r="O96" s="21">
        <f>_xlfn.XLOOKUP(Snitch_Fashion_Sales_cleaned!$D96,Table4[Product_Name],Table4[Product_Key],"not found")</f>
        <v>19</v>
      </c>
      <c r="P96" s="25">
        <f>_xlfn.XLOOKUP(Snitch_Fashion_Sales_cleaned!$I96,Table3[Order_Date],Table3[Date_Key])</f>
        <v>5</v>
      </c>
    </row>
    <row r="97" spans="1:16" x14ac:dyDescent="0.3">
      <c r="A97" s="34">
        <v>1035</v>
      </c>
      <c r="B97" s="32" t="s">
        <v>144</v>
      </c>
      <c r="C97" s="32" t="s">
        <v>28</v>
      </c>
      <c r="D97" s="33" t="s">
        <v>29</v>
      </c>
      <c r="E97" s="34">
        <v>3</v>
      </c>
      <c r="F97" s="35">
        <v>2515.415</v>
      </c>
      <c r="G97" s="36">
        <v>0.51</v>
      </c>
      <c r="H97" s="35">
        <f t="shared" si="4"/>
        <v>7546.2449999999999</v>
      </c>
      <c r="I97" s="37">
        <v>45661</v>
      </c>
      <c r="J97" s="33" t="s">
        <v>22</v>
      </c>
      <c r="K97" s="33" t="s">
        <v>16</v>
      </c>
      <c r="L97" s="38">
        <f t="shared" si="5"/>
        <v>3697.66005</v>
      </c>
      <c r="M97" s="38">
        <v>1539.59</v>
      </c>
      <c r="N97" s="24">
        <f>_xlfn.XLOOKUP(Snitch_Fashion_Sales_cleaned!$J97,Table2[City],Table2[City_Key],"not found")</f>
        <v>3</v>
      </c>
      <c r="O97" s="23">
        <f>_xlfn.XLOOKUP(Snitch_Fashion_Sales_cleaned!$D97,Table4[Product_Name],Table4[Product_Key],"not found")</f>
        <v>4</v>
      </c>
      <c r="P97" s="32">
        <f>_xlfn.XLOOKUP(Snitch_Fashion_Sales_cleaned!$I97,Table3[Order_Date],Table3[Date_Key])</f>
        <v>63</v>
      </c>
    </row>
    <row r="98" spans="1:16" x14ac:dyDescent="0.3">
      <c r="A98" s="27">
        <v>1033</v>
      </c>
      <c r="B98" s="25" t="s">
        <v>145</v>
      </c>
      <c r="C98" s="25" t="s">
        <v>28</v>
      </c>
      <c r="D98" s="26" t="s">
        <v>29</v>
      </c>
      <c r="E98" s="27">
        <v>3</v>
      </c>
      <c r="F98" s="28">
        <v>421.92</v>
      </c>
      <c r="G98" s="29">
        <v>0.51</v>
      </c>
      <c r="H98" s="28">
        <f t="shared" si="4"/>
        <v>1265.76</v>
      </c>
      <c r="I98" s="30">
        <v>45647</v>
      </c>
      <c r="J98" s="26" t="s">
        <v>52</v>
      </c>
      <c r="K98" s="26" t="s">
        <v>23</v>
      </c>
      <c r="L98" s="31">
        <f t="shared" si="5"/>
        <v>620.22239999999999</v>
      </c>
      <c r="M98" s="31">
        <v>155.0556</v>
      </c>
      <c r="N98" s="22">
        <f>_xlfn.XLOOKUP(Snitch_Fashion_Sales_cleaned!$J98,Table2[City],Table2[City_Key],"not found")</f>
        <v>5</v>
      </c>
      <c r="O98" s="21">
        <f>_xlfn.XLOOKUP(Snitch_Fashion_Sales_cleaned!$D98,Table4[Product_Name],Table4[Product_Key],"not found")</f>
        <v>4</v>
      </c>
      <c r="P98" s="25">
        <f>_xlfn.XLOOKUP(Snitch_Fashion_Sales_cleaned!$I98,Table3[Order_Date],Table3[Date_Key])</f>
        <v>5</v>
      </c>
    </row>
    <row r="99" spans="1:16" x14ac:dyDescent="0.3">
      <c r="A99" s="34">
        <v>1097</v>
      </c>
      <c r="B99" s="32" t="s">
        <v>146</v>
      </c>
      <c r="C99" s="32" t="s">
        <v>28</v>
      </c>
      <c r="D99" s="33" t="s">
        <v>39</v>
      </c>
      <c r="E99" s="34">
        <v>3</v>
      </c>
      <c r="F99" s="35">
        <v>2577.6350000000002</v>
      </c>
      <c r="G99" s="36">
        <v>0.51</v>
      </c>
      <c r="H99" s="35">
        <f t="shared" si="4"/>
        <v>7732.9050000000007</v>
      </c>
      <c r="I99" s="37">
        <v>45675</v>
      </c>
      <c r="J99" s="33" t="s">
        <v>22</v>
      </c>
      <c r="K99" s="33" t="s">
        <v>23</v>
      </c>
      <c r="L99" s="38">
        <f t="shared" si="5"/>
        <v>3789.12345</v>
      </c>
      <c r="M99" s="38">
        <v>1141.1500000000001</v>
      </c>
      <c r="N99" s="24">
        <f>_xlfn.XLOOKUP(Snitch_Fashion_Sales_cleaned!$J99,Table2[City],Table2[City_Key],"not found")</f>
        <v>3</v>
      </c>
      <c r="O99" s="23">
        <f>_xlfn.XLOOKUP(Snitch_Fashion_Sales_cleaned!$D99,Table4[Product_Name],Table4[Product_Key],"not found")</f>
        <v>8</v>
      </c>
      <c r="P99" s="32">
        <f>_xlfn.XLOOKUP(Snitch_Fashion_Sales_cleaned!$I99,Table3[Order_Date],Table3[Date_Key])</f>
        <v>64</v>
      </c>
    </row>
    <row r="100" spans="1:16" x14ac:dyDescent="0.3">
      <c r="A100" s="27">
        <v>1098</v>
      </c>
      <c r="B100" s="25" t="s">
        <v>147</v>
      </c>
      <c r="C100" s="25" t="s">
        <v>28</v>
      </c>
      <c r="D100" s="26" t="s">
        <v>137</v>
      </c>
      <c r="E100" s="27">
        <v>3.5</v>
      </c>
      <c r="F100" s="28">
        <v>4752.04</v>
      </c>
      <c r="G100" s="29">
        <v>0.51</v>
      </c>
      <c r="H100" s="28">
        <f t="shared" si="4"/>
        <v>16632.14</v>
      </c>
      <c r="I100" s="30">
        <v>45543</v>
      </c>
      <c r="J100" s="26" t="s">
        <v>18</v>
      </c>
      <c r="K100" s="26" t="s">
        <v>16</v>
      </c>
      <c r="L100" s="31">
        <f t="shared" si="5"/>
        <v>8149.7485999999999</v>
      </c>
      <c r="M100" s="31">
        <v>129.37</v>
      </c>
      <c r="N100" s="22">
        <f>_xlfn.XLOOKUP(Snitch_Fashion_Sales_cleaned!$J100,Table2[City],Table2[City_Key],"not found")</f>
        <v>2</v>
      </c>
      <c r="O100" s="21">
        <f>_xlfn.XLOOKUP(Snitch_Fashion_Sales_cleaned!$D100,Table4[Product_Name],Table4[Product_Key],"not found")</f>
        <v>24</v>
      </c>
      <c r="P100" s="25">
        <f>_xlfn.XLOOKUP(Snitch_Fashion_Sales_cleaned!$I100,Table3[Order_Date],Table3[Date_Key])</f>
        <v>65</v>
      </c>
    </row>
    <row r="101" spans="1:16" x14ac:dyDescent="0.3">
      <c r="A101" s="34">
        <v>1099</v>
      </c>
      <c r="B101" s="32" t="s">
        <v>148</v>
      </c>
      <c r="C101" s="32" t="s">
        <v>25</v>
      </c>
      <c r="D101" s="33" t="s">
        <v>26</v>
      </c>
      <c r="E101" s="34">
        <v>4</v>
      </c>
      <c r="F101" s="35">
        <v>2933.45</v>
      </c>
      <c r="G101" s="36">
        <v>0.51</v>
      </c>
      <c r="H101" s="35">
        <f t="shared" si="4"/>
        <v>11733.8</v>
      </c>
      <c r="I101" s="37">
        <v>45344</v>
      </c>
      <c r="J101" s="33" t="s">
        <v>43</v>
      </c>
      <c r="K101" s="33" t="s">
        <v>23</v>
      </c>
      <c r="L101" s="38">
        <f t="shared" si="5"/>
        <v>5749.5619999999999</v>
      </c>
      <c r="M101" s="38">
        <v>300.02</v>
      </c>
      <c r="N101" s="24">
        <f>_xlfn.XLOOKUP(Snitch_Fashion_Sales_cleaned!$J101,Table2[City],Table2[City_Key],"not found")</f>
        <v>6</v>
      </c>
      <c r="O101" s="23">
        <f>_xlfn.XLOOKUP(Snitch_Fashion_Sales_cleaned!$D101,Table4[Product_Name],Table4[Product_Key],"not found")</f>
        <v>3</v>
      </c>
      <c r="P101" s="32">
        <f>_xlfn.XLOOKUP(Snitch_Fashion_Sales_cleaned!$I101,Table3[Order_Date],Table3[Date_Key])</f>
        <v>66</v>
      </c>
    </row>
    <row r="102" spans="1:16" x14ac:dyDescent="0.3">
      <c r="A102" s="27">
        <v>1100</v>
      </c>
      <c r="B102" s="25" t="s">
        <v>149</v>
      </c>
      <c r="C102" s="25" t="s">
        <v>25</v>
      </c>
      <c r="D102" s="26" t="s">
        <v>82</v>
      </c>
      <c r="E102" s="27">
        <v>2</v>
      </c>
      <c r="F102" s="28">
        <v>2011.73</v>
      </c>
      <c r="G102" s="29">
        <v>0.51</v>
      </c>
      <c r="H102" s="28">
        <f t="shared" si="4"/>
        <v>4023.46</v>
      </c>
      <c r="I102" s="30">
        <v>45656</v>
      </c>
      <c r="J102" s="26" t="s">
        <v>52</v>
      </c>
      <c r="K102" s="26" t="s">
        <v>16</v>
      </c>
      <c r="L102" s="31">
        <f t="shared" si="5"/>
        <v>1971.4954</v>
      </c>
      <c r="M102" s="31">
        <v>492.87385</v>
      </c>
      <c r="N102" s="22">
        <f>_xlfn.XLOOKUP(Snitch_Fashion_Sales_cleaned!$J102,Table2[City],Table2[City_Key],"not found")</f>
        <v>5</v>
      </c>
      <c r="O102" s="21">
        <f>_xlfn.XLOOKUP(Snitch_Fashion_Sales_cleaned!$D102,Table4[Product_Name],Table4[Product_Key],"not found")</f>
        <v>18</v>
      </c>
      <c r="P102" s="25">
        <f>_xlfn.XLOOKUP(Snitch_Fashion_Sales_cleaned!$I102,Table3[Order_Date],Table3[Date_Key])</f>
        <v>67</v>
      </c>
    </row>
    <row r="103" spans="1:16" x14ac:dyDescent="0.3">
      <c r="A103" s="34">
        <v>1101</v>
      </c>
      <c r="B103" s="32" t="s">
        <v>150</v>
      </c>
      <c r="C103" s="32" t="s">
        <v>13</v>
      </c>
      <c r="D103" s="33" t="s">
        <v>34</v>
      </c>
      <c r="E103" s="34">
        <v>3</v>
      </c>
      <c r="F103" s="35">
        <v>3008.6549999999997</v>
      </c>
      <c r="G103" s="36">
        <v>0.22</v>
      </c>
      <c r="H103" s="35">
        <f t="shared" si="4"/>
        <v>9025.9650000000001</v>
      </c>
      <c r="I103" s="37">
        <v>45720</v>
      </c>
      <c r="J103" s="33" t="s">
        <v>43</v>
      </c>
      <c r="K103" s="33" t="s">
        <v>16</v>
      </c>
      <c r="L103" s="38">
        <f t="shared" si="5"/>
        <v>7040.2527</v>
      </c>
      <c r="M103" s="38">
        <v>2962.73</v>
      </c>
      <c r="N103" s="24">
        <f>_xlfn.XLOOKUP(Snitch_Fashion_Sales_cleaned!$J103,Table2[City],Table2[City_Key],"not found")</f>
        <v>6</v>
      </c>
      <c r="O103" s="23">
        <f>_xlfn.XLOOKUP(Snitch_Fashion_Sales_cleaned!$D103,Table4[Product_Name],Table4[Product_Key],"not found")</f>
        <v>6</v>
      </c>
      <c r="P103" s="32">
        <f>_xlfn.XLOOKUP(Snitch_Fashion_Sales_cleaned!$I103,Table3[Order_Date],Table3[Date_Key])</f>
        <v>68</v>
      </c>
    </row>
    <row r="104" spans="1:16" x14ac:dyDescent="0.3">
      <c r="A104" s="27">
        <v>1102</v>
      </c>
      <c r="B104" s="25" t="s">
        <v>151</v>
      </c>
      <c r="C104" s="25" t="s">
        <v>13</v>
      </c>
      <c r="D104" s="26" t="s">
        <v>34</v>
      </c>
      <c r="E104" s="27">
        <v>5</v>
      </c>
      <c r="F104" s="28">
        <v>3008.6549999999997</v>
      </c>
      <c r="G104" s="29">
        <v>0.51</v>
      </c>
      <c r="H104" s="28">
        <f t="shared" si="4"/>
        <v>15043.274999999998</v>
      </c>
      <c r="I104" s="30">
        <v>45762</v>
      </c>
      <c r="J104" s="26" t="s">
        <v>52</v>
      </c>
      <c r="K104" s="26" t="s">
        <v>23</v>
      </c>
      <c r="L104" s="31">
        <f t="shared" si="5"/>
        <v>7371.204749999999</v>
      </c>
      <c r="M104" s="31">
        <v>2776.7</v>
      </c>
      <c r="N104" s="22">
        <f>_xlfn.XLOOKUP(Snitch_Fashion_Sales_cleaned!$J104,Table2[City],Table2[City_Key],"not found")</f>
        <v>5</v>
      </c>
      <c r="O104" s="21">
        <f>_xlfn.XLOOKUP(Snitch_Fashion_Sales_cleaned!$D104,Table4[Product_Name],Table4[Product_Key],"not found")</f>
        <v>6</v>
      </c>
      <c r="P104" s="25">
        <f>_xlfn.XLOOKUP(Snitch_Fashion_Sales_cleaned!$I104,Table3[Order_Date],Table3[Date_Key])</f>
        <v>69</v>
      </c>
    </row>
    <row r="105" spans="1:16" x14ac:dyDescent="0.3">
      <c r="A105" s="34">
        <v>1103</v>
      </c>
      <c r="B105" s="32" t="s">
        <v>152</v>
      </c>
      <c r="C105" s="32" t="s">
        <v>36</v>
      </c>
      <c r="D105" s="33" t="s">
        <v>87</v>
      </c>
      <c r="E105" s="34">
        <v>5</v>
      </c>
      <c r="F105" s="35">
        <v>1521.46</v>
      </c>
      <c r="G105" s="36">
        <v>0.51</v>
      </c>
      <c r="H105" s="35">
        <f t="shared" si="4"/>
        <v>7607.3</v>
      </c>
      <c r="I105" s="37">
        <v>45819</v>
      </c>
      <c r="J105" s="33" t="s">
        <v>2540</v>
      </c>
      <c r="K105" s="33" t="s">
        <v>23</v>
      </c>
      <c r="L105" s="38">
        <f t="shared" si="5"/>
        <v>3727.5770000000002</v>
      </c>
      <c r="M105" s="38">
        <v>1713.47</v>
      </c>
      <c r="N105" s="24">
        <f>_xlfn.XLOOKUP(Snitch_Fashion_Sales_cleaned!$J105,Table2[City],Table2[City_Key],"not found")</f>
        <v>4</v>
      </c>
      <c r="O105" s="23">
        <f>_xlfn.XLOOKUP(Snitch_Fashion_Sales_cleaned!$D105,Table4[Product_Name],Table4[Product_Key],"not found")</f>
        <v>20</v>
      </c>
      <c r="P105" s="32">
        <f>_xlfn.XLOOKUP(Snitch_Fashion_Sales_cleaned!$I105,Table3[Order_Date],Table3[Date_Key])</f>
        <v>70</v>
      </c>
    </row>
    <row r="106" spans="1:16" x14ac:dyDescent="0.3">
      <c r="A106" s="27">
        <v>1104</v>
      </c>
      <c r="B106" s="25" t="s">
        <v>153</v>
      </c>
      <c r="C106" s="25" t="s">
        <v>36</v>
      </c>
      <c r="D106" s="26" t="s">
        <v>55</v>
      </c>
      <c r="E106" s="27">
        <v>3</v>
      </c>
      <c r="F106" s="28">
        <v>2752.71</v>
      </c>
      <c r="G106" s="29">
        <v>0.51</v>
      </c>
      <c r="H106" s="28">
        <f t="shared" si="4"/>
        <v>8258.130000000001</v>
      </c>
      <c r="I106" s="30">
        <v>45454</v>
      </c>
      <c r="J106" s="26" t="s">
        <v>18</v>
      </c>
      <c r="K106" s="26" t="s">
        <v>23</v>
      </c>
      <c r="L106" s="31">
        <f t="shared" si="5"/>
        <v>4046.4837000000002</v>
      </c>
      <c r="M106" s="31">
        <v>1660.01</v>
      </c>
      <c r="N106" s="22">
        <f>_xlfn.XLOOKUP(Snitch_Fashion_Sales_cleaned!$J106,Table2[City],Table2[City_Key],"not found")</f>
        <v>2</v>
      </c>
      <c r="O106" s="21">
        <f>_xlfn.XLOOKUP(Snitch_Fashion_Sales_cleaned!$D106,Table4[Product_Name],Table4[Product_Key],"not found")</f>
        <v>12</v>
      </c>
      <c r="P106" s="25">
        <f>_xlfn.XLOOKUP(Snitch_Fashion_Sales_cleaned!$I106,Table3[Order_Date],Table3[Date_Key])</f>
        <v>71</v>
      </c>
    </row>
    <row r="107" spans="1:16" x14ac:dyDescent="0.3">
      <c r="A107" s="34">
        <v>1105</v>
      </c>
      <c r="B107" s="32" t="s">
        <v>154</v>
      </c>
      <c r="C107" s="32" t="s">
        <v>36</v>
      </c>
      <c r="D107" s="33" t="s">
        <v>55</v>
      </c>
      <c r="E107" s="34">
        <v>3</v>
      </c>
      <c r="F107" s="35">
        <v>2731.6350000000002</v>
      </c>
      <c r="G107" s="36">
        <v>0.51</v>
      </c>
      <c r="H107" s="35">
        <f t="shared" si="4"/>
        <v>8194.9050000000007</v>
      </c>
      <c r="I107" s="37">
        <v>45647</v>
      </c>
      <c r="J107" s="33" t="s">
        <v>18</v>
      </c>
      <c r="K107" s="33" t="s">
        <v>23</v>
      </c>
      <c r="L107" s="38">
        <f t="shared" si="5"/>
        <v>4015.5034500000002</v>
      </c>
      <c r="M107" s="38">
        <v>616.04</v>
      </c>
      <c r="N107" s="24">
        <f>_xlfn.XLOOKUP(Snitch_Fashion_Sales_cleaned!$J107,Table2[City],Table2[City_Key],"not found")</f>
        <v>2</v>
      </c>
      <c r="O107" s="23">
        <f>_xlfn.XLOOKUP(Snitch_Fashion_Sales_cleaned!$D107,Table4[Product_Name],Table4[Product_Key],"not found")</f>
        <v>12</v>
      </c>
      <c r="P107" s="32">
        <f>_xlfn.XLOOKUP(Snitch_Fashion_Sales_cleaned!$I107,Table3[Order_Date],Table3[Date_Key])</f>
        <v>5</v>
      </c>
    </row>
    <row r="108" spans="1:16" x14ac:dyDescent="0.3">
      <c r="A108" s="27">
        <v>1106</v>
      </c>
      <c r="B108" s="25" t="s">
        <v>155</v>
      </c>
      <c r="C108" s="25" t="s">
        <v>13</v>
      </c>
      <c r="D108" s="26" t="s">
        <v>34</v>
      </c>
      <c r="E108" s="27">
        <v>3</v>
      </c>
      <c r="F108" s="28">
        <v>3008.6549999999997</v>
      </c>
      <c r="G108" s="29">
        <v>0.51</v>
      </c>
      <c r="H108" s="28">
        <f t="shared" si="4"/>
        <v>9025.9650000000001</v>
      </c>
      <c r="I108" s="30">
        <v>45748</v>
      </c>
      <c r="J108" s="26" t="s">
        <v>43</v>
      </c>
      <c r="K108" s="26" t="s">
        <v>16</v>
      </c>
      <c r="L108" s="31">
        <f t="shared" si="5"/>
        <v>4422.7228500000001</v>
      </c>
      <c r="M108" s="31">
        <v>53.28</v>
      </c>
      <c r="N108" s="22">
        <f>_xlfn.XLOOKUP(Snitch_Fashion_Sales_cleaned!$J108,Table2[City],Table2[City_Key],"not found")</f>
        <v>6</v>
      </c>
      <c r="O108" s="21">
        <f>_xlfn.XLOOKUP(Snitch_Fashion_Sales_cleaned!$D108,Table4[Product_Name],Table4[Product_Key],"not found")</f>
        <v>6</v>
      </c>
      <c r="P108" s="25">
        <f>_xlfn.XLOOKUP(Snitch_Fashion_Sales_cleaned!$I108,Table3[Order_Date],Table3[Date_Key])</f>
        <v>72</v>
      </c>
    </row>
    <row r="109" spans="1:16" x14ac:dyDescent="0.3">
      <c r="A109" s="34">
        <v>1107</v>
      </c>
      <c r="B109" s="32" t="s">
        <v>156</v>
      </c>
      <c r="C109" s="32" t="s">
        <v>13</v>
      </c>
      <c r="D109" s="33" t="s">
        <v>46</v>
      </c>
      <c r="E109" s="34">
        <v>4</v>
      </c>
      <c r="F109" s="35">
        <v>4948</v>
      </c>
      <c r="G109" s="36">
        <v>0.51</v>
      </c>
      <c r="H109" s="35">
        <f t="shared" si="4"/>
        <v>19792</v>
      </c>
      <c r="I109" s="37">
        <v>45647</v>
      </c>
      <c r="J109" s="33" t="s">
        <v>15</v>
      </c>
      <c r="K109" s="33" t="s">
        <v>16</v>
      </c>
      <c r="L109" s="38">
        <f t="shared" si="5"/>
        <v>9698.08</v>
      </c>
      <c r="M109" s="38">
        <v>1064.8599999999999</v>
      </c>
      <c r="N109" s="24">
        <f>_xlfn.XLOOKUP(Snitch_Fashion_Sales_cleaned!$J109,Table2[City],Table2[City_Key],"not found")</f>
        <v>1</v>
      </c>
      <c r="O109" s="23">
        <f>_xlfn.XLOOKUP(Snitch_Fashion_Sales_cleaned!$D109,Table4[Product_Name],Table4[Product_Key],"not found")</f>
        <v>10</v>
      </c>
      <c r="P109" s="32">
        <f>_xlfn.XLOOKUP(Snitch_Fashion_Sales_cleaned!$I109,Table3[Order_Date],Table3[Date_Key])</f>
        <v>5</v>
      </c>
    </row>
    <row r="110" spans="1:16" x14ac:dyDescent="0.3">
      <c r="A110" s="27">
        <v>1036</v>
      </c>
      <c r="B110" s="25" t="s">
        <v>157</v>
      </c>
      <c r="C110" s="25" t="s">
        <v>13</v>
      </c>
      <c r="D110" s="26" t="s">
        <v>46</v>
      </c>
      <c r="E110" s="27">
        <v>1</v>
      </c>
      <c r="F110" s="28">
        <v>4601.4399999999996</v>
      </c>
      <c r="G110" s="29">
        <v>0.51</v>
      </c>
      <c r="H110" s="28">
        <f t="shared" si="4"/>
        <v>4601.4399999999996</v>
      </c>
      <c r="I110" s="30">
        <v>45642</v>
      </c>
      <c r="J110" s="26" t="s">
        <v>22</v>
      </c>
      <c r="K110" s="26" t="s">
        <v>16</v>
      </c>
      <c r="L110" s="31">
        <f t="shared" si="5"/>
        <v>2254.7055999999998</v>
      </c>
      <c r="M110" s="31">
        <v>2145.66</v>
      </c>
      <c r="N110" s="22">
        <f>_xlfn.XLOOKUP(Snitch_Fashion_Sales_cleaned!$J110,Table2[City],Table2[City_Key],"not found")</f>
        <v>3</v>
      </c>
      <c r="O110" s="21">
        <f>_xlfn.XLOOKUP(Snitch_Fashion_Sales_cleaned!$D110,Table4[Product_Name],Table4[Product_Key],"not found")</f>
        <v>10</v>
      </c>
      <c r="P110" s="25">
        <f>_xlfn.XLOOKUP(Snitch_Fashion_Sales_cleaned!$I110,Table3[Order_Date],Table3[Date_Key])</f>
        <v>73</v>
      </c>
    </row>
    <row r="111" spans="1:16" x14ac:dyDescent="0.3">
      <c r="A111" s="34">
        <v>1109</v>
      </c>
      <c r="B111" s="32" t="s">
        <v>158</v>
      </c>
      <c r="C111" s="32" t="s">
        <v>13</v>
      </c>
      <c r="D111" s="33" t="s">
        <v>98</v>
      </c>
      <c r="E111" s="34">
        <v>5</v>
      </c>
      <c r="F111" s="35">
        <v>2750.33</v>
      </c>
      <c r="G111" s="36">
        <v>0.51</v>
      </c>
      <c r="H111" s="35">
        <f t="shared" si="4"/>
        <v>13751.65</v>
      </c>
      <c r="I111" s="37">
        <v>45779</v>
      </c>
      <c r="J111" s="33" t="s">
        <v>52</v>
      </c>
      <c r="K111" s="33" t="s">
        <v>16</v>
      </c>
      <c r="L111" s="38">
        <f t="shared" si="5"/>
        <v>6738.3085000000001</v>
      </c>
      <c r="M111" s="38">
        <v>2133.58</v>
      </c>
      <c r="N111" s="24">
        <f>_xlfn.XLOOKUP(Snitch_Fashion_Sales_cleaned!$J111,Table2[City],Table2[City_Key],"not found")</f>
        <v>5</v>
      </c>
      <c r="O111" s="23">
        <f>_xlfn.XLOOKUP(Snitch_Fashion_Sales_cleaned!$D111,Table4[Product_Name],Table4[Product_Key],"not found")</f>
        <v>21</v>
      </c>
      <c r="P111" s="32">
        <f>_xlfn.XLOOKUP(Snitch_Fashion_Sales_cleaned!$I111,Table3[Order_Date],Table3[Date_Key])</f>
        <v>74</v>
      </c>
    </row>
    <row r="112" spans="1:16" x14ac:dyDescent="0.3">
      <c r="A112" s="27">
        <v>1110</v>
      </c>
      <c r="B112" s="25" t="s">
        <v>159</v>
      </c>
      <c r="C112" s="25" t="s">
        <v>13</v>
      </c>
      <c r="D112" s="26" t="s">
        <v>14</v>
      </c>
      <c r="E112" s="27">
        <v>4</v>
      </c>
      <c r="F112" s="28">
        <v>2366.6149999999998</v>
      </c>
      <c r="G112" s="29">
        <v>0.51</v>
      </c>
      <c r="H112" s="28">
        <f t="shared" si="4"/>
        <v>9466.4599999999991</v>
      </c>
      <c r="I112" s="30">
        <v>45834</v>
      </c>
      <c r="J112" s="26" t="s">
        <v>22</v>
      </c>
      <c r="K112" s="26" t="s">
        <v>16</v>
      </c>
      <c r="L112" s="31">
        <f t="shared" si="5"/>
        <v>4638.5653999999995</v>
      </c>
      <c r="M112" s="31">
        <v>2155.6799999999998</v>
      </c>
      <c r="N112" s="22">
        <f>_xlfn.XLOOKUP(Snitch_Fashion_Sales_cleaned!$J112,Table2[City],Table2[City_Key],"not found")</f>
        <v>3</v>
      </c>
      <c r="O112" s="21">
        <f>_xlfn.XLOOKUP(Snitch_Fashion_Sales_cleaned!$D112,Table4[Product_Name],Table4[Product_Key],"not found")</f>
        <v>1</v>
      </c>
      <c r="P112" s="25">
        <f>_xlfn.XLOOKUP(Snitch_Fashion_Sales_cleaned!$I112,Table3[Order_Date],Table3[Date_Key])</f>
        <v>75</v>
      </c>
    </row>
    <row r="113" spans="1:16" x14ac:dyDescent="0.3">
      <c r="A113" s="34">
        <v>1111</v>
      </c>
      <c r="B113" s="32" t="s">
        <v>160</v>
      </c>
      <c r="C113" s="32" t="s">
        <v>31</v>
      </c>
      <c r="D113" s="33" t="s">
        <v>68</v>
      </c>
      <c r="E113" s="34">
        <v>4</v>
      </c>
      <c r="F113" s="35">
        <v>2765.79</v>
      </c>
      <c r="G113" s="36">
        <v>0.51</v>
      </c>
      <c r="H113" s="35">
        <f t="shared" si="4"/>
        <v>11063.16</v>
      </c>
      <c r="I113" s="37">
        <v>45647</v>
      </c>
      <c r="J113" s="33" t="s">
        <v>18</v>
      </c>
      <c r="K113" s="33" t="s">
        <v>16</v>
      </c>
      <c r="L113" s="38">
        <f t="shared" si="5"/>
        <v>5420.9484000000002</v>
      </c>
      <c r="M113" s="38">
        <v>748.93</v>
      </c>
      <c r="N113" s="24">
        <f>_xlfn.XLOOKUP(Snitch_Fashion_Sales_cleaned!$J113,Table2[City],Table2[City_Key],"not found")</f>
        <v>2</v>
      </c>
      <c r="O113" s="23">
        <f>_xlfn.XLOOKUP(Snitch_Fashion_Sales_cleaned!$D113,Table4[Product_Name],Table4[Product_Key],"not found")</f>
        <v>15</v>
      </c>
      <c r="P113" s="32">
        <f>_xlfn.XLOOKUP(Snitch_Fashion_Sales_cleaned!$I113,Table3[Order_Date],Table3[Date_Key])</f>
        <v>5</v>
      </c>
    </row>
    <row r="114" spans="1:16" x14ac:dyDescent="0.3">
      <c r="A114" s="27">
        <v>1112</v>
      </c>
      <c r="B114" s="25" t="s">
        <v>161</v>
      </c>
      <c r="C114" s="25" t="s">
        <v>36</v>
      </c>
      <c r="D114" s="26" t="s">
        <v>37</v>
      </c>
      <c r="E114" s="27">
        <v>4</v>
      </c>
      <c r="F114" s="28">
        <v>1027.56</v>
      </c>
      <c r="G114" s="29">
        <v>0.51</v>
      </c>
      <c r="H114" s="28">
        <f t="shared" si="4"/>
        <v>4110.24</v>
      </c>
      <c r="I114" s="30">
        <v>45647</v>
      </c>
      <c r="J114" s="26" t="s">
        <v>22</v>
      </c>
      <c r="K114" s="26" t="s">
        <v>23</v>
      </c>
      <c r="L114" s="31">
        <f t="shared" si="5"/>
        <v>2014.0175999999999</v>
      </c>
      <c r="M114" s="31">
        <v>1160.17</v>
      </c>
      <c r="N114" s="22">
        <f>_xlfn.XLOOKUP(Snitch_Fashion_Sales_cleaned!$J114,Table2[City],Table2[City_Key],"not found")</f>
        <v>3</v>
      </c>
      <c r="O114" s="21">
        <f>_xlfn.XLOOKUP(Snitch_Fashion_Sales_cleaned!$D114,Table4[Product_Name],Table4[Product_Key],"not found")</f>
        <v>7</v>
      </c>
      <c r="P114" s="25">
        <f>_xlfn.XLOOKUP(Snitch_Fashion_Sales_cleaned!$I114,Table3[Order_Date],Table3[Date_Key])</f>
        <v>5</v>
      </c>
    </row>
    <row r="115" spans="1:16" x14ac:dyDescent="0.3">
      <c r="A115" s="34">
        <v>1113</v>
      </c>
      <c r="B115" s="32" t="s">
        <v>162</v>
      </c>
      <c r="C115" s="32" t="s">
        <v>20</v>
      </c>
      <c r="D115" s="33" t="s">
        <v>21</v>
      </c>
      <c r="E115" s="34">
        <v>4</v>
      </c>
      <c r="F115" s="35">
        <v>3864.5</v>
      </c>
      <c r="G115" s="36">
        <v>0.51</v>
      </c>
      <c r="H115" s="35">
        <f t="shared" si="4"/>
        <v>15458</v>
      </c>
      <c r="I115" s="37">
        <v>45647</v>
      </c>
      <c r="J115" s="33" t="s">
        <v>18</v>
      </c>
      <c r="K115" s="33" t="s">
        <v>16</v>
      </c>
      <c r="L115" s="38">
        <f t="shared" si="5"/>
        <v>7574.42</v>
      </c>
      <c r="M115" s="38">
        <v>-763.23</v>
      </c>
      <c r="N115" s="24">
        <f>_xlfn.XLOOKUP(Snitch_Fashion_Sales_cleaned!$J115,Table2[City],Table2[City_Key],"not found")</f>
        <v>2</v>
      </c>
      <c r="O115" s="23">
        <f>_xlfn.XLOOKUP(Snitch_Fashion_Sales_cleaned!$D115,Table4[Product_Name],Table4[Product_Key],"not found")</f>
        <v>2</v>
      </c>
      <c r="P115" s="32">
        <f>_xlfn.XLOOKUP(Snitch_Fashion_Sales_cleaned!$I115,Table3[Order_Date],Table3[Date_Key])</f>
        <v>5</v>
      </c>
    </row>
    <row r="116" spans="1:16" x14ac:dyDescent="0.3">
      <c r="A116" s="27">
        <v>1114</v>
      </c>
      <c r="B116" s="25" t="s">
        <v>163</v>
      </c>
      <c r="C116" s="25" t="s">
        <v>36</v>
      </c>
      <c r="D116" s="26" t="s">
        <v>87</v>
      </c>
      <c r="E116" s="27">
        <v>6</v>
      </c>
      <c r="F116" s="28">
        <v>568.61</v>
      </c>
      <c r="G116" s="29">
        <v>0.2</v>
      </c>
      <c r="H116" s="28">
        <f t="shared" si="4"/>
        <v>3411.66</v>
      </c>
      <c r="I116" s="30">
        <v>45706</v>
      </c>
      <c r="J116" s="26" t="s">
        <v>15</v>
      </c>
      <c r="K116" s="26" t="s">
        <v>16</v>
      </c>
      <c r="L116" s="31">
        <f t="shared" si="5"/>
        <v>2729.328</v>
      </c>
      <c r="M116" s="31">
        <v>-689.16</v>
      </c>
      <c r="N116" s="22">
        <f>_xlfn.XLOOKUP(Snitch_Fashion_Sales_cleaned!$J116,Table2[City],Table2[City_Key],"not found")</f>
        <v>1</v>
      </c>
      <c r="O116" s="21">
        <f>_xlfn.XLOOKUP(Snitch_Fashion_Sales_cleaned!$D116,Table4[Product_Name],Table4[Product_Key],"not found")</f>
        <v>20</v>
      </c>
      <c r="P116" s="25">
        <f>_xlfn.XLOOKUP(Snitch_Fashion_Sales_cleaned!$I116,Table3[Order_Date],Table3[Date_Key])</f>
        <v>76</v>
      </c>
    </row>
    <row r="117" spans="1:16" x14ac:dyDescent="0.3">
      <c r="A117" s="34">
        <v>1115</v>
      </c>
      <c r="B117" s="32" t="s">
        <v>164</v>
      </c>
      <c r="C117" s="32" t="s">
        <v>28</v>
      </c>
      <c r="D117" s="33" t="s">
        <v>29</v>
      </c>
      <c r="E117" s="34">
        <v>3</v>
      </c>
      <c r="F117" s="35">
        <v>2515.415</v>
      </c>
      <c r="G117" s="36">
        <v>0.51</v>
      </c>
      <c r="H117" s="35">
        <f t="shared" si="4"/>
        <v>7546.2449999999999</v>
      </c>
      <c r="I117" s="37">
        <v>45826</v>
      </c>
      <c r="J117" s="33" t="s">
        <v>18</v>
      </c>
      <c r="K117" s="33" t="s">
        <v>23</v>
      </c>
      <c r="L117" s="38">
        <f t="shared" si="5"/>
        <v>3697.66005</v>
      </c>
      <c r="M117" s="38">
        <v>-624.26</v>
      </c>
      <c r="N117" s="24">
        <f>_xlfn.XLOOKUP(Snitch_Fashion_Sales_cleaned!$J117,Table2[City],Table2[City_Key],"not found")</f>
        <v>2</v>
      </c>
      <c r="O117" s="23">
        <f>_xlfn.XLOOKUP(Snitch_Fashion_Sales_cleaned!$D117,Table4[Product_Name],Table4[Product_Key],"not found")</f>
        <v>4</v>
      </c>
      <c r="P117" s="32">
        <f>_xlfn.XLOOKUP(Snitch_Fashion_Sales_cleaned!$I117,Table3[Order_Date],Table3[Date_Key])</f>
        <v>4</v>
      </c>
    </row>
    <row r="118" spans="1:16" x14ac:dyDescent="0.3">
      <c r="A118" s="27">
        <v>1116</v>
      </c>
      <c r="B118" s="25" t="s">
        <v>165</v>
      </c>
      <c r="C118" s="25" t="s">
        <v>20</v>
      </c>
      <c r="D118" s="26" t="s">
        <v>76</v>
      </c>
      <c r="E118" s="27">
        <v>1</v>
      </c>
      <c r="F118" s="28">
        <v>2229.4899999999998</v>
      </c>
      <c r="G118" s="29">
        <v>0.51</v>
      </c>
      <c r="H118" s="28">
        <f t="shared" si="4"/>
        <v>2229.4899999999998</v>
      </c>
      <c r="I118" s="30">
        <v>45718</v>
      </c>
      <c r="J118" s="26" t="s">
        <v>15</v>
      </c>
      <c r="K118" s="26" t="s">
        <v>16</v>
      </c>
      <c r="L118" s="31">
        <f t="shared" si="5"/>
        <v>1092.4500999999998</v>
      </c>
      <c r="M118" s="31">
        <v>273.11252499999995</v>
      </c>
      <c r="N118" s="22">
        <f>_xlfn.XLOOKUP(Snitch_Fashion_Sales_cleaned!$J118,Table2[City],Table2[City_Key],"not found")</f>
        <v>1</v>
      </c>
      <c r="O118" s="21">
        <f>_xlfn.XLOOKUP(Snitch_Fashion_Sales_cleaned!$D118,Table4[Product_Name],Table4[Product_Key],"not found")</f>
        <v>16</v>
      </c>
      <c r="P118" s="25">
        <f>_xlfn.XLOOKUP(Snitch_Fashion_Sales_cleaned!$I118,Table3[Order_Date],Table3[Date_Key])</f>
        <v>77</v>
      </c>
    </row>
    <row r="119" spans="1:16" x14ac:dyDescent="0.3">
      <c r="A119" s="34">
        <v>1117</v>
      </c>
      <c r="B119" s="32" t="s">
        <v>166</v>
      </c>
      <c r="C119" s="32" t="s">
        <v>20</v>
      </c>
      <c r="D119" s="33" t="s">
        <v>21</v>
      </c>
      <c r="E119" s="34">
        <v>4</v>
      </c>
      <c r="F119" s="35">
        <v>3567.55</v>
      </c>
      <c r="G119" s="36">
        <v>0.51</v>
      </c>
      <c r="H119" s="35">
        <f t="shared" si="4"/>
        <v>14270.2</v>
      </c>
      <c r="I119" s="37">
        <v>45647</v>
      </c>
      <c r="J119" s="33" t="s">
        <v>2540</v>
      </c>
      <c r="K119" s="33" t="s">
        <v>23</v>
      </c>
      <c r="L119" s="38">
        <f t="shared" si="5"/>
        <v>6992.3980000000001</v>
      </c>
      <c r="M119" s="38">
        <v>-455.6</v>
      </c>
      <c r="N119" s="24">
        <f>_xlfn.XLOOKUP(Snitch_Fashion_Sales_cleaned!$J119,Table2[City],Table2[City_Key],"not found")</f>
        <v>4</v>
      </c>
      <c r="O119" s="23">
        <f>_xlfn.XLOOKUP(Snitch_Fashion_Sales_cleaned!$D119,Table4[Product_Name],Table4[Product_Key],"not found")</f>
        <v>2</v>
      </c>
      <c r="P119" s="32">
        <f>_xlfn.XLOOKUP(Snitch_Fashion_Sales_cleaned!$I119,Table3[Order_Date],Table3[Date_Key])</f>
        <v>5</v>
      </c>
    </row>
    <row r="120" spans="1:16" x14ac:dyDescent="0.3">
      <c r="A120" s="27">
        <v>1118</v>
      </c>
      <c r="B120" s="25" t="s">
        <v>167</v>
      </c>
      <c r="C120" s="25" t="s">
        <v>28</v>
      </c>
      <c r="D120" s="26" t="s">
        <v>29</v>
      </c>
      <c r="E120" s="27">
        <v>3</v>
      </c>
      <c r="F120" s="28">
        <v>2515.415</v>
      </c>
      <c r="G120" s="29">
        <v>0.51</v>
      </c>
      <c r="H120" s="28">
        <f t="shared" si="4"/>
        <v>7546.2449999999999</v>
      </c>
      <c r="I120" s="30">
        <v>45778</v>
      </c>
      <c r="J120" s="26" t="s">
        <v>2540</v>
      </c>
      <c r="K120" s="26" t="s">
        <v>16</v>
      </c>
      <c r="L120" s="31">
        <f t="shared" si="5"/>
        <v>3697.66005</v>
      </c>
      <c r="M120" s="31">
        <v>1039.53</v>
      </c>
      <c r="N120" s="22">
        <f>_xlfn.XLOOKUP(Snitch_Fashion_Sales_cleaned!$J120,Table2[City],Table2[City_Key],"not found")</f>
        <v>4</v>
      </c>
      <c r="O120" s="21">
        <f>_xlfn.XLOOKUP(Snitch_Fashion_Sales_cleaned!$D120,Table4[Product_Name],Table4[Product_Key],"not found")</f>
        <v>4</v>
      </c>
      <c r="P120" s="25">
        <f>_xlfn.XLOOKUP(Snitch_Fashion_Sales_cleaned!$I120,Table3[Order_Date],Table3[Date_Key])</f>
        <v>78</v>
      </c>
    </row>
    <row r="121" spans="1:16" x14ac:dyDescent="0.3">
      <c r="A121" s="34">
        <v>1119</v>
      </c>
      <c r="B121" s="32" t="s">
        <v>168</v>
      </c>
      <c r="C121" s="32" t="s">
        <v>13</v>
      </c>
      <c r="D121" s="33" t="s">
        <v>98</v>
      </c>
      <c r="E121" s="34">
        <v>5</v>
      </c>
      <c r="F121" s="35">
        <v>2750.33</v>
      </c>
      <c r="G121" s="36">
        <v>0.51</v>
      </c>
      <c r="H121" s="35">
        <f t="shared" si="4"/>
        <v>13751.65</v>
      </c>
      <c r="I121" s="37">
        <v>45791</v>
      </c>
      <c r="J121" s="33" t="s">
        <v>22</v>
      </c>
      <c r="K121" s="33" t="s">
        <v>16</v>
      </c>
      <c r="L121" s="38">
        <f t="shared" si="5"/>
        <v>6738.3085000000001</v>
      </c>
      <c r="M121" s="38">
        <v>142.69</v>
      </c>
      <c r="N121" s="24">
        <f>_xlfn.XLOOKUP(Snitch_Fashion_Sales_cleaned!$J121,Table2[City],Table2[City_Key],"not found")</f>
        <v>3</v>
      </c>
      <c r="O121" s="23">
        <f>_xlfn.XLOOKUP(Snitch_Fashion_Sales_cleaned!$D121,Table4[Product_Name],Table4[Product_Key],"not found")</f>
        <v>21</v>
      </c>
      <c r="P121" s="32">
        <f>_xlfn.XLOOKUP(Snitch_Fashion_Sales_cleaned!$I121,Table3[Order_Date],Table3[Date_Key])</f>
        <v>79</v>
      </c>
    </row>
    <row r="122" spans="1:16" x14ac:dyDescent="0.3">
      <c r="A122" s="27">
        <v>1120</v>
      </c>
      <c r="B122" s="25" t="s">
        <v>169</v>
      </c>
      <c r="C122" s="25" t="s">
        <v>20</v>
      </c>
      <c r="D122" s="26" t="s">
        <v>21</v>
      </c>
      <c r="E122" s="27">
        <v>4</v>
      </c>
      <c r="F122" s="28">
        <v>4709</v>
      </c>
      <c r="G122" s="29">
        <v>0.51</v>
      </c>
      <c r="H122" s="28">
        <f t="shared" si="4"/>
        <v>18836</v>
      </c>
      <c r="I122" s="30">
        <v>45782</v>
      </c>
      <c r="J122" s="26" t="s">
        <v>18</v>
      </c>
      <c r="K122" s="26" t="s">
        <v>23</v>
      </c>
      <c r="L122" s="31">
        <f t="shared" si="5"/>
        <v>9229.64</v>
      </c>
      <c r="M122" s="31">
        <v>828.98</v>
      </c>
      <c r="N122" s="22">
        <f>_xlfn.XLOOKUP(Snitch_Fashion_Sales_cleaned!$J122,Table2[City],Table2[City_Key],"not found")</f>
        <v>2</v>
      </c>
      <c r="O122" s="21">
        <f>_xlfn.XLOOKUP(Snitch_Fashion_Sales_cleaned!$D122,Table4[Product_Name],Table4[Product_Key],"not found")</f>
        <v>2</v>
      </c>
      <c r="P122" s="25">
        <f>_xlfn.XLOOKUP(Snitch_Fashion_Sales_cleaned!$I122,Table3[Order_Date],Table3[Date_Key])</f>
        <v>80</v>
      </c>
    </row>
    <row r="123" spans="1:16" x14ac:dyDescent="0.3">
      <c r="A123" s="34">
        <v>1121</v>
      </c>
      <c r="B123" s="32" t="s">
        <v>170</v>
      </c>
      <c r="C123" s="32" t="s">
        <v>25</v>
      </c>
      <c r="D123" s="33" t="s">
        <v>82</v>
      </c>
      <c r="E123" s="34">
        <v>3</v>
      </c>
      <c r="F123" s="35">
        <v>4109.6000000000004</v>
      </c>
      <c r="G123" s="36">
        <v>0.42</v>
      </c>
      <c r="H123" s="35">
        <f t="shared" si="4"/>
        <v>12328.800000000001</v>
      </c>
      <c r="I123" s="37">
        <v>45647</v>
      </c>
      <c r="J123" s="33" t="s">
        <v>43</v>
      </c>
      <c r="K123" s="33" t="s">
        <v>16</v>
      </c>
      <c r="L123" s="38">
        <f t="shared" si="5"/>
        <v>7150.7040000000015</v>
      </c>
      <c r="M123" s="38">
        <v>1422.36</v>
      </c>
      <c r="N123" s="24">
        <f>_xlfn.XLOOKUP(Snitch_Fashion_Sales_cleaned!$J123,Table2[City],Table2[City_Key],"not found")</f>
        <v>6</v>
      </c>
      <c r="O123" s="23">
        <f>_xlfn.XLOOKUP(Snitch_Fashion_Sales_cleaned!$D123,Table4[Product_Name],Table4[Product_Key],"not found")</f>
        <v>18</v>
      </c>
      <c r="P123" s="32">
        <f>_xlfn.XLOOKUP(Snitch_Fashion_Sales_cleaned!$I123,Table3[Order_Date],Table3[Date_Key])</f>
        <v>5</v>
      </c>
    </row>
    <row r="124" spans="1:16" x14ac:dyDescent="0.3">
      <c r="A124" s="27">
        <v>1122</v>
      </c>
      <c r="B124" s="25" t="s">
        <v>171</v>
      </c>
      <c r="C124" s="25" t="s">
        <v>20</v>
      </c>
      <c r="D124" s="26" t="s">
        <v>76</v>
      </c>
      <c r="E124" s="27">
        <v>3</v>
      </c>
      <c r="F124" s="28">
        <v>4745.03</v>
      </c>
      <c r="G124" s="29">
        <v>0.4</v>
      </c>
      <c r="H124" s="28">
        <f t="shared" si="4"/>
        <v>14235.09</v>
      </c>
      <c r="I124" s="30">
        <v>45647</v>
      </c>
      <c r="J124" s="26" t="s">
        <v>22</v>
      </c>
      <c r="K124" s="26" t="s">
        <v>16</v>
      </c>
      <c r="L124" s="31">
        <f t="shared" si="5"/>
        <v>8541.0540000000001</v>
      </c>
      <c r="M124" s="31">
        <v>2658.02</v>
      </c>
      <c r="N124" s="22">
        <f>_xlfn.XLOOKUP(Snitch_Fashion_Sales_cleaned!$J124,Table2[City],Table2[City_Key],"not found")</f>
        <v>3</v>
      </c>
      <c r="O124" s="21">
        <f>_xlfn.XLOOKUP(Snitch_Fashion_Sales_cleaned!$D124,Table4[Product_Name],Table4[Product_Key],"not found")</f>
        <v>16</v>
      </c>
      <c r="P124" s="25">
        <f>_xlfn.XLOOKUP(Snitch_Fashion_Sales_cleaned!$I124,Table3[Order_Date],Table3[Date_Key])</f>
        <v>5</v>
      </c>
    </row>
    <row r="125" spans="1:16" x14ac:dyDescent="0.3">
      <c r="A125" s="34">
        <v>1123</v>
      </c>
      <c r="B125" s="32" t="s">
        <v>172</v>
      </c>
      <c r="C125" s="32" t="s">
        <v>28</v>
      </c>
      <c r="D125" s="33" t="s">
        <v>137</v>
      </c>
      <c r="E125" s="34">
        <v>5</v>
      </c>
      <c r="F125" s="35">
        <v>3978.76</v>
      </c>
      <c r="G125" s="36">
        <v>0.51</v>
      </c>
      <c r="H125" s="35">
        <f t="shared" si="4"/>
        <v>19893.800000000003</v>
      </c>
      <c r="I125" s="37">
        <v>45393</v>
      </c>
      <c r="J125" s="33" t="s">
        <v>18</v>
      </c>
      <c r="K125" s="33" t="s">
        <v>23</v>
      </c>
      <c r="L125" s="38">
        <f t="shared" si="5"/>
        <v>9747.9620000000014</v>
      </c>
      <c r="M125" s="38">
        <v>1494.78</v>
      </c>
      <c r="N125" s="24">
        <f>_xlfn.XLOOKUP(Snitch_Fashion_Sales_cleaned!$J125,Table2[City],Table2[City_Key],"not found")</f>
        <v>2</v>
      </c>
      <c r="O125" s="23">
        <f>_xlfn.XLOOKUP(Snitch_Fashion_Sales_cleaned!$D125,Table4[Product_Name],Table4[Product_Key],"not found")</f>
        <v>24</v>
      </c>
      <c r="P125" s="32">
        <f>_xlfn.XLOOKUP(Snitch_Fashion_Sales_cleaned!$I125,Table3[Order_Date],Table3[Date_Key])</f>
        <v>81</v>
      </c>
    </row>
    <row r="126" spans="1:16" x14ac:dyDescent="0.3">
      <c r="A126" s="27">
        <v>1002</v>
      </c>
      <c r="B126" s="25" t="s">
        <v>173</v>
      </c>
      <c r="C126" s="25" t="s">
        <v>20</v>
      </c>
      <c r="D126" s="26" t="s">
        <v>21</v>
      </c>
      <c r="E126" s="27">
        <v>1</v>
      </c>
      <c r="F126" s="28">
        <v>2579.8000000000002</v>
      </c>
      <c r="G126" s="29">
        <v>0.51</v>
      </c>
      <c r="H126" s="28">
        <f t="shared" si="4"/>
        <v>2579.8000000000002</v>
      </c>
      <c r="I126" s="30">
        <v>45657</v>
      </c>
      <c r="J126" s="26" t="s">
        <v>18</v>
      </c>
      <c r="K126" s="26" t="s">
        <v>23</v>
      </c>
      <c r="L126" s="31">
        <f t="shared" si="5"/>
        <v>1264.1020000000001</v>
      </c>
      <c r="M126" s="31">
        <v>316.02550000000002</v>
      </c>
      <c r="N126" s="22">
        <f>_xlfn.XLOOKUP(Snitch_Fashion_Sales_cleaned!$J126,Table2[City],Table2[City_Key],"not found")</f>
        <v>2</v>
      </c>
      <c r="O126" s="21">
        <f>_xlfn.XLOOKUP(Snitch_Fashion_Sales_cleaned!$D126,Table4[Product_Name],Table4[Product_Key],"not found")</f>
        <v>2</v>
      </c>
      <c r="P126" s="25">
        <f>_xlfn.XLOOKUP(Snitch_Fashion_Sales_cleaned!$I126,Table3[Order_Date],Table3[Date_Key])</f>
        <v>82</v>
      </c>
    </row>
    <row r="127" spans="1:16" x14ac:dyDescent="0.3">
      <c r="A127" s="34">
        <v>1125</v>
      </c>
      <c r="B127" s="32" t="s">
        <v>174</v>
      </c>
      <c r="C127" s="32" t="s">
        <v>25</v>
      </c>
      <c r="D127" s="33" t="s">
        <v>82</v>
      </c>
      <c r="E127" s="34">
        <v>3</v>
      </c>
      <c r="F127" s="35">
        <v>2385.5749999999998</v>
      </c>
      <c r="G127" s="36">
        <v>0.51</v>
      </c>
      <c r="H127" s="35">
        <f t="shared" si="4"/>
        <v>7156.7249999999995</v>
      </c>
      <c r="I127" s="37">
        <v>45647</v>
      </c>
      <c r="J127" s="33" t="s">
        <v>15</v>
      </c>
      <c r="K127" s="33" t="s">
        <v>23</v>
      </c>
      <c r="L127" s="38">
        <f t="shared" si="5"/>
        <v>3506.7952499999997</v>
      </c>
      <c r="M127" s="38">
        <v>-754.58</v>
      </c>
      <c r="N127" s="24">
        <f>_xlfn.XLOOKUP(Snitch_Fashion_Sales_cleaned!$J127,Table2[City],Table2[City_Key],"not found")</f>
        <v>1</v>
      </c>
      <c r="O127" s="23">
        <f>_xlfn.XLOOKUP(Snitch_Fashion_Sales_cleaned!$D127,Table4[Product_Name],Table4[Product_Key],"not found")</f>
        <v>18</v>
      </c>
      <c r="P127" s="32">
        <f>_xlfn.XLOOKUP(Snitch_Fashion_Sales_cleaned!$I127,Table3[Order_Date],Table3[Date_Key])</f>
        <v>5</v>
      </c>
    </row>
    <row r="128" spans="1:16" x14ac:dyDescent="0.3">
      <c r="A128" s="27">
        <v>1126</v>
      </c>
      <c r="B128" s="25" t="s">
        <v>175</v>
      </c>
      <c r="C128" s="25" t="s">
        <v>13</v>
      </c>
      <c r="D128" s="26" t="s">
        <v>34</v>
      </c>
      <c r="E128" s="27">
        <v>2</v>
      </c>
      <c r="F128" s="28">
        <v>3008.6549999999997</v>
      </c>
      <c r="G128" s="29">
        <v>0.59</v>
      </c>
      <c r="H128" s="28">
        <f t="shared" si="4"/>
        <v>6017.3099999999995</v>
      </c>
      <c r="I128" s="30">
        <v>45647</v>
      </c>
      <c r="J128" s="26" t="s">
        <v>43</v>
      </c>
      <c r="K128" s="26" t="s">
        <v>16</v>
      </c>
      <c r="L128" s="31">
        <f t="shared" si="5"/>
        <v>2467.0971</v>
      </c>
      <c r="M128" s="31">
        <v>1820.2</v>
      </c>
      <c r="N128" s="22">
        <f>_xlfn.XLOOKUP(Snitch_Fashion_Sales_cleaned!$J128,Table2[City],Table2[City_Key],"not found")</f>
        <v>6</v>
      </c>
      <c r="O128" s="21">
        <f>_xlfn.XLOOKUP(Snitch_Fashion_Sales_cleaned!$D128,Table4[Product_Name],Table4[Product_Key],"not found")</f>
        <v>6</v>
      </c>
      <c r="P128" s="25">
        <f>_xlfn.XLOOKUP(Snitch_Fashion_Sales_cleaned!$I128,Table3[Order_Date],Table3[Date_Key])</f>
        <v>5</v>
      </c>
    </row>
    <row r="129" spans="1:16" x14ac:dyDescent="0.3">
      <c r="A129" s="34">
        <v>1127</v>
      </c>
      <c r="B129" s="32" t="s">
        <v>176</v>
      </c>
      <c r="C129" s="32" t="s">
        <v>36</v>
      </c>
      <c r="D129" s="33" t="s">
        <v>87</v>
      </c>
      <c r="E129" s="34">
        <v>3</v>
      </c>
      <c r="F129" s="35">
        <v>4843.4399999999996</v>
      </c>
      <c r="G129" s="36">
        <v>7.0000000000000007E-2</v>
      </c>
      <c r="H129" s="35">
        <f t="shared" si="4"/>
        <v>14530.32</v>
      </c>
      <c r="I129" s="37">
        <v>45511</v>
      </c>
      <c r="J129" s="33" t="s">
        <v>18</v>
      </c>
      <c r="K129" s="33" t="s">
        <v>23</v>
      </c>
      <c r="L129" s="38">
        <f t="shared" si="5"/>
        <v>13513.1976</v>
      </c>
      <c r="M129" s="38">
        <v>2881.91</v>
      </c>
      <c r="N129" s="24">
        <f>_xlfn.XLOOKUP(Snitch_Fashion_Sales_cleaned!$J129,Table2[City],Table2[City_Key],"not found")</f>
        <v>2</v>
      </c>
      <c r="O129" s="23">
        <f>_xlfn.XLOOKUP(Snitch_Fashion_Sales_cleaned!$D129,Table4[Product_Name],Table4[Product_Key],"not found")</f>
        <v>20</v>
      </c>
      <c r="P129" s="32">
        <f>_xlfn.XLOOKUP(Snitch_Fashion_Sales_cleaned!$I129,Table3[Order_Date],Table3[Date_Key])</f>
        <v>83</v>
      </c>
    </row>
    <row r="130" spans="1:16" x14ac:dyDescent="0.3">
      <c r="A130" s="27">
        <v>1128</v>
      </c>
      <c r="B130" s="25" t="s">
        <v>177</v>
      </c>
      <c r="C130" s="25" t="s">
        <v>31</v>
      </c>
      <c r="D130" s="26" t="s">
        <v>41</v>
      </c>
      <c r="E130" s="27">
        <v>3</v>
      </c>
      <c r="F130" s="28">
        <v>3027.66</v>
      </c>
      <c r="G130" s="29">
        <v>0.43</v>
      </c>
      <c r="H130" s="28">
        <f t="shared" si="4"/>
        <v>9082.98</v>
      </c>
      <c r="I130" s="30">
        <v>45647</v>
      </c>
      <c r="J130" s="26" t="s">
        <v>52</v>
      </c>
      <c r="K130" s="26" t="s">
        <v>23</v>
      </c>
      <c r="L130" s="31">
        <f t="shared" si="5"/>
        <v>5177.2986000000001</v>
      </c>
      <c r="M130" s="31">
        <v>-68.489999999999995</v>
      </c>
      <c r="N130" s="22">
        <f>_xlfn.XLOOKUP(Snitch_Fashion_Sales_cleaned!$J130,Table2[City],Table2[City_Key],"not found")</f>
        <v>5</v>
      </c>
      <c r="O130" s="21">
        <f>_xlfn.XLOOKUP(Snitch_Fashion_Sales_cleaned!$D130,Table4[Product_Name],Table4[Product_Key],"not found")</f>
        <v>9</v>
      </c>
      <c r="P130" s="25">
        <f>_xlfn.XLOOKUP(Snitch_Fashion_Sales_cleaned!$I130,Table3[Order_Date],Table3[Date_Key])</f>
        <v>5</v>
      </c>
    </row>
    <row r="131" spans="1:16" x14ac:dyDescent="0.3">
      <c r="A131" s="34">
        <v>1129</v>
      </c>
      <c r="B131" s="32" t="s">
        <v>178</v>
      </c>
      <c r="C131" s="32" t="s">
        <v>13</v>
      </c>
      <c r="D131" s="33" t="s">
        <v>34</v>
      </c>
      <c r="E131" s="34">
        <v>3</v>
      </c>
      <c r="F131" s="35">
        <v>2412.36</v>
      </c>
      <c r="G131" s="36">
        <v>0.23</v>
      </c>
      <c r="H131" s="35">
        <f t="shared" si="4"/>
        <v>7237.08</v>
      </c>
      <c r="I131" s="37">
        <v>45835</v>
      </c>
      <c r="J131" s="33" t="s">
        <v>22</v>
      </c>
      <c r="K131" s="33" t="s">
        <v>16</v>
      </c>
      <c r="L131" s="38">
        <f t="shared" si="5"/>
        <v>5572.5515999999998</v>
      </c>
      <c r="M131" s="38">
        <v>-668.36</v>
      </c>
      <c r="N131" s="24">
        <f>_xlfn.XLOOKUP(Snitch_Fashion_Sales_cleaned!$J131,Table2[City],Table2[City_Key],"not found")</f>
        <v>3</v>
      </c>
      <c r="O131" s="23">
        <f>_xlfn.XLOOKUP(Snitch_Fashion_Sales_cleaned!$D131,Table4[Product_Name],Table4[Product_Key],"not found")</f>
        <v>6</v>
      </c>
      <c r="P131" s="32">
        <f>_xlfn.XLOOKUP(Snitch_Fashion_Sales_cleaned!$I131,Table3[Order_Date],Table3[Date_Key])</f>
        <v>84</v>
      </c>
    </row>
    <row r="132" spans="1:16" x14ac:dyDescent="0.3">
      <c r="A132" s="27">
        <v>1130</v>
      </c>
      <c r="B132" s="25" t="s">
        <v>30</v>
      </c>
      <c r="C132" s="25" t="s">
        <v>28</v>
      </c>
      <c r="D132" s="26" t="s">
        <v>39</v>
      </c>
      <c r="E132" s="27">
        <v>3</v>
      </c>
      <c r="F132" s="28">
        <v>2577.6350000000002</v>
      </c>
      <c r="G132" s="29">
        <v>0.51</v>
      </c>
      <c r="H132" s="28">
        <f t="shared" si="4"/>
        <v>7732.9050000000007</v>
      </c>
      <c r="I132" s="30">
        <v>45647</v>
      </c>
      <c r="J132" s="26" t="s">
        <v>15</v>
      </c>
      <c r="K132" s="26" t="s">
        <v>23</v>
      </c>
      <c r="L132" s="31">
        <f t="shared" si="5"/>
        <v>3789.12345</v>
      </c>
      <c r="M132" s="31">
        <v>2782.45</v>
      </c>
      <c r="N132" s="22">
        <f>_xlfn.XLOOKUP(Snitch_Fashion_Sales_cleaned!$J132,Table2[City],Table2[City_Key],"not found")</f>
        <v>1</v>
      </c>
      <c r="O132" s="21">
        <f>_xlfn.XLOOKUP(Snitch_Fashion_Sales_cleaned!$D132,Table4[Product_Name],Table4[Product_Key],"not found")</f>
        <v>8</v>
      </c>
      <c r="P132" s="25">
        <f>_xlfn.XLOOKUP(Snitch_Fashion_Sales_cleaned!$I132,Table3[Order_Date],Table3[Date_Key])</f>
        <v>5</v>
      </c>
    </row>
    <row r="133" spans="1:16" x14ac:dyDescent="0.3">
      <c r="A133" s="34">
        <v>1131</v>
      </c>
      <c r="B133" s="32" t="s">
        <v>179</v>
      </c>
      <c r="C133" s="32" t="s">
        <v>31</v>
      </c>
      <c r="D133" s="33" t="s">
        <v>68</v>
      </c>
      <c r="E133" s="34">
        <v>5</v>
      </c>
      <c r="F133" s="35">
        <v>2765.79</v>
      </c>
      <c r="G133" s="36">
        <v>0.99</v>
      </c>
      <c r="H133" s="35">
        <f t="shared" si="4"/>
        <v>13828.95</v>
      </c>
      <c r="I133" s="37">
        <v>45675</v>
      </c>
      <c r="J133" s="33" t="s">
        <v>15</v>
      </c>
      <c r="K133" s="33" t="s">
        <v>23</v>
      </c>
      <c r="L133" s="38">
        <f t="shared" si="5"/>
        <v>138.28950000000012</v>
      </c>
      <c r="M133" s="38">
        <v>-941.56</v>
      </c>
      <c r="N133" s="24">
        <f>_xlfn.XLOOKUP(Snitch_Fashion_Sales_cleaned!$J133,Table2[City],Table2[City_Key],"not found")</f>
        <v>1</v>
      </c>
      <c r="O133" s="23">
        <f>_xlfn.XLOOKUP(Snitch_Fashion_Sales_cleaned!$D133,Table4[Product_Name],Table4[Product_Key],"not found")</f>
        <v>15</v>
      </c>
      <c r="P133" s="32">
        <f>_xlfn.XLOOKUP(Snitch_Fashion_Sales_cleaned!$I133,Table3[Order_Date],Table3[Date_Key])</f>
        <v>64</v>
      </c>
    </row>
    <row r="134" spans="1:16" x14ac:dyDescent="0.3">
      <c r="A134" s="27">
        <v>1132</v>
      </c>
      <c r="B134" s="25" t="s">
        <v>180</v>
      </c>
      <c r="C134" s="25" t="s">
        <v>20</v>
      </c>
      <c r="D134" s="26" t="s">
        <v>76</v>
      </c>
      <c r="E134" s="27">
        <v>3</v>
      </c>
      <c r="F134" s="28">
        <v>2229.4899999999998</v>
      </c>
      <c r="G134" s="29">
        <v>0.57999999999999996</v>
      </c>
      <c r="H134" s="28">
        <f t="shared" ref="H134:H197" si="6">E134*F134</f>
        <v>6688.4699999999993</v>
      </c>
      <c r="I134" s="30">
        <v>45647</v>
      </c>
      <c r="J134" s="26" t="s">
        <v>15</v>
      </c>
      <c r="K134" s="26" t="s">
        <v>23</v>
      </c>
      <c r="L134" s="31">
        <f t="shared" ref="L134:L197" si="7">H134*(1-G134)</f>
        <v>2809.1574000000001</v>
      </c>
      <c r="M134" s="31">
        <v>2043.57</v>
      </c>
      <c r="N134" s="22">
        <f>_xlfn.XLOOKUP(Snitch_Fashion_Sales_cleaned!$J134,Table2[City],Table2[City_Key],"not found")</f>
        <v>1</v>
      </c>
      <c r="O134" s="21">
        <f>_xlfn.XLOOKUP(Snitch_Fashion_Sales_cleaned!$D134,Table4[Product_Name],Table4[Product_Key],"not found")</f>
        <v>16</v>
      </c>
      <c r="P134" s="25">
        <f>_xlfn.XLOOKUP(Snitch_Fashion_Sales_cleaned!$I134,Table3[Order_Date],Table3[Date_Key])</f>
        <v>5</v>
      </c>
    </row>
    <row r="135" spans="1:16" x14ac:dyDescent="0.3">
      <c r="A135" s="34">
        <v>1133</v>
      </c>
      <c r="B135" s="32" t="s">
        <v>181</v>
      </c>
      <c r="C135" s="32" t="s">
        <v>36</v>
      </c>
      <c r="D135" s="33" t="s">
        <v>37</v>
      </c>
      <c r="E135" s="34">
        <v>4</v>
      </c>
      <c r="F135" s="35">
        <v>2975.64</v>
      </c>
      <c r="G135" s="36">
        <v>0.6</v>
      </c>
      <c r="H135" s="35">
        <f t="shared" si="6"/>
        <v>11902.56</v>
      </c>
      <c r="I135" s="37">
        <v>45647</v>
      </c>
      <c r="J135" s="33" t="s">
        <v>18</v>
      </c>
      <c r="K135" s="33" t="s">
        <v>23</v>
      </c>
      <c r="L135" s="38">
        <f t="shared" si="7"/>
        <v>4761.0240000000003</v>
      </c>
      <c r="M135" s="38">
        <v>806.19</v>
      </c>
      <c r="N135" s="24">
        <f>_xlfn.XLOOKUP(Snitch_Fashion_Sales_cleaned!$J135,Table2[City],Table2[City_Key],"not found")</f>
        <v>2</v>
      </c>
      <c r="O135" s="23">
        <f>_xlfn.XLOOKUP(Snitch_Fashion_Sales_cleaned!$D135,Table4[Product_Name],Table4[Product_Key],"not found")</f>
        <v>7</v>
      </c>
      <c r="P135" s="32">
        <f>_xlfn.XLOOKUP(Snitch_Fashion_Sales_cleaned!$I135,Table3[Order_Date],Table3[Date_Key])</f>
        <v>5</v>
      </c>
    </row>
    <row r="136" spans="1:16" x14ac:dyDescent="0.3">
      <c r="A136" s="27">
        <v>1134</v>
      </c>
      <c r="B136" s="25" t="s">
        <v>182</v>
      </c>
      <c r="C136" s="25" t="s">
        <v>36</v>
      </c>
      <c r="D136" s="26" t="s">
        <v>59</v>
      </c>
      <c r="E136" s="27">
        <v>3</v>
      </c>
      <c r="F136" s="28">
        <v>2765.26</v>
      </c>
      <c r="G136" s="29">
        <v>0.51</v>
      </c>
      <c r="H136" s="28">
        <f t="shared" si="6"/>
        <v>8295.7800000000007</v>
      </c>
      <c r="I136" s="30">
        <v>45791</v>
      </c>
      <c r="J136" s="26" t="s">
        <v>15</v>
      </c>
      <c r="K136" s="26" t="s">
        <v>16</v>
      </c>
      <c r="L136" s="31">
        <f t="shared" si="7"/>
        <v>4064.9322000000002</v>
      </c>
      <c r="M136" s="31">
        <v>1101.19</v>
      </c>
      <c r="N136" s="22">
        <f>_xlfn.XLOOKUP(Snitch_Fashion_Sales_cleaned!$J136,Table2[City],Table2[City_Key],"not found")</f>
        <v>1</v>
      </c>
      <c r="O136" s="21">
        <f>_xlfn.XLOOKUP(Snitch_Fashion_Sales_cleaned!$D136,Table4[Product_Name],Table4[Product_Key],"not found")</f>
        <v>13</v>
      </c>
      <c r="P136" s="25">
        <f>_xlfn.XLOOKUP(Snitch_Fashion_Sales_cleaned!$I136,Table3[Order_Date],Table3[Date_Key])</f>
        <v>79</v>
      </c>
    </row>
    <row r="137" spans="1:16" x14ac:dyDescent="0.3">
      <c r="A137" s="34">
        <v>1135</v>
      </c>
      <c r="B137" s="32" t="s">
        <v>183</v>
      </c>
      <c r="C137" s="32" t="s">
        <v>25</v>
      </c>
      <c r="D137" s="33" t="s">
        <v>50</v>
      </c>
      <c r="E137" s="34">
        <v>4</v>
      </c>
      <c r="F137" s="35">
        <v>1556.96</v>
      </c>
      <c r="G137" s="36">
        <v>0.84</v>
      </c>
      <c r="H137" s="35">
        <f t="shared" si="6"/>
        <v>6227.84</v>
      </c>
      <c r="I137" s="37">
        <v>45588</v>
      </c>
      <c r="J137" s="33" t="s">
        <v>22</v>
      </c>
      <c r="K137" s="33" t="s">
        <v>23</v>
      </c>
      <c r="L137" s="38">
        <f t="shared" si="7"/>
        <v>996.45440000000019</v>
      </c>
      <c r="M137" s="38">
        <v>249.11360000000005</v>
      </c>
      <c r="N137" s="24">
        <f>_xlfn.XLOOKUP(Snitch_Fashion_Sales_cleaned!$J137,Table2[City],Table2[City_Key],"not found")</f>
        <v>3</v>
      </c>
      <c r="O137" s="23">
        <f>_xlfn.XLOOKUP(Snitch_Fashion_Sales_cleaned!$D137,Table4[Product_Name],Table4[Product_Key],"not found")</f>
        <v>11</v>
      </c>
      <c r="P137" s="32">
        <f>_xlfn.XLOOKUP(Snitch_Fashion_Sales_cleaned!$I137,Table3[Order_Date],Table3[Date_Key])</f>
        <v>85</v>
      </c>
    </row>
    <row r="138" spans="1:16" x14ac:dyDescent="0.3">
      <c r="A138" s="27">
        <v>1136</v>
      </c>
      <c r="B138" s="25" t="s">
        <v>184</v>
      </c>
      <c r="C138" s="25" t="s">
        <v>13</v>
      </c>
      <c r="D138" s="26" t="s">
        <v>46</v>
      </c>
      <c r="E138" s="27">
        <v>4</v>
      </c>
      <c r="F138" s="28">
        <v>3658.42</v>
      </c>
      <c r="G138" s="29">
        <v>0.47</v>
      </c>
      <c r="H138" s="28">
        <f t="shared" si="6"/>
        <v>14633.68</v>
      </c>
      <c r="I138" s="30">
        <v>45318</v>
      </c>
      <c r="J138" s="26" t="s">
        <v>22</v>
      </c>
      <c r="K138" s="26" t="s">
        <v>23</v>
      </c>
      <c r="L138" s="31">
        <f t="shared" si="7"/>
        <v>7755.8504000000003</v>
      </c>
      <c r="M138" s="31">
        <v>1897.33</v>
      </c>
      <c r="N138" s="22">
        <f>_xlfn.XLOOKUP(Snitch_Fashion_Sales_cleaned!$J138,Table2[City],Table2[City_Key],"not found")</f>
        <v>3</v>
      </c>
      <c r="O138" s="21">
        <f>_xlfn.XLOOKUP(Snitch_Fashion_Sales_cleaned!$D138,Table4[Product_Name],Table4[Product_Key],"not found")</f>
        <v>10</v>
      </c>
      <c r="P138" s="25">
        <f>_xlfn.XLOOKUP(Snitch_Fashion_Sales_cleaned!$I138,Table3[Order_Date],Table3[Date_Key])</f>
        <v>86</v>
      </c>
    </row>
    <row r="139" spans="1:16" x14ac:dyDescent="0.3">
      <c r="A139" s="34">
        <v>1137</v>
      </c>
      <c r="B139" s="32" t="s">
        <v>185</v>
      </c>
      <c r="C139" s="32" t="s">
        <v>25</v>
      </c>
      <c r="D139" s="33" t="s">
        <v>50</v>
      </c>
      <c r="E139" s="34">
        <v>4</v>
      </c>
      <c r="F139" s="35">
        <v>4206.0600000000004</v>
      </c>
      <c r="G139" s="36">
        <v>0.51</v>
      </c>
      <c r="H139" s="35">
        <f t="shared" si="6"/>
        <v>16824.240000000002</v>
      </c>
      <c r="I139" s="37">
        <v>45770</v>
      </c>
      <c r="J139" s="33" t="s">
        <v>15</v>
      </c>
      <c r="K139" s="33" t="s">
        <v>23</v>
      </c>
      <c r="L139" s="38">
        <f t="shared" si="7"/>
        <v>8243.8775999999998</v>
      </c>
      <c r="M139" s="38">
        <v>1161.76</v>
      </c>
      <c r="N139" s="24">
        <f>_xlfn.XLOOKUP(Snitch_Fashion_Sales_cleaned!$J139,Table2[City],Table2[City_Key],"not found")</f>
        <v>1</v>
      </c>
      <c r="O139" s="23">
        <f>_xlfn.XLOOKUP(Snitch_Fashion_Sales_cleaned!$D139,Table4[Product_Name],Table4[Product_Key],"not found")</f>
        <v>11</v>
      </c>
      <c r="P139" s="32">
        <f>_xlfn.XLOOKUP(Snitch_Fashion_Sales_cleaned!$I139,Table3[Order_Date],Table3[Date_Key])</f>
        <v>87</v>
      </c>
    </row>
    <row r="140" spans="1:16" x14ac:dyDescent="0.3">
      <c r="A140" s="27">
        <v>1138</v>
      </c>
      <c r="B140" s="25" t="s">
        <v>186</v>
      </c>
      <c r="C140" s="25" t="s">
        <v>36</v>
      </c>
      <c r="D140" s="26" t="s">
        <v>87</v>
      </c>
      <c r="E140" s="27">
        <v>4</v>
      </c>
      <c r="F140" s="28">
        <v>2889.5349999999999</v>
      </c>
      <c r="G140" s="29">
        <v>0.26</v>
      </c>
      <c r="H140" s="28">
        <f t="shared" si="6"/>
        <v>11558.14</v>
      </c>
      <c r="I140" s="30">
        <v>45647</v>
      </c>
      <c r="J140" s="26" t="s">
        <v>52</v>
      </c>
      <c r="K140" s="26" t="s">
        <v>16</v>
      </c>
      <c r="L140" s="31">
        <f t="shared" si="7"/>
        <v>8553.0235999999986</v>
      </c>
      <c r="M140" s="31">
        <v>-658.58</v>
      </c>
      <c r="N140" s="22">
        <f>_xlfn.XLOOKUP(Snitch_Fashion_Sales_cleaned!$J140,Table2[City],Table2[City_Key],"not found")</f>
        <v>5</v>
      </c>
      <c r="O140" s="21">
        <f>_xlfn.XLOOKUP(Snitch_Fashion_Sales_cleaned!$D140,Table4[Product_Name],Table4[Product_Key],"not found")</f>
        <v>20</v>
      </c>
      <c r="P140" s="25">
        <f>_xlfn.XLOOKUP(Snitch_Fashion_Sales_cleaned!$I140,Table3[Order_Date],Table3[Date_Key])</f>
        <v>5</v>
      </c>
    </row>
    <row r="141" spans="1:16" x14ac:dyDescent="0.3">
      <c r="A141" s="34">
        <v>1139</v>
      </c>
      <c r="B141" s="32" t="s">
        <v>187</v>
      </c>
      <c r="C141" s="32" t="s">
        <v>31</v>
      </c>
      <c r="D141" s="33" t="s">
        <v>78</v>
      </c>
      <c r="E141" s="34">
        <v>4</v>
      </c>
      <c r="F141" s="35">
        <v>2599.75</v>
      </c>
      <c r="G141" s="36">
        <v>0.21</v>
      </c>
      <c r="H141" s="35">
        <f t="shared" si="6"/>
        <v>10399</v>
      </c>
      <c r="I141" s="37">
        <v>45593</v>
      </c>
      <c r="J141" s="33" t="s">
        <v>2540</v>
      </c>
      <c r="K141" s="33" t="s">
        <v>23</v>
      </c>
      <c r="L141" s="38">
        <f t="shared" si="7"/>
        <v>8215.2100000000009</v>
      </c>
      <c r="M141" s="38">
        <v>-832.45</v>
      </c>
      <c r="N141" s="24">
        <f>_xlfn.XLOOKUP(Snitch_Fashion_Sales_cleaned!$J141,Table2[City],Table2[City_Key],"not found")</f>
        <v>4</v>
      </c>
      <c r="O141" s="23">
        <f>_xlfn.XLOOKUP(Snitch_Fashion_Sales_cleaned!$D141,Table4[Product_Name],Table4[Product_Key],"not found")</f>
        <v>17</v>
      </c>
      <c r="P141" s="32">
        <f>_xlfn.XLOOKUP(Snitch_Fashion_Sales_cleaned!$I141,Table3[Order_Date],Table3[Date_Key])</f>
        <v>88</v>
      </c>
    </row>
    <row r="142" spans="1:16" x14ac:dyDescent="0.3">
      <c r="A142" s="27">
        <v>1140</v>
      </c>
      <c r="B142" s="25" t="s">
        <v>188</v>
      </c>
      <c r="C142" s="25" t="s">
        <v>28</v>
      </c>
      <c r="D142" s="26" t="s">
        <v>29</v>
      </c>
      <c r="E142" s="27">
        <v>4</v>
      </c>
      <c r="F142" s="28">
        <v>2515.415</v>
      </c>
      <c r="G142" s="29">
        <v>0.51</v>
      </c>
      <c r="H142" s="28">
        <f t="shared" si="6"/>
        <v>10061.66</v>
      </c>
      <c r="I142" s="30">
        <v>45517</v>
      </c>
      <c r="J142" s="26" t="s">
        <v>52</v>
      </c>
      <c r="K142" s="26" t="s">
        <v>23</v>
      </c>
      <c r="L142" s="31">
        <f t="shared" si="7"/>
        <v>4930.2133999999996</v>
      </c>
      <c r="M142" s="31">
        <v>-127.91</v>
      </c>
      <c r="N142" s="22">
        <f>_xlfn.XLOOKUP(Snitch_Fashion_Sales_cleaned!$J142,Table2[City],Table2[City_Key],"not found")</f>
        <v>5</v>
      </c>
      <c r="O142" s="21">
        <f>_xlfn.XLOOKUP(Snitch_Fashion_Sales_cleaned!$D142,Table4[Product_Name],Table4[Product_Key],"not found")</f>
        <v>4</v>
      </c>
      <c r="P142" s="25">
        <f>_xlfn.XLOOKUP(Snitch_Fashion_Sales_cleaned!$I142,Table3[Order_Date],Table3[Date_Key])</f>
        <v>89</v>
      </c>
    </row>
    <row r="143" spans="1:16" x14ac:dyDescent="0.3">
      <c r="A143" s="34">
        <v>1141</v>
      </c>
      <c r="B143" s="32" t="s">
        <v>189</v>
      </c>
      <c r="C143" s="32" t="s">
        <v>31</v>
      </c>
      <c r="D143" s="33" t="s">
        <v>78</v>
      </c>
      <c r="E143" s="34">
        <v>4</v>
      </c>
      <c r="F143" s="35">
        <v>2599.75</v>
      </c>
      <c r="G143" s="36">
        <v>0.51</v>
      </c>
      <c r="H143" s="35">
        <f t="shared" si="6"/>
        <v>10399</v>
      </c>
      <c r="I143" s="37">
        <v>45401</v>
      </c>
      <c r="J143" s="33" t="s">
        <v>15</v>
      </c>
      <c r="K143" s="33" t="s">
        <v>16</v>
      </c>
      <c r="L143" s="38">
        <f t="shared" si="7"/>
        <v>5095.51</v>
      </c>
      <c r="M143" s="38">
        <v>429.67</v>
      </c>
      <c r="N143" s="24">
        <f>_xlfn.XLOOKUP(Snitch_Fashion_Sales_cleaned!$J143,Table2[City],Table2[City_Key],"not found")</f>
        <v>1</v>
      </c>
      <c r="O143" s="23">
        <f>_xlfn.XLOOKUP(Snitch_Fashion_Sales_cleaned!$D143,Table4[Product_Name],Table4[Product_Key],"not found")</f>
        <v>17</v>
      </c>
      <c r="P143" s="32">
        <f>_xlfn.XLOOKUP(Snitch_Fashion_Sales_cleaned!$I143,Table3[Order_Date],Table3[Date_Key])</f>
        <v>90</v>
      </c>
    </row>
    <row r="144" spans="1:16" x14ac:dyDescent="0.3">
      <c r="A144" s="27">
        <v>1142</v>
      </c>
      <c r="B144" s="25" t="s">
        <v>190</v>
      </c>
      <c r="C144" s="25" t="s">
        <v>36</v>
      </c>
      <c r="D144" s="26" t="s">
        <v>87</v>
      </c>
      <c r="E144" s="27">
        <v>6</v>
      </c>
      <c r="F144" s="28">
        <v>3004.58</v>
      </c>
      <c r="G144" s="29">
        <v>0.51</v>
      </c>
      <c r="H144" s="28">
        <f t="shared" si="6"/>
        <v>18027.48</v>
      </c>
      <c r="I144" s="30">
        <v>45344</v>
      </c>
      <c r="J144" s="26" t="s">
        <v>52</v>
      </c>
      <c r="K144" s="26" t="s">
        <v>16</v>
      </c>
      <c r="L144" s="31">
        <f t="shared" si="7"/>
        <v>8833.4651999999987</v>
      </c>
      <c r="M144" s="31">
        <v>-509.67</v>
      </c>
      <c r="N144" s="22">
        <f>_xlfn.XLOOKUP(Snitch_Fashion_Sales_cleaned!$J144,Table2[City],Table2[City_Key],"not found")</f>
        <v>5</v>
      </c>
      <c r="O144" s="21">
        <f>_xlfn.XLOOKUP(Snitch_Fashion_Sales_cleaned!$D144,Table4[Product_Name],Table4[Product_Key],"not found")</f>
        <v>20</v>
      </c>
      <c r="P144" s="25">
        <f>_xlfn.XLOOKUP(Snitch_Fashion_Sales_cleaned!$I144,Table3[Order_Date],Table3[Date_Key])</f>
        <v>66</v>
      </c>
    </row>
    <row r="145" spans="1:16" x14ac:dyDescent="0.3">
      <c r="A145" s="34">
        <v>1143</v>
      </c>
      <c r="B145" s="32" t="s">
        <v>191</v>
      </c>
      <c r="C145" s="32" t="s">
        <v>20</v>
      </c>
      <c r="D145" s="33" t="s">
        <v>84</v>
      </c>
      <c r="E145" s="34">
        <v>3</v>
      </c>
      <c r="F145" s="35">
        <v>2537.59</v>
      </c>
      <c r="G145" s="36">
        <v>0.51</v>
      </c>
      <c r="H145" s="35">
        <f t="shared" si="6"/>
        <v>7612.77</v>
      </c>
      <c r="I145" s="37">
        <v>45782</v>
      </c>
      <c r="J145" s="33" t="s">
        <v>2540</v>
      </c>
      <c r="K145" s="33" t="s">
        <v>23</v>
      </c>
      <c r="L145" s="38">
        <f t="shared" si="7"/>
        <v>3730.2573000000002</v>
      </c>
      <c r="M145" s="38">
        <v>816.49</v>
      </c>
      <c r="N145" s="24">
        <f>_xlfn.XLOOKUP(Snitch_Fashion_Sales_cleaned!$J145,Table2[City],Table2[City_Key],"not found")</f>
        <v>4</v>
      </c>
      <c r="O145" s="23">
        <f>_xlfn.XLOOKUP(Snitch_Fashion_Sales_cleaned!$D145,Table4[Product_Name],Table4[Product_Key],"not found")</f>
        <v>19</v>
      </c>
      <c r="P145" s="32">
        <f>_xlfn.XLOOKUP(Snitch_Fashion_Sales_cleaned!$I145,Table3[Order_Date],Table3[Date_Key])</f>
        <v>80</v>
      </c>
    </row>
    <row r="146" spans="1:16" x14ac:dyDescent="0.3">
      <c r="A146" s="27">
        <v>1144</v>
      </c>
      <c r="B146" s="25" t="s">
        <v>192</v>
      </c>
      <c r="C146" s="25" t="s">
        <v>13</v>
      </c>
      <c r="D146" s="26" t="s">
        <v>14</v>
      </c>
      <c r="E146" s="27">
        <v>4</v>
      </c>
      <c r="F146" s="28">
        <v>2366.6149999999998</v>
      </c>
      <c r="G146" s="29">
        <v>0.19</v>
      </c>
      <c r="H146" s="28">
        <f t="shared" si="6"/>
        <v>9466.4599999999991</v>
      </c>
      <c r="I146" s="30">
        <v>45647</v>
      </c>
      <c r="J146" s="26" t="s">
        <v>22</v>
      </c>
      <c r="K146" s="26" t="s">
        <v>16</v>
      </c>
      <c r="L146" s="31">
        <f t="shared" si="7"/>
        <v>7667.8325999999997</v>
      </c>
      <c r="M146" s="31">
        <v>2966.21</v>
      </c>
      <c r="N146" s="22">
        <f>_xlfn.XLOOKUP(Snitch_Fashion_Sales_cleaned!$J146,Table2[City],Table2[City_Key],"not found")</f>
        <v>3</v>
      </c>
      <c r="O146" s="21">
        <f>_xlfn.XLOOKUP(Snitch_Fashion_Sales_cleaned!$D146,Table4[Product_Name],Table4[Product_Key],"not found")</f>
        <v>1</v>
      </c>
      <c r="P146" s="25">
        <f>_xlfn.XLOOKUP(Snitch_Fashion_Sales_cleaned!$I146,Table3[Order_Date],Table3[Date_Key])</f>
        <v>5</v>
      </c>
    </row>
    <row r="147" spans="1:16" x14ac:dyDescent="0.3">
      <c r="A147" s="34">
        <v>1145</v>
      </c>
      <c r="B147" s="32" t="s">
        <v>193</v>
      </c>
      <c r="C147" s="32" t="s">
        <v>31</v>
      </c>
      <c r="D147" s="33" t="s">
        <v>78</v>
      </c>
      <c r="E147" s="34">
        <v>4</v>
      </c>
      <c r="F147" s="35">
        <v>3607.9</v>
      </c>
      <c r="G147" s="36">
        <v>0.94</v>
      </c>
      <c r="H147" s="35">
        <f t="shared" si="6"/>
        <v>14431.6</v>
      </c>
      <c r="I147" s="37">
        <v>45602</v>
      </c>
      <c r="J147" s="33" t="s">
        <v>52</v>
      </c>
      <c r="K147" s="33" t="s">
        <v>23</v>
      </c>
      <c r="L147" s="38">
        <f t="shared" si="7"/>
        <v>865.89600000000075</v>
      </c>
      <c r="M147" s="38">
        <v>-171.58</v>
      </c>
      <c r="N147" s="24">
        <f>_xlfn.XLOOKUP(Snitch_Fashion_Sales_cleaned!$J147,Table2[City],Table2[City_Key],"not found")</f>
        <v>5</v>
      </c>
      <c r="O147" s="23">
        <f>_xlfn.XLOOKUP(Snitch_Fashion_Sales_cleaned!$D147,Table4[Product_Name],Table4[Product_Key],"not found")</f>
        <v>17</v>
      </c>
      <c r="P147" s="32">
        <f>_xlfn.XLOOKUP(Snitch_Fashion_Sales_cleaned!$I147,Table3[Order_Date],Table3[Date_Key])</f>
        <v>91</v>
      </c>
    </row>
    <row r="148" spans="1:16" x14ac:dyDescent="0.3">
      <c r="A148" s="27">
        <v>1146</v>
      </c>
      <c r="B148" s="25" t="s">
        <v>194</v>
      </c>
      <c r="C148" s="25" t="s">
        <v>28</v>
      </c>
      <c r="D148" s="26" t="s">
        <v>29</v>
      </c>
      <c r="E148" s="27">
        <v>3</v>
      </c>
      <c r="F148" s="28">
        <v>2515.415</v>
      </c>
      <c r="G148" s="29">
        <v>0.51</v>
      </c>
      <c r="H148" s="28">
        <f t="shared" si="6"/>
        <v>7546.2449999999999</v>
      </c>
      <c r="I148" s="30">
        <v>45719</v>
      </c>
      <c r="J148" s="26" t="s">
        <v>43</v>
      </c>
      <c r="K148" s="26" t="s">
        <v>16</v>
      </c>
      <c r="L148" s="31">
        <f t="shared" si="7"/>
        <v>3697.66005</v>
      </c>
      <c r="M148" s="31">
        <v>-431.7</v>
      </c>
      <c r="N148" s="22">
        <f>_xlfn.XLOOKUP(Snitch_Fashion_Sales_cleaned!$J148,Table2[City],Table2[City_Key],"not found")</f>
        <v>6</v>
      </c>
      <c r="O148" s="21">
        <f>_xlfn.XLOOKUP(Snitch_Fashion_Sales_cleaned!$D148,Table4[Product_Name],Table4[Product_Key],"not found")</f>
        <v>4</v>
      </c>
      <c r="P148" s="25">
        <f>_xlfn.XLOOKUP(Snitch_Fashion_Sales_cleaned!$I148,Table3[Order_Date],Table3[Date_Key])</f>
        <v>92</v>
      </c>
    </row>
    <row r="149" spans="1:16" x14ac:dyDescent="0.3">
      <c r="A149" s="34">
        <v>1147</v>
      </c>
      <c r="B149" s="32" t="s">
        <v>195</v>
      </c>
      <c r="C149" s="32" t="s">
        <v>36</v>
      </c>
      <c r="D149" s="33" t="s">
        <v>37</v>
      </c>
      <c r="E149" s="34">
        <v>4</v>
      </c>
      <c r="F149" s="35">
        <v>2875.46</v>
      </c>
      <c r="G149" s="36">
        <v>0.51</v>
      </c>
      <c r="H149" s="35">
        <f t="shared" si="6"/>
        <v>11501.84</v>
      </c>
      <c r="I149" s="37">
        <v>45632</v>
      </c>
      <c r="J149" s="33" t="s">
        <v>15</v>
      </c>
      <c r="K149" s="33" t="s">
        <v>23</v>
      </c>
      <c r="L149" s="38">
        <f t="shared" si="7"/>
        <v>5635.9016000000001</v>
      </c>
      <c r="M149" s="38">
        <v>-794.99</v>
      </c>
      <c r="N149" s="24">
        <f>_xlfn.XLOOKUP(Snitch_Fashion_Sales_cleaned!$J149,Table2[City],Table2[City_Key],"not found")</f>
        <v>1</v>
      </c>
      <c r="O149" s="23">
        <f>_xlfn.XLOOKUP(Snitch_Fashion_Sales_cleaned!$D149,Table4[Product_Name],Table4[Product_Key],"not found")</f>
        <v>7</v>
      </c>
      <c r="P149" s="32">
        <f>_xlfn.XLOOKUP(Snitch_Fashion_Sales_cleaned!$I149,Table3[Order_Date],Table3[Date_Key])</f>
        <v>93</v>
      </c>
    </row>
    <row r="150" spans="1:16" x14ac:dyDescent="0.3">
      <c r="A150" s="27">
        <v>1148</v>
      </c>
      <c r="B150" s="25" t="s">
        <v>196</v>
      </c>
      <c r="C150" s="25" t="s">
        <v>28</v>
      </c>
      <c r="D150" s="26" t="s">
        <v>29</v>
      </c>
      <c r="E150" s="27">
        <v>3</v>
      </c>
      <c r="F150" s="28">
        <v>2471.48</v>
      </c>
      <c r="G150" s="29">
        <v>0.51</v>
      </c>
      <c r="H150" s="28">
        <f t="shared" si="6"/>
        <v>7414.4400000000005</v>
      </c>
      <c r="I150" s="30">
        <v>45680</v>
      </c>
      <c r="J150" s="26" t="s">
        <v>22</v>
      </c>
      <c r="K150" s="26" t="s">
        <v>16</v>
      </c>
      <c r="L150" s="31">
        <f t="shared" si="7"/>
        <v>3633.0756000000001</v>
      </c>
      <c r="M150" s="31">
        <v>2247.9</v>
      </c>
      <c r="N150" s="22">
        <f>_xlfn.XLOOKUP(Snitch_Fashion_Sales_cleaned!$J150,Table2[City],Table2[City_Key],"not found")</f>
        <v>3</v>
      </c>
      <c r="O150" s="21">
        <f>_xlfn.XLOOKUP(Snitch_Fashion_Sales_cleaned!$D150,Table4[Product_Name],Table4[Product_Key],"not found")</f>
        <v>4</v>
      </c>
      <c r="P150" s="25">
        <f>_xlfn.XLOOKUP(Snitch_Fashion_Sales_cleaned!$I150,Table3[Order_Date],Table3[Date_Key])</f>
        <v>94</v>
      </c>
    </row>
    <row r="151" spans="1:16" x14ac:dyDescent="0.3">
      <c r="A151" s="34">
        <v>1149</v>
      </c>
      <c r="B151" s="32" t="s">
        <v>197</v>
      </c>
      <c r="C151" s="32" t="s">
        <v>36</v>
      </c>
      <c r="D151" s="33" t="s">
        <v>87</v>
      </c>
      <c r="E151" s="34">
        <v>2</v>
      </c>
      <c r="F151" s="35">
        <v>2889.5349999999999</v>
      </c>
      <c r="G151" s="36">
        <v>0.51</v>
      </c>
      <c r="H151" s="35">
        <f t="shared" si="6"/>
        <v>5779.07</v>
      </c>
      <c r="I151" s="37">
        <v>45570</v>
      </c>
      <c r="J151" s="33" t="s">
        <v>52</v>
      </c>
      <c r="K151" s="33" t="s">
        <v>23</v>
      </c>
      <c r="L151" s="38">
        <f t="shared" si="7"/>
        <v>2831.7442999999998</v>
      </c>
      <c r="M151" s="38">
        <v>562.69000000000005</v>
      </c>
      <c r="N151" s="24">
        <f>_xlfn.XLOOKUP(Snitch_Fashion_Sales_cleaned!$J151,Table2[City],Table2[City_Key],"not found")</f>
        <v>5</v>
      </c>
      <c r="O151" s="23">
        <f>_xlfn.XLOOKUP(Snitch_Fashion_Sales_cleaned!$D151,Table4[Product_Name],Table4[Product_Key],"not found")</f>
        <v>20</v>
      </c>
      <c r="P151" s="32">
        <f>_xlfn.XLOOKUP(Snitch_Fashion_Sales_cleaned!$I151,Table3[Order_Date],Table3[Date_Key])</f>
        <v>95</v>
      </c>
    </row>
    <row r="152" spans="1:16" x14ac:dyDescent="0.3">
      <c r="A152" s="27">
        <v>1150</v>
      </c>
      <c r="B152" s="25" t="s">
        <v>198</v>
      </c>
      <c r="C152" s="25" t="s">
        <v>28</v>
      </c>
      <c r="D152" s="26" t="s">
        <v>39</v>
      </c>
      <c r="E152" s="27">
        <v>3</v>
      </c>
      <c r="F152" s="28">
        <v>1554.9</v>
      </c>
      <c r="G152" s="29">
        <v>0.51</v>
      </c>
      <c r="H152" s="28">
        <f t="shared" si="6"/>
        <v>4664.7000000000007</v>
      </c>
      <c r="I152" s="30">
        <v>45582</v>
      </c>
      <c r="J152" s="26" t="s">
        <v>18</v>
      </c>
      <c r="K152" s="26" t="s">
        <v>16</v>
      </c>
      <c r="L152" s="31">
        <f t="shared" si="7"/>
        <v>2285.7030000000004</v>
      </c>
      <c r="M152" s="31">
        <v>457.65</v>
      </c>
      <c r="N152" s="22">
        <f>_xlfn.XLOOKUP(Snitch_Fashion_Sales_cleaned!$J152,Table2[City],Table2[City_Key],"not found")</f>
        <v>2</v>
      </c>
      <c r="O152" s="21">
        <f>_xlfn.XLOOKUP(Snitch_Fashion_Sales_cleaned!$D152,Table4[Product_Name],Table4[Product_Key],"not found")</f>
        <v>8</v>
      </c>
      <c r="P152" s="25">
        <f>_xlfn.XLOOKUP(Snitch_Fashion_Sales_cleaned!$I152,Table3[Order_Date],Table3[Date_Key])</f>
        <v>96</v>
      </c>
    </row>
    <row r="153" spans="1:16" x14ac:dyDescent="0.3">
      <c r="A153" s="34">
        <v>1151</v>
      </c>
      <c r="B153" s="32" t="s">
        <v>199</v>
      </c>
      <c r="C153" s="32" t="s">
        <v>13</v>
      </c>
      <c r="D153" s="33" t="s">
        <v>46</v>
      </c>
      <c r="E153" s="34">
        <v>4</v>
      </c>
      <c r="F153" s="35">
        <v>2266.44</v>
      </c>
      <c r="G153" s="36">
        <v>0.33</v>
      </c>
      <c r="H153" s="35">
        <f t="shared" si="6"/>
        <v>9065.76</v>
      </c>
      <c r="I153" s="37">
        <v>45855</v>
      </c>
      <c r="J153" s="33" t="s">
        <v>43</v>
      </c>
      <c r="K153" s="33" t="s">
        <v>16</v>
      </c>
      <c r="L153" s="38">
        <f t="shared" si="7"/>
        <v>6074.0591999999997</v>
      </c>
      <c r="M153" s="38">
        <v>-655.45</v>
      </c>
      <c r="N153" s="24">
        <f>_xlfn.XLOOKUP(Snitch_Fashion_Sales_cleaned!$J153,Table2[City],Table2[City_Key],"not found")</f>
        <v>6</v>
      </c>
      <c r="O153" s="23">
        <f>_xlfn.XLOOKUP(Snitch_Fashion_Sales_cleaned!$D153,Table4[Product_Name],Table4[Product_Key],"not found")</f>
        <v>10</v>
      </c>
      <c r="P153" s="32">
        <f>_xlfn.XLOOKUP(Snitch_Fashion_Sales_cleaned!$I153,Table3[Order_Date],Table3[Date_Key])</f>
        <v>97</v>
      </c>
    </row>
    <row r="154" spans="1:16" x14ac:dyDescent="0.3">
      <c r="A154" s="27">
        <v>1152</v>
      </c>
      <c r="B154" s="25" t="s">
        <v>200</v>
      </c>
      <c r="C154" s="25" t="s">
        <v>25</v>
      </c>
      <c r="D154" s="26" t="s">
        <v>62</v>
      </c>
      <c r="E154" s="27">
        <v>1</v>
      </c>
      <c r="F154" s="28">
        <v>2538.0450000000001</v>
      </c>
      <c r="G154" s="29">
        <v>0.51</v>
      </c>
      <c r="H154" s="28">
        <f t="shared" si="6"/>
        <v>2538.0450000000001</v>
      </c>
      <c r="I154" s="30">
        <v>45599</v>
      </c>
      <c r="J154" s="26" t="s">
        <v>43</v>
      </c>
      <c r="K154" s="26" t="s">
        <v>23</v>
      </c>
      <c r="L154" s="31">
        <f t="shared" si="7"/>
        <v>1243.6420499999999</v>
      </c>
      <c r="M154" s="31">
        <v>454.45</v>
      </c>
      <c r="N154" s="22">
        <f>_xlfn.XLOOKUP(Snitch_Fashion_Sales_cleaned!$J154,Table2[City],Table2[City_Key],"not found")</f>
        <v>6</v>
      </c>
      <c r="O154" s="21">
        <f>_xlfn.XLOOKUP(Snitch_Fashion_Sales_cleaned!$D154,Table4[Product_Name],Table4[Product_Key],"not found")</f>
        <v>14</v>
      </c>
      <c r="P154" s="25">
        <f>_xlfn.XLOOKUP(Snitch_Fashion_Sales_cleaned!$I154,Table3[Order_Date],Table3[Date_Key])</f>
        <v>98</v>
      </c>
    </row>
    <row r="155" spans="1:16" x14ac:dyDescent="0.3">
      <c r="A155" s="34">
        <v>1153</v>
      </c>
      <c r="B155" s="32" t="s">
        <v>201</v>
      </c>
      <c r="C155" s="32" t="s">
        <v>28</v>
      </c>
      <c r="D155" s="33" t="s">
        <v>29</v>
      </c>
      <c r="E155" s="34">
        <v>1</v>
      </c>
      <c r="F155" s="35">
        <v>478.59</v>
      </c>
      <c r="G155" s="36">
        <v>0.51</v>
      </c>
      <c r="H155" s="35">
        <f t="shared" si="6"/>
        <v>478.59</v>
      </c>
      <c r="I155" s="37">
        <v>45641</v>
      </c>
      <c r="J155" s="33" t="s">
        <v>15</v>
      </c>
      <c r="K155" s="33" t="s">
        <v>23</v>
      </c>
      <c r="L155" s="38">
        <f t="shared" si="7"/>
        <v>234.50909999999999</v>
      </c>
      <c r="M155" s="38">
        <v>-681.2</v>
      </c>
      <c r="N155" s="24">
        <f>_xlfn.XLOOKUP(Snitch_Fashion_Sales_cleaned!$J155,Table2[City],Table2[City_Key],"not found")</f>
        <v>1</v>
      </c>
      <c r="O155" s="23">
        <f>_xlfn.XLOOKUP(Snitch_Fashion_Sales_cleaned!$D155,Table4[Product_Name],Table4[Product_Key],"not found")</f>
        <v>4</v>
      </c>
      <c r="P155" s="32">
        <f>_xlfn.XLOOKUP(Snitch_Fashion_Sales_cleaned!$I155,Table3[Order_Date],Table3[Date_Key])</f>
        <v>99</v>
      </c>
    </row>
    <row r="156" spans="1:16" x14ac:dyDescent="0.3">
      <c r="A156" s="27">
        <v>1154</v>
      </c>
      <c r="B156" s="25" t="s">
        <v>202</v>
      </c>
      <c r="C156" s="25" t="s">
        <v>28</v>
      </c>
      <c r="D156" s="26" t="s">
        <v>116</v>
      </c>
      <c r="E156" s="27">
        <v>4</v>
      </c>
      <c r="F156" s="28">
        <v>2785.79</v>
      </c>
      <c r="G156" s="29">
        <v>0.51</v>
      </c>
      <c r="H156" s="28">
        <f t="shared" si="6"/>
        <v>11143.16</v>
      </c>
      <c r="I156" s="30">
        <v>45575</v>
      </c>
      <c r="J156" s="26" t="s">
        <v>2540</v>
      </c>
      <c r="K156" s="26" t="s">
        <v>16</v>
      </c>
      <c r="L156" s="31">
        <f t="shared" si="7"/>
        <v>5460.1484</v>
      </c>
      <c r="M156" s="31">
        <v>52.85</v>
      </c>
      <c r="N156" s="22">
        <f>_xlfn.XLOOKUP(Snitch_Fashion_Sales_cleaned!$J156,Table2[City],Table2[City_Key],"not found")</f>
        <v>4</v>
      </c>
      <c r="O156" s="21">
        <f>_xlfn.XLOOKUP(Snitch_Fashion_Sales_cleaned!$D156,Table4[Product_Name],Table4[Product_Key],"not found")</f>
        <v>22</v>
      </c>
      <c r="P156" s="25">
        <f>_xlfn.XLOOKUP(Snitch_Fashion_Sales_cleaned!$I156,Table3[Order_Date],Table3[Date_Key])</f>
        <v>100</v>
      </c>
    </row>
    <row r="157" spans="1:16" x14ac:dyDescent="0.3">
      <c r="A157" s="34">
        <v>1155</v>
      </c>
      <c r="B157" s="32" t="s">
        <v>203</v>
      </c>
      <c r="C157" s="32" t="s">
        <v>25</v>
      </c>
      <c r="D157" s="33" t="s">
        <v>62</v>
      </c>
      <c r="E157" s="34">
        <v>4</v>
      </c>
      <c r="F157" s="35">
        <v>2538.0450000000001</v>
      </c>
      <c r="G157" s="36">
        <v>0.64</v>
      </c>
      <c r="H157" s="35">
        <f t="shared" si="6"/>
        <v>10152.18</v>
      </c>
      <c r="I157" s="37">
        <v>45604</v>
      </c>
      <c r="J157" s="33" t="s">
        <v>22</v>
      </c>
      <c r="K157" s="33" t="s">
        <v>23</v>
      </c>
      <c r="L157" s="38">
        <f t="shared" si="7"/>
        <v>3654.7847999999999</v>
      </c>
      <c r="M157" s="38">
        <v>2493.12</v>
      </c>
      <c r="N157" s="24">
        <f>_xlfn.XLOOKUP(Snitch_Fashion_Sales_cleaned!$J157,Table2[City],Table2[City_Key],"not found")</f>
        <v>3</v>
      </c>
      <c r="O157" s="23">
        <f>_xlfn.XLOOKUP(Snitch_Fashion_Sales_cleaned!$D157,Table4[Product_Name],Table4[Product_Key],"not found")</f>
        <v>14</v>
      </c>
      <c r="P157" s="32">
        <f>_xlfn.XLOOKUP(Snitch_Fashion_Sales_cleaned!$I157,Table3[Order_Date],Table3[Date_Key])</f>
        <v>101</v>
      </c>
    </row>
    <row r="158" spans="1:16" x14ac:dyDescent="0.3">
      <c r="A158" s="27">
        <v>1156</v>
      </c>
      <c r="B158" s="25" t="s">
        <v>204</v>
      </c>
      <c r="C158" s="25" t="s">
        <v>36</v>
      </c>
      <c r="D158" s="26" t="s">
        <v>59</v>
      </c>
      <c r="E158" s="27">
        <v>3</v>
      </c>
      <c r="F158" s="28">
        <v>2765.26</v>
      </c>
      <c r="G158" s="29">
        <v>0.93</v>
      </c>
      <c r="H158" s="28">
        <f t="shared" si="6"/>
        <v>8295.7800000000007</v>
      </c>
      <c r="I158" s="30">
        <v>45647</v>
      </c>
      <c r="J158" s="26" t="s">
        <v>15</v>
      </c>
      <c r="K158" s="26" t="s">
        <v>23</v>
      </c>
      <c r="L158" s="31">
        <f t="shared" si="7"/>
        <v>580.70459999999969</v>
      </c>
      <c r="M158" s="31">
        <v>145.17614999999992</v>
      </c>
      <c r="N158" s="22">
        <f>_xlfn.XLOOKUP(Snitch_Fashion_Sales_cleaned!$J158,Table2[City],Table2[City_Key],"not found")</f>
        <v>1</v>
      </c>
      <c r="O158" s="21">
        <f>_xlfn.XLOOKUP(Snitch_Fashion_Sales_cleaned!$D158,Table4[Product_Name],Table4[Product_Key],"not found")</f>
        <v>13</v>
      </c>
      <c r="P158" s="25">
        <f>_xlfn.XLOOKUP(Snitch_Fashion_Sales_cleaned!$I158,Table3[Order_Date],Table3[Date_Key])</f>
        <v>5</v>
      </c>
    </row>
    <row r="159" spans="1:16" x14ac:dyDescent="0.3">
      <c r="A159" s="34">
        <v>1157</v>
      </c>
      <c r="B159" s="32" t="s">
        <v>205</v>
      </c>
      <c r="C159" s="32" t="s">
        <v>13</v>
      </c>
      <c r="D159" s="33" t="s">
        <v>98</v>
      </c>
      <c r="E159" s="34">
        <v>6</v>
      </c>
      <c r="F159" s="35">
        <v>645.03</v>
      </c>
      <c r="G159" s="36">
        <v>0.51</v>
      </c>
      <c r="H159" s="35">
        <f t="shared" si="6"/>
        <v>3870.18</v>
      </c>
      <c r="I159" s="37">
        <v>45833</v>
      </c>
      <c r="J159" s="33" t="s">
        <v>18</v>
      </c>
      <c r="K159" s="33" t="s">
        <v>16</v>
      </c>
      <c r="L159" s="38">
        <f t="shared" si="7"/>
        <v>1896.3881999999999</v>
      </c>
      <c r="M159" s="38">
        <v>474.09704999999997</v>
      </c>
      <c r="N159" s="24">
        <f>_xlfn.XLOOKUP(Snitch_Fashion_Sales_cleaned!$J159,Table2[City],Table2[City_Key],"not found")</f>
        <v>2</v>
      </c>
      <c r="O159" s="23">
        <f>_xlfn.XLOOKUP(Snitch_Fashion_Sales_cleaned!$D159,Table4[Product_Name],Table4[Product_Key],"not found")</f>
        <v>21</v>
      </c>
      <c r="P159" s="32">
        <f>_xlfn.XLOOKUP(Snitch_Fashion_Sales_cleaned!$I159,Table3[Order_Date],Table3[Date_Key])</f>
        <v>102</v>
      </c>
    </row>
    <row r="160" spans="1:16" x14ac:dyDescent="0.3">
      <c r="A160" s="27">
        <v>1158</v>
      </c>
      <c r="B160" s="25" t="s">
        <v>206</v>
      </c>
      <c r="C160" s="25" t="s">
        <v>36</v>
      </c>
      <c r="D160" s="26" t="s">
        <v>59</v>
      </c>
      <c r="E160" s="27">
        <v>3</v>
      </c>
      <c r="F160" s="28">
        <v>4516.08</v>
      </c>
      <c r="G160" s="29">
        <v>0.51</v>
      </c>
      <c r="H160" s="28">
        <f t="shared" si="6"/>
        <v>13548.24</v>
      </c>
      <c r="I160" s="30">
        <v>45844</v>
      </c>
      <c r="J160" s="26" t="s">
        <v>15</v>
      </c>
      <c r="K160" s="26" t="s">
        <v>23</v>
      </c>
      <c r="L160" s="31">
        <f t="shared" si="7"/>
        <v>6638.6376</v>
      </c>
      <c r="M160" s="31">
        <v>2164.9499999999998</v>
      </c>
      <c r="N160" s="22">
        <f>_xlfn.XLOOKUP(Snitch_Fashion_Sales_cleaned!$J160,Table2[City],Table2[City_Key],"not found")</f>
        <v>1</v>
      </c>
      <c r="O160" s="21">
        <f>_xlfn.XLOOKUP(Snitch_Fashion_Sales_cleaned!$D160,Table4[Product_Name],Table4[Product_Key],"not found")</f>
        <v>13</v>
      </c>
      <c r="P160" s="25">
        <f>_xlfn.XLOOKUP(Snitch_Fashion_Sales_cleaned!$I160,Table3[Order_Date],Table3[Date_Key])</f>
        <v>103</v>
      </c>
    </row>
    <row r="161" spans="1:16" x14ac:dyDescent="0.3">
      <c r="A161" s="34">
        <v>1159</v>
      </c>
      <c r="B161" s="32" t="s">
        <v>207</v>
      </c>
      <c r="C161" s="32" t="s">
        <v>25</v>
      </c>
      <c r="D161" s="33" t="s">
        <v>50</v>
      </c>
      <c r="E161" s="34">
        <v>4</v>
      </c>
      <c r="F161" s="35">
        <v>3335.18</v>
      </c>
      <c r="G161" s="36">
        <v>0.09</v>
      </c>
      <c r="H161" s="35">
        <f t="shared" si="6"/>
        <v>13340.72</v>
      </c>
      <c r="I161" s="37">
        <v>45647</v>
      </c>
      <c r="J161" s="33" t="s">
        <v>18</v>
      </c>
      <c r="K161" s="33" t="s">
        <v>16</v>
      </c>
      <c r="L161" s="38">
        <f t="shared" si="7"/>
        <v>12140.055200000001</v>
      </c>
      <c r="M161" s="38">
        <v>235.11</v>
      </c>
      <c r="N161" s="24">
        <f>_xlfn.XLOOKUP(Snitch_Fashion_Sales_cleaned!$J161,Table2[City],Table2[City_Key],"not found")</f>
        <v>2</v>
      </c>
      <c r="O161" s="23">
        <f>_xlfn.XLOOKUP(Snitch_Fashion_Sales_cleaned!$D161,Table4[Product_Name],Table4[Product_Key],"not found")</f>
        <v>11</v>
      </c>
      <c r="P161" s="32">
        <f>_xlfn.XLOOKUP(Snitch_Fashion_Sales_cleaned!$I161,Table3[Order_Date],Table3[Date_Key])</f>
        <v>5</v>
      </c>
    </row>
    <row r="162" spans="1:16" x14ac:dyDescent="0.3">
      <c r="A162" s="27">
        <v>1160</v>
      </c>
      <c r="B162" s="25" t="s">
        <v>208</v>
      </c>
      <c r="C162" s="25" t="s">
        <v>36</v>
      </c>
      <c r="D162" s="26" t="s">
        <v>37</v>
      </c>
      <c r="E162" s="27">
        <v>4</v>
      </c>
      <c r="F162" s="28">
        <v>2975.64</v>
      </c>
      <c r="G162" s="29">
        <v>0.77</v>
      </c>
      <c r="H162" s="28">
        <f t="shared" si="6"/>
        <v>11902.56</v>
      </c>
      <c r="I162" s="30">
        <v>45607</v>
      </c>
      <c r="J162" s="26" t="s">
        <v>52</v>
      </c>
      <c r="K162" s="26" t="s">
        <v>23</v>
      </c>
      <c r="L162" s="31">
        <f t="shared" si="7"/>
        <v>2737.5887999999995</v>
      </c>
      <c r="M162" s="31">
        <v>-711.19</v>
      </c>
      <c r="N162" s="22">
        <f>_xlfn.XLOOKUP(Snitch_Fashion_Sales_cleaned!$J162,Table2[City],Table2[City_Key],"not found")</f>
        <v>5</v>
      </c>
      <c r="O162" s="21">
        <f>_xlfn.XLOOKUP(Snitch_Fashion_Sales_cleaned!$D162,Table4[Product_Name],Table4[Product_Key],"not found")</f>
        <v>7</v>
      </c>
      <c r="P162" s="25">
        <f>_xlfn.XLOOKUP(Snitch_Fashion_Sales_cleaned!$I162,Table3[Order_Date],Table3[Date_Key])</f>
        <v>104</v>
      </c>
    </row>
    <row r="163" spans="1:16" x14ac:dyDescent="0.3">
      <c r="A163" s="34">
        <v>1161</v>
      </c>
      <c r="B163" s="32" t="s">
        <v>209</v>
      </c>
      <c r="C163" s="32" t="s">
        <v>31</v>
      </c>
      <c r="D163" s="33" t="s">
        <v>68</v>
      </c>
      <c r="E163" s="34">
        <v>4</v>
      </c>
      <c r="F163" s="35">
        <v>1801.91</v>
      </c>
      <c r="G163" s="36">
        <v>0.51</v>
      </c>
      <c r="H163" s="35">
        <f t="shared" si="6"/>
        <v>7207.64</v>
      </c>
      <c r="I163" s="37">
        <v>45352</v>
      </c>
      <c r="J163" s="33" t="s">
        <v>22</v>
      </c>
      <c r="K163" s="33" t="s">
        <v>23</v>
      </c>
      <c r="L163" s="38">
        <f t="shared" si="7"/>
        <v>3531.7436000000002</v>
      </c>
      <c r="M163" s="38">
        <v>502.86</v>
      </c>
      <c r="N163" s="24">
        <f>_xlfn.XLOOKUP(Snitch_Fashion_Sales_cleaned!$J163,Table2[City],Table2[City_Key],"not found")</f>
        <v>3</v>
      </c>
      <c r="O163" s="23">
        <f>_xlfn.XLOOKUP(Snitch_Fashion_Sales_cleaned!$D163,Table4[Product_Name],Table4[Product_Key],"not found")</f>
        <v>15</v>
      </c>
      <c r="P163" s="32">
        <f>_xlfn.XLOOKUP(Snitch_Fashion_Sales_cleaned!$I163,Table3[Order_Date],Table3[Date_Key])</f>
        <v>105</v>
      </c>
    </row>
    <row r="164" spans="1:16" x14ac:dyDescent="0.3">
      <c r="A164" s="27">
        <v>1162</v>
      </c>
      <c r="B164" s="25" t="s">
        <v>210</v>
      </c>
      <c r="C164" s="25" t="s">
        <v>25</v>
      </c>
      <c r="D164" s="26" t="s">
        <v>82</v>
      </c>
      <c r="E164" s="27">
        <v>4</v>
      </c>
      <c r="F164" s="28">
        <v>2385.5749999999998</v>
      </c>
      <c r="G164" s="29">
        <v>0.14000000000000001</v>
      </c>
      <c r="H164" s="28">
        <f t="shared" si="6"/>
        <v>9542.2999999999993</v>
      </c>
      <c r="I164" s="30">
        <v>45621</v>
      </c>
      <c r="J164" s="26" t="s">
        <v>22</v>
      </c>
      <c r="K164" s="26" t="s">
        <v>16</v>
      </c>
      <c r="L164" s="31">
        <f t="shared" si="7"/>
        <v>8206.3779999999988</v>
      </c>
      <c r="M164" s="31">
        <v>2566.0500000000002</v>
      </c>
      <c r="N164" s="22">
        <f>_xlfn.XLOOKUP(Snitch_Fashion_Sales_cleaned!$J164,Table2[City],Table2[City_Key],"not found")</f>
        <v>3</v>
      </c>
      <c r="O164" s="21">
        <f>_xlfn.XLOOKUP(Snitch_Fashion_Sales_cleaned!$D164,Table4[Product_Name],Table4[Product_Key],"not found")</f>
        <v>18</v>
      </c>
      <c r="P164" s="25">
        <f>_xlfn.XLOOKUP(Snitch_Fashion_Sales_cleaned!$I164,Table3[Order_Date],Table3[Date_Key])</f>
        <v>106</v>
      </c>
    </row>
    <row r="165" spans="1:16" x14ac:dyDescent="0.3">
      <c r="A165" s="34">
        <v>1163</v>
      </c>
      <c r="B165" s="32" t="s">
        <v>211</v>
      </c>
      <c r="C165" s="32" t="s">
        <v>28</v>
      </c>
      <c r="D165" s="33" t="s">
        <v>39</v>
      </c>
      <c r="E165" s="34">
        <v>3</v>
      </c>
      <c r="F165" s="35">
        <v>1033.58</v>
      </c>
      <c r="G165" s="36">
        <v>0.68</v>
      </c>
      <c r="H165" s="35">
        <f t="shared" si="6"/>
        <v>3100.74</v>
      </c>
      <c r="I165" s="37">
        <v>45666</v>
      </c>
      <c r="J165" s="33" t="s">
        <v>2540</v>
      </c>
      <c r="K165" s="33" t="s">
        <v>16</v>
      </c>
      <c r="L165" s="38">
        <f t="shared" si="7"/>
        <v>992.23679999999979</v>
      </c>
      <c r="M165" s="38">
        <v>-441.46</v>
      </c>
      <c r="N165" s="24">
        <f>_xlfn.XLOOKUP(Snitch_Fashion_Sales_cleaned!$J165,Table2[City],Table2[City_Key],"not found")</f>
        <v>4</v>
      </c>
      <c r="O165" s="23">
        <f>_xlfn.XLOOKUP(Snitch_Fashion_Sales_cleaned!$D165,Table4[Product_Name],Table4[Product_Key],"not found")</f>
        <v>8</v>
      </c>
      <c r="P165" s="32">
        <f>_xlfn.XLOOKUP(Snitch_Fashion_Sales_cleaned!$I165,Table3[Order_Date],Table3[Date_Key])</f>
        <v>107</v>
      </c>
    </row>
    <row r="166" spans="1:16" x14ac:dyDescent="0.3">
      <c r="A166" s="27">
        <v>1164</v>
      </c>
      <c r="B166" s="25" t="s">
        <v>212</v>
      </c>
      <c r="C166" s="25" t="s">
        <v>28</v>
      </c>
      <c r="D166" s="26" t="s">
        <v>39</v>
      </c>
      <c r="E166" s="27">
        <v>5</v>
      </c>
      <c r="F166" s="28">
        <v>2577.6350000000002</v>
      </c>
      <c r="G166" s="29">
        <v>0.51</v>
      </c>
      <c r="H166" s="28">
        <f t="shared" si="6"/>
        <v>12888.175000000001</v>
      </c>
      <c r="I166" s="30">
        <v>45647</v>
      </c>
      <c r="J166" s="26" t="s">
        <v>52</v>
      </c>
      <c r="K166" s="26" t="s">
        <v>23</v>
      </c>
      <c r="L166" s="31">
        <f t="shared" si="7"/>
        <v>6315.2057500000001</v>
      </c>
      <c r="M166" s="31">
        <v>598.79</v>
      </c>
      <c r="N166" s="22">
        <f>_xlfn.XLOOKUP(Snitch_Fashion_Sales_cleaned!$J166,Table2[City],Table2[City_Key],"not found")</f>
        <v>5</v>
      </c>
      <c r="O166" s="21">
        <f>_xlfn.XLOOKUP(Snitch_Fashion_Sales_cleaned!$D166,Table4[Product_Name],Table4[Product_Key],"not found")</f>
        <v>8</v>
      </c>
      <c r="P166" s="25">
        <f>_xlfn.XLOOKUP(Snitch_Fashion_Sales_cleaned!$I166,Table3[Order_Date],Table3[Date_Key])</f>
        <v>5</v>
      </c>
    </row>
    <row r="167" spans="1:16" x14ac:dyDescent="0.3">
      <c r="A167" s="34">
        <v>1165</v>
      </c>
      <c r="B167" s="32" t="s">
        <v>213</v>
      </c>
      <c r="C167" s="32" t="s">
        <v>31</v>
      </c>
      <c r="D167" s="33" t="s">
        <v>68</v>
      </c>
      <c r="E167" s="34">
        <v>2</v>
      </c>
      <c r="F167" s="35">
        <v>2765.79</v>
      </c>
      <c r="G167" s="36">
        <v>0.08</v>
      </c>
      <c r="H167" s="35">
        <f t="shared" si="6"/>
        <v>5531.58</v>
      </c>
      <c r="I167" s="37">
        <v>45569</v>
      </c>
      <c r="J167" s="33" t="s">
        <v>2540</v>
      </c>
      <c r="K167" s="33" t="s">
        <v>23</v>
      </c>
      <c r="L167" s="38">
        <f t="shared" si="7"/>
        <v>5089.0536000000002</v>
      </c>
      <c r="M167" s="38">
        <v>-102.32</v>
      </c>
      <c r="N167" s="24">
        <f>_xlfn.XLOOKUP(Snitch_Fashion_Sales_cleaned!$J167,Table2[City],Table2[City_Key],"not found")</f>
        <v>4</v>
      </c>
      <c r="O167" s="23">
        <f>_xlfn.XLOOKUP(Snitch_Fashion_Sales_cleaned!$D167,Table4[Product_Name],Table4[Product_Key],"not found")</f>
        <v>15</v>
      </c>
      <c r="P167" s="32">
        <f>_xlfn.XLOOKUP(Snitch_Fashion_Sales_cleaned!$I167,Table3[Order_Date],Table3[Date_Key])</f>
        <v>108</v>
      </c>
    </row>
    <row r="168" spans="1:16" x14ac:dyDescent="0.3">
      <c r="A168" s="27">
        <v>1166</v>
      </c>
      <c r="B168" s="25" t="s">
        <v>214</v>
      </c>
      <c r="C168" s="25" t="s">
        <v>20</v>
      </c>
      <c r="D168" s="26" t="s">
        <v>76</v>
      </c>
      <c r="E168" s="27">
        <v>3</v>
      </c>
      <c r="F168" s="28">
        <v>2229.4899999999998</v>
      </c>
      <c r="G168" s="29">
        <v>0.91</v>
      </c>
      <c r="H168" s="28">
        <f t="shared" si="6"/>
        <v>6688.4699999999993</v>
      </c>
      <c r="I168" s="30">
        <v>45165</v>
      </c>
      <c r="J168" s="26" t="s">
        <v>18</v>
      </c>
      <c r="K168" s="26" t="s">
        <v>23</v>
      </c>
      <c r="L168" s="31">
        <f t="shared" si="7"/>
        <v>601.96229999999969</v>
      </c>
      <c r="M168" s="31">
        <v>285.44</v>
      </c>
      <c r="N168" s="22">
        <f>_xlfn.XLOOKUP(Snitch_Fashion_Sales_cleaned!$J168,Table2[City],Table2[City_Key],"not found")</f>
        <v>2</v>
      </c>
      <c r="O168" s="21">
        <f>_xlfn.XLOOKUP(Snitch_Fashion_Sales_cleaned!$D168,Table4[Product_Name],Table4[Product_Key],"not found")</f>
        <v>16</v>
      </c>
      <c r="P168" s="25">
        <f>_xlfn.XLOOKUP(Snitch_Fashion_Sales_cleaned!$I168,Table3[Order_Date],Table3[Date_Key])</f>
        <v>109</v>
      </c>
    </row>
    <row r="169" spans="1:16" x14ac:dyDescent="0.3">
      <c r="A169" s="34">
        <v>1167</v>
      </c>
      <c r="B169" s="32" t="s">
        <v>215</v>
      </c>
      <c r="C169" s="32" t="s">
        <v>31</v>
      </c>
      <c r="D169" s="33" t="s">
        <v>41</v>
      </c>
      <c r="E169" s="34">
        <v>3</v>
      </c>
      <c r="F169" s="35">
        <v>4595.8999999999996</v>
      </c>
      <c r="G169" s="36">
        <v>0.09</v>
      </c>
      <c r="H169" s="35">
        <f t="shared" si="6"/>
        <v>13787.699999999999</v>
      </c>
      <c r="I169" s="37">
        <v>45791</v>
      </c>
      <c r="J169" s="33" t="s">
        <v>2540</v>
      </c>
      <c r="K169" s="33" t="s">
        <v>23</v>
      </c>
      <c r="L169" s="38">
        <f t="shared" si="7"/>
        <v>12546.806999999999</v>
      </c>
      <c r="M169" s="38">
        <v>-653.79999999999995</v>
      </c>
      <c r="N169" s="24">
        <f>_xlfn.XLOOKUP(Snitch_Fashion_Sales_cleaned!$J169,Table2[City],Table2[City_Key],"not found")</f>
        <v>4</v>
      </c>
      <c r="O169" s="23">
        <f>_xlfn.XLOOKUP(Snitch_Fashion_Sales_cleaned!$D169,Table4[Product_Name],Table4[Product_Key],"not found")</f>
        <v>9</v>
      </c>
      <c r="P169" s="32">
        <f>_xlfn.XLOOKUP(Snitch_Fashion_Sales_cleaned!$I169,Table3[Order_Date],Table3[Date_Key])</f>
        <v>79</v>
      </c>
    </row>
    <row r="170" spans="1:16" x14ac:dyDescent="0.3">
      <c r="A170" s="27">
        <v>1168</v>
      </c>
      <c r="B170" s="25" t="s">
        <v>216</v>
      </c>
      <c r="C170" s="25" t="s">
        <v>28</v>
      </c>
      <c r="D170" s="26" t="s">
        <v>39</v>
      </c>
      <c r="E170" s="27">
        <v>3</v>
      </c>
      <c r="F170" s="28">
        <v>3655.71</v>
      </c>
      <c r="G170" s="29">
        <v>0.48</v>
      </c>
      <c r="H170" s="28">
        <f t="shared" si="6"/>
        <v>10967.130000000001</v>
      </c>
      <c r="I170" s="30">
        <v>45609</v>
      </c>
      <c r="J170" s="26" t="s">
        <v>52</v>
      </c>
      <c r="K170" s="26" t="s">
        <v>23</v>
      </c>
      <c r="L170" s="31">
        <f t="shared" si="7"/>
        <v>5702.9076000000005</v>
      </c>
      <c r="M170" s="31">
        <v>2024.15</v>
      </c>
      <c r="N170" s="22">
        <f>_xlfn.XLOOKUP(Snitch_Fashion_Sales_cleaned!$J170,Table2[City],Table2[City_Key],"not found")</f>
        <v>5</v>
      </c>
      <c r="O170" s="21">
        <f>_xlfn.XLOOKUP(Snitch_Fashion_Sales_cleaned!$D170,Table4[Product_Name],Table4[Product_Key],"not found")</f>
        <v>8</v>
      </c>
      <c r="P170" s="25">
        <f>_xlfn.XLOOKUP(Snitch_Fashion_Sales_cleaned!$I170,Table3[Order_Date],Table3[Date_Key])</f>
        <v>22</v>
      </c>
    </row>
    <row r="171" spans="1:16" x14ac:dyDescent="0.3">
      <c r="A171" s="34">
        <v>1169</v>
      </c>
      <c r="B171" s="32" t="s">
        <v>217</v>
      </c>
      <c r="C171" s="32" t="s">
        <v>31</v>
      </c>
      <c r="D171" s="33" t="s">
        <v>68</v>
      </c>
      <c r="E171" s="34">
        <v>4</v>
      </c>
      <c r="F171" s="35">
        <v>2948.26</v>
      </c>
      <c r="G171" s="36">
        <v>0.9</v>
      </c>
      <c r="H171" s="35">
        <f t="shared" si="6"/>
        <v>11793.04</v>
      </c>
      <c r="I171" s="37">
        <v>45647</v>
      </c>
      <c r="J171" s="33" t="s">
        <v>43</v>
      </c>
      <c r="K171" s="33" t="s">
        <v>23</v>
      </c>
      <c r="L171" s="38">
        <f t="shared" si="7"/>
        <v>1179.3039999999999</v>
      </c>
      <c r="M171" s="38">
        <v>294.82599999999996</v>
      </c>
      <c r="N171" s="24">
        <f>_xlfn.XLOOKUP(Snitch_Fashion_Sales_cleaned!$J171,Table2[City],Table2[City_Key],"not found")</f>
        <v>6</v>
      </c>
      <c r="O171" s="23">
        <f>_xlfn.XLOOKUP(Snitch_Fashion_Sales_cleaned!$D171,Table4[Product_Name],Table4[Product_Key],"not found")</f>
        <v>15</v>
      </c>
      <c r="P171" s="32">
        <f>_xlfn.XLOOKUP(Snitch_Fashion_Sales_cleaned!$I171,Table3[Order_Date],Table3[Date_Key])</f>
        <v>5</v>
      </c>
    </row>
    <row r="172" spans="1:16" x14ac:dyDescent="0.3">
      <c r="A172" s="27">
        <v>1170</v>
      </c>
      <c r="B172" s="25" t="s">
        <v>218</v>
      </c>
      <c r="C172" s="25" t="s">
        <v>13</v>
      </c>
      <c r="D172" s="26" t="s">
        <v>46</v>
      </c>
      <c r="E172" s="27">
        <v>4</v>
      </c>
      <c r="F172" s="28">
        <v>2891.64</v>
      </c>
      <c r="G172" s="29">
        <v>0.76</v>
      </c>
      <c r="H172" s="28">
        <f t="shared" si="6"/>
        <v>11566.56</v>
      </c>
      <c r="I172" s="30">
        <v>45647</v>
      </c>
      <c r="J172" s="26" t="s">
        <v>15</v>
      </c>
      <c r="K172" s="26" t="s">
        <v>16</v>
      </c>
      <c r="L172" s="31">
        <f t="shared" si="7"/>
        <v>2775.9743999999996</v>
      </c>
      <c r="M172" s="31">
        <v>-528.70000000000005</v>
      </c>
      <c r="N172" s="22">
        <f>_xlfn.XLOOKUP(Snitch_Fashion_Sales_cleaned!$J172,Table2[City],Table2[City_Key],"not found")</f>
        <v>1</v>
      </c>
      <c r="O172" s="21">
        <f>_xlfn.XLOOKUP(Snitch_Fashion_Sales_cleaned!$D172,Table4[Product_Name],Table4[Product_Key],"not found")</f>
        <v>10</v>
      </c>
      <c r="P172" s="25">
        <f>_xlfn.XLOOKUP(Snitch_Fashion_Sales_cleaned!$I172,Table3[Order_Date],Table3[Date_Key])</f>
        <v>5</v>
      </c>
    </row>
    <row r="173" spans="1:16" x14ac:dyDescent="0.3">
      <c r="A173" s="34">
        <v>1171</v>
      </c>
      <c r="B173" s="32" t="s">
        <v>219</v>
      </c>
      <c r="C173" s="32" t="s">
        <v>13</v>
      </c>
      <c r="D173" s="33" t="s">
        <v>46</v>
      </c>
      <c r="E173" s="34">
        <v>1</v>
      </c>
      <c r="F173" s="35">
        <v>2891.64</v>
      </c>
      <c r="G173" s="36">
        <v>0.51</v>
      </c>
      <c r="H173" s="35">
        <f t="shared" si="6"/>
        <v>2891.64</v>
      </c>
      <c r="I173" s="37">
        <v>45824</v>
      </c>
      <c r="J173" s="33" t="s">
        <v>43</v>
      </c>
      <c r="K173" s="33" t="s">
        <v>23</v>
      </c>
      <c r="L173" s="38">
        <f t="shared" si="7"/>
        <v>1416.9035999999999</v>
      </c>
      <c r="M173" s="38">
        <v>354.22589999999997</v>
      </c>
      <c r="N173" s="24">
        <f>_xlfn.XLOOKUP(Snitch_Fashion_Sales_cleaned!$J173,Table2[City],Table2[City_Key],"not found")</f>
        <v>6</v>
      </c>
      <c r="O173" s="23">
        <f>_xlfn.XLOOKUP(Snitch_Fashion_Sales_cleaned!$D173,Table4[Product_Name],Table4[Product_Key],"not found")</f>
        <v>10</v>
      </c>
      <c r="P173" s="32">
        <f>_xlfn.XLOOKUP(Snitch_Fashion_Sales_cleaned!$I173,Table3[Order_Date],Table3[Date_Key])</f>
        <v>110</v>
      </c>
    </row>
    <row r="174" spans="1:16" x14ac:dyDescent="0.3">
      <c r="A174" s="27">
        <v>1172</v>
      </c>
      <c r="B174" s="25" t="s">
        <v>220</v>
      </c>
      <c r="C174" s="25" t="s">
        <v>20</v>
      </c>
      <c r="D174" s="26" t="s">
        <v>21</v>
      </c>
      <c r="E174" s="27">
        <v>4</v>
      </c>
      <c r="F174" s="28">
        <v>2719.32</v>
      </c>
      <c r="G174" s="29">
        <v>0.51</v>
      </c>
      <c r="H174" s="28">
        <f t="shared" si="6"/>
        <v>10877.28</v>
      </c>
      <c r="I174" s="30">
        <v>45779</v>
      </c>
      <c r="J174" s="26" t="s">
        <v>52</v>
      </c>
      <c r="K174" s="26" t="s">
        <v>16</v>
      </c>
      <c r="L174" s="31">
        <f t="shared" si="7"/>
        <v>5329.8672000000006</v>
      </c>
      <c r="M174" s="31">
        <v>655.1</v>
      </c>
      <c r="N174" s="22">
        <f>_xlfn.XLOOKUP(Snitch_Fashion_Sales_cleaned!$J174,Table2[City],Table2[City_Key],"not found")</f>
        <v>5</v>
      </c>
      <c r="O174" s="21">
        <f>_xlfn.XLOOKUP(Snitch_Fashion_Sales_cleaned!$D174,Table4[Product_Name],Table4[Product_Key],"not found")</f>
        <v>2</v>
      </c>
      <c r="P174" s="25">
        <f>_xlfn.XLOOKUP(Snitch_Fashion_Sales_cleaned!$I174,Table3[Order_Date],Table3[Date_Key])</f>
        <v>74</v>
      </c>
    </row>
    <row r="175" spans="1:16" x14ac:dyDescent="0.3">
      <c r="A175" s="34">
        <v>1173</v>
      </c>
      <c r="B175" s="32" t="s">
        <v>221</v>
      </c>
      <c r="C175" s="32" t="s">
        <v>13</v>
      </c>
      <c r="D175" s="33" t="s">
        <v>34</v>
      </c>
      <c r="E175" s="34">
        <v>3</v>
      </c>
      <c r="F175" s="35">
        <v>4063.39</v>
      </c>
      <c r="G175" s="36">
        <v>0.51</v>
      </c>
      <c r="H175" s="35">
        <f t="shared" si="6"/>
        <v>12190.17</v>
      </c>
      <c r="I175" s="37">
        <v>45647</v>
      </c>
      <c r="J175" s="33" t="s">
        <v>2540</v>
      </c>
      <c r="K175" s="33" t="s">
        <v>23</v>
      </c>
      <c r="L175" s="38">
        <f t="shared" si="7"/>
        <v>5973.1832999999997</v>
      </c>
      <c r="M175" s="38">
        <v>2034.39</v>
      </c>
      <c r="N175" s="24">
        <f>_xlfn.XLOOKUP(Snitch_Fashion_Sales_cleaned!$J175,Table2[City],Table2[City_Key],"not found")</f>
        <v>4</v>
      </c>
      <c r="O175" s="23">
        <f>_xlfn.XLOOKUP(Snitch_Fashion_Sales_cleaned!$D175,Table4[Product_Name],Table4[Product_Key],"not found")</f>
        <v>6</v>
      </c>
      <c r="P175" s="32">
        <f>_xlfn.XLOOKUP(Snitch_Fashion_Sales_cleaned!$I175,Table3[Order_Date],Table3[Date_Key])</f>
        <v>5</v>
      </c>
    </row>
    <row r="176" spans="1:16" x14ac:dyDescent="0.3">
      <c r="A176" s="27">
        <v>1174</v>
      </c>
      <c r="B176" s="25" t="s">
        <v>222</v>
      </c>
      <c r="C176" s="25" t="s">
        <v>20</v>
      </c>
      <c r="D176" s="26" t="s">
        <v>118</v>
      </c>
      <c r="E176" s="27">
        <v>6</v>
      </c>
      <c r="F176" s="28">
        <v>4984.6499999999996</v>
      </c>
      <c r="G176" s="29">
        <v>0.42</v>
      </c>
      <c r="H176" s="28">
        <f t="shared" si="6"/>
        <v>29907.899999999998</v>
      </c>
      <c r="I176" s="30">
        <v>45649</v>
      </c>
      <c r="J176" s="26" t="s">
        <v>2540</v>
      </c>
      <c r="K176" s="26" t="s">
        <v>23</v>
      </c>
      <c r="L176" s="31">
        <f t="shared" si="7"/>
        <v>17346.582000000002</v>
      </c>
      <c r="M176" s="31">
        <v>2931.32</v>
      </c>
      <c r="N176" s="22">
        <f>_xlfn.XLOOKUP(Snitch_Fashion_Sales_cleaned!$J176,Table2[City],Table2[City_Key],"not found")</f>
        <v>4</v>
      </c>
      <c r="O176" s="21">
        <f>_xlfn.XLOOKUP(Snitch_Fashion_Sales_cleaned!$D176,Table4[Product_Name],Table4[Product_Key],"not found")</f>
        <v>23</v>
      </c>
      <c r="P176" s="25">
        <f>_xlfn.XLOOKUP(Snitch_Fashion_Sales_cleaned!$I176,Table3[Order_Date],Table3[Date_Key])</f>
        <v>42</v>
      </c>
    </row>
    <row r="177" spans="1:16" x14ac:dyDescent="0.3">
      <c r="A177" s="34">
        <v>1175</v>
      </c>
      <c r="B177" s="32" t="s">
        <v>223</v>
      </c>
      <c r="C177" s="32" t="s">
        <v>36</v>
      </c>
      <c r="D177" s="33" t="s">
        <v>37</v>
      </c>
      <c r="E177" s="34">
        <v>3</v>
      </c>
      <c r="F177" s="35">
        <v>2975.64</v>
      </c>
      <c r="G177" s="36">
        <v>0.51</v>
      </c>
      <c r="H177" s="35">
        <f t="shared" si="6"/>
        <v>8926.92</v>
      </c>
      <c r="I177" s="37">
        <v>45566</v>
      </c>
      <c r="J177" s="33" t="s">
        <v>18</v>
      </c>
      <c r="K177" s="33" t="s">
        <v>16</v>
      </c>
      <c r="L177" s="38">
        <f t="shared" si="7"/>
        <v>4374.1908000000003</v>
      </c>
      <c r="M177" s="38">
        <v>728.61</v>
      </c>
      <c r="N177" s="24">
        <f>_xlfn.XLOOKUP(Snitch_Fashion_Sales_cleaned!$J177,Table2[City],Table2[City_Key],"not found")</f>
        <v>2</v>
      </c>
      <c r="O177" s="23">
        <f>_xlfn.XLOOKUP(Snitch_Fashion_Sales_cleaned!$D177,Table4[Product_Name],Table4[Product_Key],"not found")</f>
        <v>7</v>
      </c>
      <c r="P177" s="32">
        <f>_xlfn.XLOOKUP(Snitch_Fashion_Sales_cleaned!$I177,Table3[Order_Date],Table3[Date_Key])</f>
        <v>111</v>
      </c>
    </row>
    <row r="178" spans="1:16" x14ac:dyDescent="0.3">
      <c r="A178" s="27">
        <v>1176</v>
      </c>
      <c r="B178" s="25" t="s">
        <v>224</v>
      </c>
      <c r="C178" s="25" t="s">
        <v>13</v>
      </c>
      <c r="D178" s="26" t="s">
        <v>34</v>
      </c>
      <c r="E178" s="27">
        <v>6</v>
      </c>
      <c r="F178" s="28">
        <v>3008.6549999999997</v>
      </c>
      <c r="G178" s="29">
        <v>0.87</v>
      </c>
      <c r="H178" s="28">
        <f t="shared" si="6"/>
        <v>18051.93</v>
      </c>
      <c r="I178" s="30">
        <v>45647</v>
      </c>
      <c r="J178" s="26" t="s">
        <v>22</v>
      </c>
      <c r="K178" s="26" t="s">
        <v>23</v>
      </c>
      <c r="L178" s="31">
        <f t="shared" si="7"/>
        <v>2346.7509</v>
      </c>
      <c r="M178" s="31">
        <v>-879.15</v>
      </c>
      <c r="N178" s="22">
        <f>_xlfn.XLOOKUP(Snitch_Fashion_Sales_cleaned!$J178,Table2[City],Table2[City_Key],"not found")</f>
        <v>3</v>
      </c>
      <c r="O178" s="21">
        <f>_xlfn.XLOOKUP(Snitch_Fashion_Sales_cleaned!$D178,Table4[Product_Name],Table4[Product_Key],"not found")</f>
        <v>6</v>
      </c>
      <c r="P178" s="25">
        <f>_xlfn.XLOOKUP(Snitch_Fashion_Sales_cleaned!$I178,Table3[Order_Date],Table3[Date_Key])</f>
        <v>5</v>
      </c>
    </row>
    <row r="179" spans="1:16" x14ac:dyDescent="0.3">
      <c r="A179" s="34">
        <v>1177</v>
      </c>
      <c r="B179" s="32" t="s">
        <v>225</v>
      </c>
      <c r="C179" s="32" t="s">
        <v>13</v>
      </c>
      <c r="D179" s="33" t="s">
        <v>46</v>
      </c>
      <c r="E179" s="34">
        <v>4</v>
      </c>
      <c r="F179" s="35">
        <v>2426.13</v>
      </c>
      <c r="G179" s="36">
        <v>0.51</v>
      </c>
      <c r="H179" s="35">
        <f t="shared" si="6"/>
        <v>9704.52</v>
      </c>
      <c r="I179" s="37">
        <v>45746</v>
      </c>
      <c r="J179" s="33" t="s">
        <v>18</v>
      </c>
      <c r="K179" s="33" t="s">
        <v>16</v>
      </c>
      <c r="L179" s="38">
        <f t="shared" si="7"/>
        <v>4755.2147999999997</v>
      </c>
      <c r="M179" s="38">
        <v>353.91</v>
      </c>
      <c r="N179" s="24">
        <f>_xlfn.XLOOKUP(Snitch_Fashion_Sales_cleaned!$J179,Table2[City],Table2[City_Key],"not found")</f>
        <v>2</v>
      </c>
      <c r="O179" s="23">
        <f>_xlfn.XLOOKUP(Snitch_Fashion_Sales_cleaned!$D179,Table4[Product_Name],Table4[Product_Key],"not found")</f>
        <v>10</v>
      </c>
      <c r="P179" s="32">
        <f>_xlfn.XLOOKUP(Snitch_Fashion_Sales_cleaned!$I179,Table3[Order_Date],Table3[Date_Key])</f>
        <v>112</v>
      </c>
    </row>
    <row r="180" spans="1:16" x14ac:dyDescent="0.3">
      <c r="A180" s="27">
        <v>1178</v>
      </c>
      <c r="B180" s="25" t="s">
        <v>226</v>
      </c>
      <c r="C180" s="25" t="s">
        <v>31</v>
      </c>
      <c r="D180" s="26" t="s">
        <v>32</v>
      </c>
      <c r="E180" s="27">
        <v>4</v>
      </c>
      <c r="F180" s="28">
        <v>1204.5899999999999</v>
      </c>
      <c r="G180" s="29">
        <v>0.51</v>
      </c>
      <c r="H180" s="28">
        <f t="shared" si="6"/>
        <v>4818.3599999999997</v>
      </c>
      <c r="I180" s="30">
        <v>45647</v>
      </c>
      <c r="J180" s="26" t="s">
        <v>52</v>
      </c>
      <c r="K180" s="26" t="s">
        <v>23</v>
      </c>
      <c r="L180" s="31">
        <f t="shared" si="7"/>
        <v>2360.9964</v>
      </c>
      <c r="M180" s="31">
        <v>2161.64</v>
      </c>
      <c r="N180" s="22">
        <f>_xlfn.XLOOKUP(Snitch_Fashion_Sales_cleaned!$J180,Table2[City],Table2[City_Key],"not found")</f>
        <v>5</v>
      </c>
      <c r="O180" s="21">
        <f>_xlfn.XLOOKUP(Snitch_Fashion_Sales_cleaned!$D180,Table4[Product_Name],Table4[Product_Key],"not found")</f>
        <v>5</v>
      </c>
      <c r="P180" s="25">
        <f>_xlfn.XLOOKUP(Snitch_Fashion_Sales_cleaned!$I180,Table3[Order_Date],Table3[Date_Key])</f>
        <v>5</v>
      </c>
    </row>
    <row r="181" spans="1:16" x14ac:dyDescent="0.3">
      <c r="A181" s="34">
        <v>1179</v>
      </c>
      <c r="B181" s="32" t="s">
        <v>227</v>
      </c>
      <c r="C181" s="32" t="s">
        <v>20</v>
      </c>
      <c r="D181" s="33" t="s">
        <v>76</v>
      </c>
      <c r="E181" s="34">
        <v>3</v>
      </c>
      <c r="F181" s="35">
        <v>2229.4899999999998</v>
      </c>
      <c r="G181" s="36">
        <v>0.51</v>
      </c>
      <c r="H181" s="35">
        <f t="shared" si="6"/>
        <v>6688.4699999999993</v>
      </c>
      <c r="I181" s="37">
        <v>45751</v>
      </c>
      <c r="J181" s="33" t="s">
        <v>22</v>
      </c>
      <c r="K181" s="33" t="s">
        <v>16</v>
      </c>
      <c r="L181" s="38">
        <f t="shared" si="7"/>
        <v>3277.3502999999996</v>
      </c>
      <c r="M181" s="38">
        <v>510.53</v>
      </c>
      <c r="N181" s="24">
        <f>_xlfn.XLOOKUP(Snitch_Fashion_Sales_cleaned!$J181,Table2[City],Table2[City_Key],"not found")</f>
        <v>3</v>
      </c>
      <c r="O181" s="23">
        <f>_xlfn.XLOOKUP(Snitch_Fashion_Sales_cleaned!$D181,Table4[Product_Name],Table4[Product_Key],"not found")</f>
        <v>16</v>
      </c>
      <c r="P181" s="32">
        <f>_xlfn.XLOOKUP(Snitch_Fashion_Sales_cleaned!$I181,Table3[Order_Date],Table3[Date_Key])</f>
        <v>113</v>
      </c>
    </row>
    <row r="182" spans="1:16" x14ac:dyDescent="0.3">
      <c r="A182" s="27">
        <v>1180</v>
      </c>
      <c r="B182" s="25" t="s">
        <v>228</v>
      </c>
      <c r="C182" s="25" t="s">
        <v>36</v>
      </c>
      <c r="D182" s="26" t="s">
        <v>87</v>
      </c>
      <c r="E182" s="27">
        <v>6</v>
      </c>
      <c r="F182" s="28">
        <v>2495.96</v>
      </c>
      <c r="G182" s="29">
        <v>0.51</v>
      </c>
      <c r="H182" s="28">
        <f t="shared" si="6"/>
        <v>14975.76</v>
      </c>
      <c r="I182" s="30">
        <v>45647</v>
      </c>
      <c r="J182" s="26" t="s">
        <v>52</v>
      </c>
      <c r="K182" s="26" t="s">
        <v>16</v>
      </c>
      <c r="L182" s="31">
        <f t="shared" si="7"/>
        <v>7338.1224000000002</v>
      </c>
      <c r="M182" s="31">
        <v>835.4</v>
      </c>
      <c r="N182" s="22">
        <f>_xlfn.XLOOKUP(Snitch_Fashion_Sales_cleaned!$J182,Table2[City],Table2[City_Key],"not found")</f>
        <v>5</v>
      </c>
      <c r="O182" s="21">
        <f>_xlfn.XLOOKUP(Snitch_Fashion_Sales_cleaned!$D182,Table4[Product_Name],Table4[Product_Key],"not found")</f>
        <v>20</v>
      </c>
      <c r="P182" s="25">
        <f>_xlfn.XLOOKUP(Snitch_Fashion_Sales_cleaned!$I182,Table3[Order_Date],Table3[Date_Key])</f>
        <v>5</v>
      </c>
    </row>
    <row r="183" spans="1:16" x14ac:dyDescent="0.3">
      <c r="A183" s="34">
        <v>1181</v>
      </c>
      <c r="B183" s="32" t="s">
        <v>229</v>
      </c>
      <c r="C183" s="32" t="s">
        <v>20</v>
      </c>
      <c r="D183" s="33" t="s">
        <v>76</v>
      </c>
      <c r="E183" s="34">
        <v>3</v>
      </c>
      <c r="F183" s="35">
        <v>2229.4899999999998</v>
      </c>
      <c r="G183" s="36">
        <v>0.51</v>
      </c>
      <c r="H183" s="35">
        <f t="shared" si="6"/>
        <v>6688.4699999999993</v>
      </c>
      <c r="I183" s="37">
        <v>45732</v>
      </c>
      <c r="J183" s="33" t="s">
        <v>22</v>
      </c>
      <c r="K183" s="33" t="s">
        <v>23</v>
      </c>
      <c r="L183" s="38">
        <f t="shared" si="7"/>
        <v>3277.3502999999996</v>
      </c>
      <c r="M183" s="38">
        <v>2564.06</v>
      </c>
      <c r="N183" s="24">
        <f>_xlfn.XLOOKUP(Snitch_Fashion_Sales_cleaned!$J183,Table2[City],Table2[City_Key],"not found")</f>
        <v>3</v>
      </c>
      <c r="O183" s="23">
        <f>_xlfn.XLOOKUP(Snitch_Fashion_Sales_cleaned!$D183,Table4[Product_Name],Table4[Product_Key],"not found")</f>
        <v>16</v>
      </c>
      <c r="P183" s="32">
        <f>_xlfn.XLOOKUP(Snitch_Fashion_Sales_cleaned!$I183,Table3[Order_Date],Table3[Date_Key])</f>
        <v>57</v>
      </c>
    </row>
    <row r="184" spans="1:16" x14ac:dyDescent="0.3">
      <c r="A184" s="27">
        <v>1182</v>
      </c>
      <c r="B184" s="25" t="s">
        <v>230</v>
      </c>
      <c r="C184" s="25" t="s">
        <v>13</v>
      </c>
      <c r="D184" s="26" t="s">
        <v>14</v>
      </c>
      <c r="E184" s="27">
        <v>4</v>
      </c>
      <c r="F184" s="28">
        <v>2366.6149999999998</v>
      </c>
      <c r="G184" s="29">
        <v>0.51</v>
      </c>
      <c r="H184" s="28">
        <f t="shared" si="6"/>
        <v>9466.4599999999991</v>
      </c>
      <c r="I184" s="30">
        <v>45510</v>
      </c>
      <c r="J184" s="26" t="s">
        <v>43</v>
      </c>
      <c r="K184" s="26" t="s">
        <v>23</v>
      </c>
      <c r="L184" s="31">
        <f t="shared" si="7"/>
        <v>4638.5653999999995</v>
      </c>
      <c r="M184" s="31">
        <v>-747.25</v>
      </c>
      <c r="N184" s="22">
        <f>_xlfn.XLOOKUP(Snitch_Fashion_Sales_cleaned!$J184,Table2[City],Table2[City_Key],"not found")</f>
        <v>6</v>
      </c>
      <c r="O184" s="21">
        <f>_xlfn.XLOOKUP(Snitch_Fashion_Sales_cleaned!$D184,Table4[Product_Name],Table4[Product_Key],"not found")</f>
        <v>1</v>
      </c>
      <c r="P184" s="25">
        <f>_xlfn.XLOOKUP(Snitch_Fashion_Sales_cleaned!$I184,Table3[Order_Date],Table3[Date_Key])</f>
        <v>114</v>
      </c>
    </row>
    <row r="185" spans="1:16" x14ac:dyDescent="0.3">
      <c r="A185" s="34">
        <v>1183</v>
      </c>
      <c r="B185" s="32" t="s">
        <v>231</v>
      </c>
      <c r="C185" s="32" t="s">
        <v>28</v>
      </c>
      <c r="D185" s="33" t="s">
        <v>116</v>
      </c>
      <c r="E185" s="34">
        <v>6</v>
      </c>
      <c r="F185" s="35">
        <v>2372.3000000000002</v>
      </c>
      <c r="G185" s="36">
        <v>0.51</v>
      </c>
      <c r="H185" s="35">
        <f t="shared" si="6"/>
        <v>14233.800000000001</v>
      </c>
      <c r="I185" s="37">
        <v>45378</v>
      </c>
      <c r="J185" s="33" t="s">
        <v>15</v>
      </c>
      <c r="K185" s="33" t="s">
        <v>23</v>
      </c>
      <c r="L185" s="38">
        <f t="shared" si="7"/>
        <v>6974.5620000000008</v>
      </c>
      <c r="M185" s="38">
        <v>1888.87</v>
      </c>
      <c r="N185" s="24">
        <f>_xlfn.XLOOKUP(Snitch_Fashion_Sales_cleaned!$J185,Table2[City],Table2[City_Key],"not found")</f>
        <v>1</v>
      </c>
      <c r="O185" s="23">
        <f>_xlfn.XLOOKUP(Snitch_Fashion_Sales_cleaned!$D185,Table4[Product_Name],Table4[Product_Key],"not found")</f>
        <v>22</v>
      </c>
      <c r="P185" s="32">
        <f>_xlfn.XLOOKUP(Snitch_Fashion_Sales_cleaned!$I185,Table3[Order_Date],Table3[Date_Key])</f>
        <v>115</v>
      </c>
    </row>
    <row r="186" spans="1:16" x14ac:dyDescent="0.3">
      <c r="A186" s="27">
        <v>1184</v>
      </c>
      <c r="B186" s="25" t="s">
        <v>232</v>
      </c>
      <c r="C186" s="25" t="s">
        <v>13</v>
      </c>
      <c r="D186" s="26" t="s">
        <v>98</v>
      </c>
      <c r="E186" s="27">
        <v>5</v>
      </c>
      <c r="F186" s="28">
        <v>2697.1</v>
      </c>
      <c r="G186" s="29">
        <v>0.51</v>
      </c>
      <c r="H186" s="28">
        <f t="shared" si="6"/>
        <v>13485.5</v>
      </c>
      <c r="I186" s="30">
        <v>45829</v>
      </c>
      <c r="J186" s="26" t="s">
        <v>15</v>
      </c>
      <c r="K186" s="26" t="s">
        <v>23</v>
      </c>
      <c r="L186" s="31">
        <f t="shared" si="7"/>
        <v>6607.8949999999995</v>
      </c>
      <c r="M186" s="31">
        <v>1518.99</v>
      </c>
      <c r="N186" s="22">
        <f>_xlfn.XLOOKUP(Snitch_Fashion_Sales_cleaned!$J186,Table2[City],Table2[City_Key],"not found")</f>
        <v>1</v>
      </c>
      <c r="O186" s="21">
        <f>_xlfn.XLOOKUP(Snitch_Fashion_Sales_cleaned!$D186,Table4[Product_Name],Table4[Product_Key],"not found")</f>
        <v>21</v>
      </c>
      <c r="P186" s="25">
        <f>_xlfn.XLOOKUP(Snitch_Fashion_Sales_cleaned!$I186,Table3[Order_Date],Table3[Date_Key])</f>
        <v>116</v>
      </c>
    </row>
    <row r="187" spans="1:16" x14ac:dyDescent="0.3">
      <c r="A187" s="34">
        <v>1185</v>
      </c>
      <c r="B187" s="32" t="s">
        <v>233</v>
      </c>
      <c r="C187" s="32" t="s">
        <v>28</v>
      </c>
      <c r="D187" s="33" t="s">
        <v>29</v>
      </c>
      <c r="E187" s="34">
        <v>3</v>
      </c>
      <c r="F187" s="35">
        <v>2515.415</v>
      </c>
      <c r="G187" s="36">
        <v>0.51</v>
      </c>
      <c r="H187" s="35">
        <f t="shared" si="6"/>
        <v>7546.2449999999999</v>
      </c>
      <c r="I187" s="37">
        <v>45791</v>
      </c>
      <c r="J187" s="33" t="s">
        <v>15</v>
      </c>
      <c r="K187" s="33" t="s">
        <v>16</v>
      </c>
      <c r="L187" s="38">
        <f t="shared" si="7"/>
        <v>3697.66005</v>
      </c>
      <c r="M187" s="38">
        <v>-445.19</v>
      </c>
      <c r="N187" s="24">
        <f>_xlfn.XLOOKUP(Snitch_Fashion_Sales_cleaned!$J187,Table2[City],Table2[City_Key],"not found")</f>
        <v>1</v>
      </c>
      <c r="O187" s="23">
        <f>_xlfn.XLOOKUP(Snitch_Fashion_Sales_cleaned!$D187,Table4[Product_Name],Table4[Product_Key],"not found")</f>
        <v>4</v>
      </c>
      <c r="P187" s="32">
        <f>_xlfn.XLOOKUP(Snitch_Fashion_Sales_cleaned!$I187,Table3[Order_Date],Table3[Date_Key])</f>
        <v>79</v>
      </c>
    </row>
    <row r="188" spans="1:16" x14ac:dyDescent="0.3">
      <c r="A188" s="27">
        <v>1186</v>
      </c>
      <c r="B188" s="25" t="s">
        <v>234</v>
      </c>
      <c r="C188" s="25" t="s">
        <v>13</v>
      </c>
      <c r="D188" s="26" t="s">
        <v>34</v>
      </c>
      <c r="E188" s="27">
        <v>6</v>
      </c>
      <c r="F188" s="28">
        <v>3008.6549999999997</v>
      </c>
      <c r="G188" s="29">
        <v>0.71</v>
      </c>
      <c r="H188" s="28">
        <f t="shared" si="6"/>
        <v>18051.93</v>
      </c>
      <c r="I188" s="30">
        <v>45820</v>
      </c>
      <c r="J188" s="26" t="s">
        <v>2540</v>
      </c>
      <c r="K188" s="26" t="s">
        <v>23</v>
      </c>
      <c r="L188" s="31">
        <f t="shared" si="7"/>
        <v>5235.0597000000007</v>
      </c>
      <c r="M188" s="31">
        <v>-40.479999999999997</v>
      </c>
      <c r="N188" s="22">
        <f>_xlfn.XLOOKUP(Snitch_Fashion_Sales_cleaned!$J188,Table2[City],Table2[City_Key],"not found")</f>
        <v>4</v>
      </c>
      <c r="O188" s="21">
        <f>_xlfn.XLOOKUP(Snitch_Fashion_Sales_cleaned!$D188,Table4[Product_Name],Table4[Product_Key],"not found")</f>
        <v>6</v>
      </c>
      <c r="P188" s="25">
        <f>_xlfn.XLOOKUP(Snitch_Fashion_Sales_cleaned!$I188,Table3[Order_Date],Table3[Date_Key])</f>
        <v>33</v>
      </c>
    </row>
    <row r="189" spans="1:16" x14ac:dyDescent="0.3">
      <c r="A189" s="34">
        <v>1187</v>
      </c>
      <c r="B189" s="32" t="s">
        <v>235</v>
      </c>
      <c r="C189" s="32" t="s">
        <v>28</v>
      </c>
      <c r="D189" s="33" t="s">
        <v>29</v>
      </c>
      <c r="E189" s="34">
        <v>3</v>
      </c>
      <c r="F189" s="35">
        <v>3810.89</v>
      </c>
      <c r="G189" s="36">
        <v>0.51</v>
      </c>
      <c r="H189" s="35">
        <f t="shared" si="6"/>
        <v>11432.67</v>
      </c>
      <c r="I189" s="37">
        <v>45647</v>
      </c>
      <c r="J189" s="33" t="s">
        <v>22</v>
      </c>
      <c r="K189" s="33" t="s">
        <v>16</v>
      </c>
      <c r="L189" s="38">
        <f t="shared" si="7"/>
        <v>5602.0082999999995</v>
      </c>
      <c r="M189" s="38">
        <v>1153.72</v>
      </c>
      <c r="N189" s="24">
        <f>_xlfn.XLOOKUP(Snitch_Fashion_Sales_cleaned!$J189,Table2[City],Table2[City_Key],"not found")</f>
        <v>3</v>
      </c>
      <c r="O189" s="23">
        <f>_xlfn.XLOOKUP(Snitch_Fashion_Sales_cleaned!$D189,Table4[Product_Name],Table4[Product_Key],"not found")</f>
        <v>4</v>
      </c>
      <c r="P189" s="32">
        <f>_xlfn.XLOOKUP(Snitch_Fashion_Sales_cleaned!$I189,Table3[Order_Date],Table3[Date_Key])</f>
        <v>5</v>
      </c>
    </row>
    <row r="190" spans="1:16" x14ac:dyDescent="0.3">
      <c r="A190" s="27">
        <v>1188</v>
      </c>
      <c r="B190" s="25" t="s">
        <v>236</v>
      </c>
      <c r="C190" s="25" t="s">
        <v>28</v>
      </c>
      <c r="D190" s="26" t="s">
        <v>29</v>
      </c>
      <c r="E190" s="27">
        <v>6</v>
      </c>
      <c r="F190" s="28">
        <v>4910.28</v>
      </c>
      <c r="G190" s="29">
        <v>0.12</v>
      </c>
      <c r="H190" s="28">
        <f t="shared" si="6"/>
        <v>29461.68</v>
      </c>
      <c r="I190" s="30">
        <v>45531</v>
      </c>
      <c r="J190" s="26" t="s">
        <v>2540</v>
      </c>
      <c r="K190" s="26" t="s">
        <v>23</v>
      </c>
      <c r="L190" s="31">
        <f t="shared" si="7"/>
        <v>25926.278399999999</v>
      </c>
      <c r="M190" s="31">
        <v>2089.25</v>
      </c>
      <c r="N190" s="22">
        <f>_xlfn.XLOOKUP(Snitch_Fashion_Sales_cleaned!$J190,Table2[City],Table2[City_Key],"not found")</f>
        <v>4</v>
      </c>
      <c r="O190" s="21">
        <f>_xlfn.XLOOKUP(Snitch_Fashion_Sales_cleaned!$D190,Table4[Product_Name],Table4[Product_Key],"not found")</f>
        <v>4</v>
      </c>
      <c r="P190" s="25">
        <f>_xlfn.XLOOKUP(Snitch_Fashion_Sales_cleaned!$I190,Table3[Order_Date],Table3[Date_Key])</f>
        <v>117</v>
      </c>
    </row>
    <row r="191" spans="1:16" x14ac:dyDescent="0.3">
      <c r="A191" s="34">
        <v>1189</v>
      </c>
      <c r="B191" s="32" t="s">
        <v>237</v>
      </c>
      <c r="C191" s="32" t="s">
        <v>31</v>
      </c>
      <c r="D191" s="33" t="s">
        <v>41</v>
      </c>
      <c r="E191" s="34">
        <v>3</v>
      </c>
      <c r="F191" s="35">
        <v>4808.1000000000004</v>
      </c>
      <c r="G191" s="36">
        <v>0.51</v>
      </c>
      <c r="H191" s="35">
        <f t="shared" si="6"/>
        <v>14424.300000000001</v>
      </c>
      <c r="I191" s="37">
        <v>45685</v>
      </c>
      <c r="J191" s="33" t="s">
        <v>18</v>
      </c>
      <c r="K191" s="33" t="s">
        <v>23</v>
      </c>
      <c r="L191" s="38">
        <f t="shared" si="7"/>
        <v>7067.9070000000002</v>
      </c>
      <c r="M191" s="38">
        <v>392.87</v>
      </c>
      <c r="N191" s="24">
        <f>_xlfn.XLOOKUP(Snitch_Fashion_Sales_cleaned!$J191,Table2[City],Table2[City_Key],"not found")</f>
        <v>2</v>
      </c>
      <c r="O191" s="23">
        <f>_xlfn.XLOOKUP(Snitch_Fashion_Sales_cleaned!$D191,Table4[Product_Name],Table4[Product_Key],"not found")</f>
        <v>9</v>
      </c>
      <c r="P191" s="32">
        <f>_xlfn.XLOOKUP(Snitch_Fashion_Sales_cleaned!$I191,Table3[Order_Date],Table3[Date_Key])</f>
        <v>118</v>
      </c>
    </row>
    <row r="192" spans="1:16" x14ac:dyDescent="0.3">
      <c r="A192" s="27">
        <v>1190</v>
      </c>
      <c r="B192" s="25" t="s">
        <v>238</v>
      </c>
      <c r="C192" s="25" t="s">
        <v>20</v>
      </c>
      <c r="D192" s="26" t="s">
        <v>21</v>
      </c>
      <c r="E192" s="27">
        <v>4</v>
      </c>
      <c r="F192" s="28">
        <v>2579.8000000000002</v>
      </c>
      <c r="G192" s="29">
        <v>0.63</v>
      </c>
      <c r="H192" s="28">
        <f t="shared" si="6"/>
        <v>10319.200000000001</v>
      </c>
      <c r="I192" s="30">
        <v>45804</v>
      </c>
      <c r="J192" s="26" t="s">
        <v>43</v>
      </c>
      <c r="K192" s="26" t="s">
        <v>23</v>
      </c>
      <c r="L192" s="31">
        <f t="shared" si="7"/>
        <v>3818.1040000000003</v>
      </c>
      <c r="M192" s="31">
        <v>75.040000000000006</v>
      </c>
      <c r="N192" s="22">
        <f>_xlfn.XLOOKUP(Snitch_Fashion_Sales_cleaned!$J192,Table2[City],Table2[City_Key],"not found")</f>
        <v>6</v>
      </c>
      <c r="O192" s="21">
        <f>_xlfn.XLOOKUP(Snitch_Fashion_Sales_cleaned!$D192,Table4[Product_Name],Table4[Product_Key],"not found")</f>
        <v>2</v>
      </c>
      <c r="P192" s="25">
        <f>_xlfn.XLOOKUP(Snitch_Fashion_Sales_cleaned!$I192,Table3[Order_Date],Table3[Date_Key])</f>
        <v>9</v>
      </c>
    </row>
    <row r="193" spans="1:16" x14ac:dyDescent="0.3">
      <c r="A193" s="34">
        <v>1191</v>
      </c>
      <c r="B193" s="32" t="s">
        <v>239</v>
      </c>
      <c r="C193" s="32" t="s">
        <v>28</v>
      </c>
      <c r="D193" s="33" t="s">
        <v>29</v>
      </c>
      <c r="E193" s="34">
        <v>3</v>
      </c>
      <c r="F193" s="35">
        <v>2469.87</v>
      </c>
      <c r="G193" s="36">
        <v>0.56000000000000005</v>
      </c>
      <c r="H193" s="35">
        <f t="shared" si="6"/>
        <v>7409.61</v>
      </c>
      <c r="I193" s="37">
        <v>45647</v>
      </c>
      <c r="J193" s="33" t="s">
        <v>22</v>
      </c>
      <c r="K193" s="33" t="s">
        <v>16</v>
      </c>
      <c r="L193" s="38">
        <f t="shared" si="7"/>
        <v>3260.2283999999995</v>
      </c>
      <c r="M193" s="38">
        <v>2860.2</v>
      </c>
      <c r="N193" s="24">
        <f>_xlfn.XLOOKUP(Snitch_Fashion_Sales_cleaned!$J193,Table2[City],Table2[City_Key],"not found")</f>
        <v>3</v>
      </c>
      <c r="O193" s="23">
        <f>_xlfn.XLOOKUP(Snitch_Fashion_Sales_cleaned!$D193,Table4[Product_Name],Table4[Product_Key],"not found")</f>
        <v>4</v>
      </c>
      <c r="P193" s="32">
        <f>_xlfn.XLOOKUP(Snitch_Fashion_Sales_cleaned!$I193,Table3[Order_Date],Table3[Date_Key])</f>
        <v>5</v>
      </c>
    </row>
    <row r="194" spans="1:16" x14ac:dyDescent="0.3">
      <c r="A194" s="27">
        <v>1010</v>
      </c>
      <c r="B194" s="25" t="s">
        <v>240</v>
      </c>
      <c r="C194" s="25" t="s">
        <v>31</v>
      </c>
      <c r="D194" s="26" t="s">
        <v>32</v>
      </c>
      <c r="E194" s="27">
        <v>4</v>
      </c>
      <c r="F194" s="28">
        <v>2001.5500000000002</v>
      </c>
      <c r="G194" s="29">
        <v>0.51</v>
      </c>
      <c r="H194" s="28">
        <f t="shared" si="6"/>
        <v>8006.2000000000007</v>
      </c>
      <c r="I194" s="30">
        <v>45647</v>
      </c>
      <c r="J194" s="26" t="s">
        <v>52</v>
      </c>
      <c r="K194" s="26" t="s">
        <v>16</v>
      </c>
      <c r="L194" s="31">
        <f t="shared" si="7"/>
        <v>3923.0380000000005</v>
      </c>
      <c r="M194" s="31">
        <v>2709.47</v>
      </c>
      <c r="N194" s="22">
        <f>_xlfn.XLOOKUP(Snitch_Fashion_Sales_cleaned!$J194,Table2[City],Table2[City_Key],"not found")</f>
        <v>5</v>
      </c>
      <c r="O194" s="21">
        <f>_xlfn.XLOOKUP(Snitch_Fashion_Sales_cleaned!$D194,Table4[Product_Name],Table4[Product_Key],"not found")</f>
        <v>5</v>
      </c>
      <c r="P194" s="25">
        <f>_xlfn.XLOOKUP(Snitch_Fashion_Sales_cleaned!$I194,Table3[Order_Date],Table3[Date_Key])</f>
        <v>5</v>
      </c>
    </row>
    <row r="195" spans="1:16" x14ac:dyDescent="0.3">
      <c r="A195" s="34">
        <v>1193</v>
      </c>
      <c r="B195" s="32" t="s">
        <v>241</v>
      </c>
      <c r="C195" s="32" t="s">
        <v>36</v>
      </c>
      <c r="D195" s="33" t="s">
        <v>37</v>
      </c>
      <c r="E195" s="34">
        <v>4</v>
      </c>
      <c r="F195" s="35">
        <v>3031.06</v>
      </c>
      <c r="G195" s="36">
        <v>0.51</v>
      </c>
      <c r="H195" s="35">
        <f t="shared" si="6"/>
        <v>12124.24</v>
      </c>
      <c r="I195" s="37">
        <v>45512</v>
      </c>
      <c r="J195" s="33" t="s">
        <v>43</v>
      </c>
      <c r="K195" s="33" t="s">
        <v>23</v>
      </c>
      <c r="L195" s="38">
        <f t="shared" si="7"/>
        <v>5940.8775999999998</v>
      </c>
      <c r="M195" s="38">
        <v>-682.74</v>
      </c>
      <c r="N195" s="24">
        <f>_xlfn.XLOOKUP(Snitch_Fashion_Sales_cleaned!$J195,Table2[City],Table2[City_Key],"not found")</f>
        <v>6</v>
      </c>
      <c r="O195" s="23">
        <f>_xlfn.XLOOKUP(Snitch_Fashion_Sales_cleaned!$D195,Table4[Product_Name],Table4[Product_Key],"not found")</f>
        <v>7</v>
      </c>
      <c r="P195" s="32">
        <f>_xlfn.XLOOKUP(Snitch_Fashion_Sales_cleaned!$I195,Table3[Order_Date],Table3[Date_Key])</f>
        <v>119</v>
      </c>
    </row>
    <row r="196" spans="1:16" x14ac:dyDescent="0.3">
      <c r="A196" s="27">
        <v>1032</v>
      </c>
      <c r="B196" s="25" t="s">
        <v>242</v>
      </c>
      <c r="C196" s="25" t="s">
        <v>28</v>
      </c>
      <c r="D196" s="26" t="s">
        <v>39</v>
      </c>
      <c r="E196" s="27">
        <v>3</v>
      </c>
      <c r="F196" s="28">
        <v>2577.6350000000002</v>
      </c>
      <c r="G196" s="29">
        <v>0.51</v>
      </c>
      <c r="H196" s="28">
        <f t="shared" si="6"/>
        <v>7732.9050000000007</v>
      </c>
      <c r="I196" s="30">
        <v>45847</v>
      </c>
      <c r="J196" s="26" t="s">
        <v>18</v>
      </c>
      <c r="K196" s="26" t="s">
        <v>16</v>
      </c>
      <c r="L196" s="31">
        <f t="shared" si="7"/>
        <v>3789.12345</v>
      </c>
      <c r="M196" s="31">
        <v>1941.65</v>
      </c>
      <c r="N196" s="22">
        <f>_xlfn.XLOOKUP(Snitch_Fashion_Sales_cleaned!$J196,Table2[City],Table2[City_Key],"not found")</f>
        <v>2</v>
      </c>
      <c r="O196" s="21">
        <f>_xlfn.XLOOKUP(Snitch_Fashion_Sales_cleaned!$D196,Table4[Product_Name],Table4[Product_Key],"not found")</f>
        <v>8</v>
      </c>
      <c r="P196" s="25">
        <f>_xlfn.XLOOKUP(Snitch_Fashion_Sales_cleaned!$I196,Table3[Order_Date],Table3[Date_Key])</f>
        <v>120</v>
      </c>
    </row>
    <row r="197" spans="1:16" x14ac:dyDescent="0.3">
      <c r="A197" s="34">
        <v>1195</v>
      </c>
      <c r="B197" s="32" t="s">
        <v>243</v>
      </c>
      <c r="C197" s="32" t="s">
        <v>36</v>
      </c>
      <c r="D197" s="33" t="s">
        <v>59</v>
      </c>
      <c r="E197" s="34">
        <v>3</v>
      </c>
      <c r="F197" s="35">
        <v>2765.26</v>
      </c>
      <c r="G197" s="36">
        <v>0.51</v>
      </c>
      <c r="H197" s="35">
        <f t="shared" si="6"/>
        <v>8295.7800000000007</v>
      </c>
      <c r="I197" s="37">
        <v>45647</v>
      </c>
      <c r="J197" s="33" t="s">
        <v>22</v>
      </c>
      <c r="K197" s="33" t="s">
        <v>16</v>
      </c>
      <c r="L197" s="38">
        <f t="shared" si="7"/>
        <v>4064.9322000000002</v>
      </c>
      <c r="M197" s="38">
        <v>1059.17</v>
      </c>
      <c r="N197" s="24">
        <f>_xlfn.XLOOKUP(Snitch_Fashion_Sales_cleaned!$J197,Table2[City],Table2[City_Key],"not found")</f>
        <v>3</v>
      </c>
      <c r="O197" s="23">
        <f>_xlfn.XLOOKUP(Snitch_Fashion_Sales_cleaned!$D197,Table4[Product_Name],Table4[Product_Key],"not found")</f>
        <v>13</v>
      </c>
      <c r="P197" s="32">
        <f>_xlfn.XLOOKUP(Snitch_Fashion_Sales_cleaned!$I197,Table3[Order_Date],Table3[Date_Key])</f>
        <v>5</v>
      </c>
    </row>
    <row r="198" spans="1:16" x14ac:dyDescent="0.3">
      <c r="A198" s="27">
        <v>1196</v>
      </c>
      <c r="B198" s="25" t="s">
        <v>244</v>
      </c>
      <c r="C198" s="25" t="s">
        <v>13</v>
      </c>
      <c r="D198" s="26" t="s">
        <v>14</v>
      </c>
      <c r="E198" s="27">
        <v>4</v>
      </c>
      <c r="F198" s="28">
        <v>3959.06</v>
      </c>
      <c r="G198" s="29">
        <v>0.37</v>
      </c>
      <c r="H198" s="28">
        <f t="shared" ref="H198:H261" si="8">E198*F198</f>
        <v>15836.24</v>
      </c>
      <c r="I198" s="30">
        <v>45791</v>
      </c>
      <c r="J198" s="26" t="s">
        <v>52</v>
      </c>
      <c r="K198" s="26" t="s">
        <v>23</v>
      </c>
      <c r="L198" s="31">
        <f t="shared" ref="L198:L261" si="9">H198*(1-G198)</f>
        <v>9976.8312000000005</v>
      </c>
      <c r="M198" s="31">
        <v>1539.5</v>
      </c>
      <c r="N198" s="22">
        <f>_xlfn.XLOOKUP(Snitch_Fashion_Sales_cleaned!$J198,Table2[City],Table2[City_Key],"not found")</f>
        <v>5</v>
      </c>
      <c r="O198" s="21">
        <f>_xlfn.XLOOKUP(Snitch_Fashion_Sales_cleaned!$D198,Table4[Product_Name],Table4[Product_Key],"not found")</f>
        <v>1</v>
      </c>
      <c r="P198" s="25">
        <f>_xlfn.XLOOKUP(Snitch_Fashion_Sales_cleaned!$I198,Table3[Order_Date],Table3[Date_Key])</f>
        <v>79</v>
      </c>
    </row>
    <row r="199" spans="1:16" x14ac:dyDescent="0.3">
      <c r="A199" s="34">
        <v>1197</v>
      </c>
      <c r="B199" s="32" t="s">
        <v>245</v>
      </c>
      <c r="C199" s="32" t="s">
        <v>20</v>
      </c>
      <c r="D199" s="33" t="s">
        <v>84</v>
      </c>
      <c r="E199" s="34">
        <v>1</v>
      </c>
      <c r="F199" s="35">
        <v>2537.59</v>
      </c>
      <c r="G199" s="36">
        <v>0.51</v>
      </c>
      <c r="H199" s="35">
        <f t="shared" si="8"/>
        <v>2537.59</v>
      </c>
      <c r="I199" s="37">
        <v>45647</v>
      </c>
      <c r="J199" s="33" t="s">
        <v>52</v>
      </c>
      <c r="K199" s="33" t="s">
        <v>23</v>
      </c>
      <c r="L199" s="38">
        <f t="shared" si="9"/>
        <v>1243.4191000000001</v>
      </c>
      <c r="M199" s="38">
        <v>650.97</v>
      </c>
      <c r="N199" s="24">
        <f>_xlfn.XLOOKUP(Snitch_Fashion_Sales_cleaned!$J199,Table2[City],Table2[City_Key],"not found")</f>
        <v>5</v>
      </c>
      <c r="O199" s="23">
        <f>_xlfn.XLOOKUP(Snitch_Fashion_Sales_cleaned!$D199,Table4[Product_Name],Table4[Product_Key],"not found")</f>
        <v>19</v>
      </c>
      <c r="P199" s="32">
        <f>_xlfn.XLOOKUP(Snitch_Fashion_Sales_cleaned!$I199,Table3[Order_Date],Table3[Date_Key])</f>
        <v>5</v>
      </c>
    </row>
    <row r="200" spans="1:16" x14ac:dyDescent="0.3">
      <c r="A200" s="27">
        <v>1198</v>
      </c>
      <c r="B200" s="25" t="s">
        <v>246</v>
      </c>
      <c r="C200" s="25" t="s">
        <v>28</v>
      </c>
      <c r="D200" s="26" t="s">
        <v>39</v>
      </c>
      <c r="E200" s="27">
        <v>3</v>
      </c>
      <c r="F200" s="28">
        <v>3594.97</v>
      </c>
      <c r="G200" s="29">
        <v>0.51</v>
      </c>
      <c r="H200" s="28">
        <f t="shared" si="8"/>
        <v>10784.91</v>
      </c>
      <c r="I200" s="30">
        <v>45764</v>
      </c>
      <c r="J200" s="26" t="s">
        <v>15</v>
      </c>
      <c r="K200" s="26" t="s">
        <v>16</v>
      </c>
      <c r="L200" s="31">
        <f t="shared" si="9"/>
        <v>5284.6058999999996</v>
      </c>
      <c r="M200" s="31">
        <v>2422.27</v>
      </c>
      <c r="N200" s="22">
        <f>_xlfn.XLOOKUP(Snitch_Fashion_Sales_cleaned!$J200,Table2[City],Table2[City_Key],"not found")</f>
        <v>1</v>
      </c>
      <c r="O200" s="21">
        <f>_xlfn.XLOOKUP(Snitch_Fashion_Sales_cleaned!$D200,Table4[Product_Name],Table4[Product_Key],"not found")</f>
        <v>8</v>
      </c>
      <c r="P200" s="25">
        <f>_xlfn.XLOOKUP(Snitch_Fashion_Sales_cleaned!$I200,Table3[Order_Date],Table3[Date_Key])</f>
        <v>121</v>
      </c>
    </row>
    <row r="201" spans="1:16" x14ac:dyDescent="0.3">
      <c r="A201" s="34">
        <v>1199</v>
      </c>
      <c r="B201" s="32" t="s">
        <v>247</v>
      </c>
      <c r="C201" s="32" t="s">
        <v>25</v>
      </c>
      <c r="D201" s="33" t="s">
        <v>82</v>
      </c>
      <c r="E201" s="34">
        <v>3</v>
      </c>
      <c r="F201" s="35">
        <v>2317.1</v>
      </c>
      <c r="G201" s="36">
        <v>0.51</v>
      </c>
      <c r="H201" s="35">
        <f t="shared" si="8"/>
        <v>6951.2999999999993</v>
      </c>
      <c r="I201" s="37">
        <v>45690</v>
      </c>
      <c r="J201" s="33" t="s">
        <v>2540</v>
      </c>
      <c r="K201" s="33" t="s">
        <v>23</v>
      </c>
      <c r="L201" s="38">
        <f t="shared" si="9"/>
        <v>3406.1369999999997</v>
      </c>
      <c r="M201" s="38">
        <v>2637.77</v>
      </c>
      <c r="N201" s="24">
        <f>_xlfn.XLOOKUP(Snitch_Fashion_Sales_cleaned!$J201,Table2[City],Table2[City_Key],"not found")</f>
        <v>4</v>
      </c>
      <c r="O201" s="23">
        <f>_xlfn.XLOOKUP(Snitch_Fashion_Sales_cleaned!$D201,Table4[Product_Name],Table4[Product_Key],"not found")</f>
        <v>18</v>
      </c>
      <c r="P201" s="32">
        <f>_xlfn.XLOOKUP(Snitch_Fashion_Sales_cleaned!$I201,Table3[Order_Date],Table3[Date_Key])</f>
        <v>122</v>
      </c>
    </row>
    <row r="202" spans="1:16" x14ac:dyDescent="0.3">
      <c r="A202" s="27">
        <v>1200</v>
      </c>
      <c r="B202" s="25" t="s">
        <v>248</v>
      </c>
      <c r="C202" s="25" t="s">
        <v>25</v>
      </c>
      <c r="D202" s="26" t="s">
        <v>50</v>
      </c>
      <c r="E202" s="27">
        <v>4</v>
      </c>
      <c r="F202" s="28">
        <v>2666.2200000000003</v>
      </c>
      <c r="G202" s="29">
        <v>0.51</v>
      </c>
      <c r="H202" s="28">
        <f t="shared" si="8"/>
        <v>10664.880000000001</v>
      </c>
      <c r="I202" s="30">
        <v>45647</v>
      </c>
      <c r="J202" s="26" t="s">
        <v>52</v>
      </c>
      <c r="K202" s="26" t="s">
        <v>16</v>
      </c>
      <c r="L202" s="31">
        <f t="shared" si="9"/>
        <v>5225.7912000000006</v>
      </c>
      <c r="M202" s="31">
        <v>2782.21</v>
      </c>
      <c r="N202" s="22">
        <f>_xlfn.XLOOKUP(Snitch_Fashion_Sales_cleaned!$J202,Table2[City],Table2[City_Key],"not found")</f>
        <v>5</v>
      </c>
      <c r="O202" s="21">
        <f>_xlfn.XLOOKUP(Snitch_Fashion_Sales_cleaned!$D202,Table4[Product_Name],Table4[Product_Key],"not found")</f>
        <v>11</v>
      </c>
      <c r="P202" s="25">
        <f>_xlfn.XLOOKUP(Snitch_Fashion_Sales_cleaned!$I202,Table3[Order_Date],Table3[Date_Key])</f>
        <v>5</v>
      </c>
    </row>
    <row r="203" spans="1:16" x14ac:dyDescent="0.3">
      <c r="A203" s="34">
        <v>1201</v>
      </c>
      <c r="B203" s="32" t="s">
        <v>249</v>
      </c>
      <c r="C203" s="32" t="s">
        <v>20</v>
      </c>
      <c r="D203" s="33" t="s">
        <v>76</v>
      </c>
      <c r="E203" s="34">
        <v>2</v>
      </c>
      <c r="F203" s="35">
        <v>3507.85</v>
      </c>
      <c r="G203" s="36">
        <v>0.51</v>
      </c>
      <c r="H203" s="35">
        <f t="shared" si="8"/>
        <v>7015.7</v>
      </c>
      <c r="I203" s="37">
        <v>45667</v>
      </c>
      <c r="J203" s="33" t="s">
        <v>43</v>
      </c>
      <c r="K203" s="33" t="s">
        <v>23</v>
      </c>
      <c r="L203" s="38">
        <f t="shared" si="9"/>
        <v>3437.6929999999998</v>
      </c>
      <c r="M203" s="38">
        <v>1023.04</v>
      </c>
      <c r="N203" s="24">
        <f>_xlfn.XLOOKUP(Snitch_Fashion_Sales_cleaned!$J203,Table2[City],Table2[City_Key],"not found")</f>
        <v>6</v>
      </c>
      <c r="O203" s="23">
        <f>_xlfn.XLOOKUP(Snitch_Fashion_Sales_cleaned!$D203,Table4[Product_Name],Table4[Product_Key],"not found")</f>
        <v>16</v>
      </c>
      <c r="P203" s="32">
        <f>_xlfn.XLOOKUP(Snitch_Fashion_Sales_cleaned!$I203,Table3[Order_Date],Table3[Date_Key])</f>
        <v>123</v>
      </c>
    </row>
    <row r="204" spans="1:16" x14ac:dyDescent="0.3">
      <c r="A204" s="27">
        <v>1202</v>
      </c>
      <c r="B204" s="25" t="s">
        <v>250</v>
      </c>
      <c r="C204" s="25" t="s">
        <v>28</v>
      </c>
      <c r="D204" s="26" t="s">
        <v>39</v>
      </c>
      <c r="E204" s="27">
        <v>3</v>
      </c>
      <c r="F204" s="28">
        <v>2577.6350000000002</v>
      </c>
      <c r="G204" s="29">
        <v>0.51</v>
      </c>
      <c r="H204" s="28">
        <f t="shared" si="8"/>
        <v>7732.9050000000007</v>
      </c>
      <c r="I204" s="30">
        <v>45739</v>
      </c>
      <c r="J204" s="26" t="s">
        <v>2540</v>
      </c>
      <c r="K204" s="26" t="s">
        <v>16</v>
      </c>
      <c r="L204" s="31">
        <f t="shared" si="9"/>
        <v>3789.12345</v>
      </c>
      <c r="M204" s="31">
        <v>-207.53</v>
      </c>
      <c r="N204" s="22">
        <f>_xlfn.XLOOKUP(Snitch_Fashion_Sales_cleaned!$J204,Table2[City],Table2[City_Key],"not found")</f>
        <v>4</v>
      </c>
      <c r="O204" s="21">
        <f>_xlfn.XLOOKUP(Snitch_Fashion_Sales_cleaned!$D204,Table4[Product_Name],Table4[Product_Key],"not found")</f>
        <v>8</v>
      </c>
      <c r="P204" s="25">
        <f>_xlfn.XLOOKUP(Snitch_Fashion_Sales_cleaned!$I204,Table3[Order_Date],Table3[Date_Key])</f>
        <v>124</v>
      </c>
    </row>
    <row r="205" spans="1:16" x14ac:dyDescent="0.3">
      <c r="A205" s="34">
        <v>1203</v>
      </c>
      <c r="B205" s="32" t="s">
        <v>251</v>
      </c>
      <c r="C205" s="32" t="s">
        <v>31</v>
      </c>
      <c r="D205" s="33" t="s">
        <v>32</v>
      </c>
      <c r="E205" s="34">
        <v>5</v>
      </c>
      <c r="F205" s="35">
        <v>2001.5500000000002</v>
      </c>
      <c r="G205" s="36">
        <v>0.51</v>
      </c>
      <c r="H205" s="35">
        <f t="shared" si="8"/>
        <v>10007.75</v>
      </c>
      <c r="I205" s="37">
        <v>45671</v>
      </c>
      <c r="J205" s="33" t="s">
        <v>52</v>
      </c>
      <c r="K205" s="33" t="s">
        <v>16</v>
      </c>
      <c r="L205" s="38">
        <f t="shared" si="9"/>
        <v>4903.7974999999997</v>
      </c>
      <c r="M205" s="38">
        <v>657.59</v>
      </c>
      <c r="N205" s="24">
        <f>_xlfn.XLOOKUP(Snitch_Fashion_Sales_cleaned!$J205,Table2[City],Table2[City_Key],"not found")</f>
        <v>5</v>
      </c>
      <c r="O205" s="23">
        <f>_xlfn.XLOOKUP(Snitch_Fashion_Sales_cleaned!$D205,Table4[Product_Name],Table4[Product_Key],"not found")</f>
        <v>5</v>
      </c>
      <c r="P205" s="32">
        <f>_xlfn.XLOOKUP(Snitch_Fashion_Sales_cleaned!$I205,Table3[Order_Date],Table3[Date_Key])</f>
        <v>125</v>
      </c>
    </row>
    <row r="206" spans="1:16" x14ac:dyDescent="0.3">
      <c r="A206" s="27">
        <v>1204</v>
      </c>
      <c r="B206" s="25" t="s">
        <v>252</v>
      </c>
      <c r="C206" s="25" t="s">
        <v>25</v>
      </c>
      <c r="D206" s="26" t="s">
        <v>62</v>
      </c>
      <c r="E206" s="27">
        <v>4</v>
      </c>
      <c r="F206" s="28">
        <v>4213.3999999999996</v>
      </c>
      <c r="G206" s="29">
        <v>0.51</v>
      </c>
      <c r="H206" s="28">
        <f t="shared" si="8"/>
        <v>16853.599999999999</v>
      </c>
      <c r="I206" s="30">
        <v>45608</v>
      </c>
      <c r="J206" s="26" t="s">
        <v>43</v>
      </c>
      <c r="K206" s="26" t="s">
        <v>23</v>
      </c>
      <c r="L206" s="31">
        <f t="shared" si="9"/>
        <v>8258.2639999999992</v>
      </c>
      <c r="M206" s="31">
        <v>1867.53</v>
      </c>
      <c r="N206" s="22">
        <f>_xlfn.XLOOKUP(Snitch_Fashion_Sales_cleaned!$J206,Table2[City],Table2[City_Key],"not found")</f>
        <v>6</v>
      </c>
      <c r="O206" s="21">
        <f>_xlfn.XLOOKUP(Snitch_Fashion_Sales_cleaned!$D206,Table4[Product_Name],Table4[Product_Key],"not found")</f>
        <v>14</v>
      </c>
      <c r="P206" s="25">
        <f>_xlfn.XLOOKUP(Snitch_Fashion_Sales_cleaned!$I206,Table3[Order_Date],Table3[Date_Key])</f>
        <v>126</v>
      </c>
    </row>
    <row r="207" spans="1:16" x14ac:dyDescent="0.3">
      <c r="A207" s="34">
        <v>1205</v>
      </c>
      <c r="B207" s="32" t="s">
        <v>253</v>
      </c>
      <c r="C207" s="32" t="s">
        <v>13</v>
      </c>
      <c r="D207" s="33" t="s">
        <v>14</v>
      </c>
      <c r="E207" s="34">
        <v>4</v>
      </c>
      <c r="F207" s="35">
        <v>696.49</v>
      </c>
      <c r="G207" s="36">
        <v>0.51</v>
      </c>
      <c r="H207" s="35">
        <f t="shared" si="8"/>
        <v>2785.96</v>
      </c>
      <c r="I207" s="37">
        <v>45819</v>
      </c>
      <c r="J207" s="33" t="s">
        <v>15</v>
      </c>
      <c r="K207" s="33" t="s">
        <v>16</v>
      </c>
      <c r="L207" s="38">
        <f t="shared" si="9"/>
        <v>1365.1204</v>
      </c>
      <c r="M207" s="38">
        <v>-24.51</v>
      </c>
      <c r="N207" s="24">
        <f>_xlfn.XLOOKUP(Snitch_Fashion_Sales_cleaned!$J207,Table2[City],Table2[City_Key],"not found")</f>
        <v>1</v>
      </c>
      <c r="O207" s="23">
        <f>_xlfn.XLOOKUP(Snitch_Fashion_Sales_cleaned!$D207,Table4[Product_Name],Table4[Product_Key],"not found")</f>
        <v>1</v>
      </c>
      <c r="P207" s="32">
        <f>_xlfn.XLOOKUP(Snitch_Fashion_Sales_cleaned!$I207,Table3[Order_Date],Table3[Date_Key])</f>
        <v>70</v>
      </c>
    </row>
    <row r="208" spans="1:16" x14ac:dyDescent="0.3">
      <c r="A208" s="27">
        <v>1206</v>
      </c>
      <c r="B208" s="25" t="s">
        <v>254</v>
      </c>
      <c r="C208" s="25" t="s">
        <v>31</v>
      </c>
      <c r="D208" s="26" t="s">
        <v>68</v>
      </c>
      <c r="E208" s="27">
        <v>4</v>
      </c>
      <c r="F208" s="28">
        <v>2765.79</v>
      </c>
      <c r="G208" s="29">
        <v>0.51</v>
      </c>
      <c r="H208" s="28">
        <f t="shared" si="8"/>
        <v>11063.16</v>
      </c>
      <c r="I208" s="30">
        <v>45747</v>
      </c>
      <c r="J208" s="26" t="s">
        <v>52</v>
      </c>
      <c r="K208" s="26" t="s">
        <v>23</v>
      </c>
      <c r="L208" s="31">
        <f t="shared" si="9"/>
        <v>5420.9484000000002</v>
      </c>
      <c r="M208" s="31">
        <v>2472.2399999999998</v>
      </c>
      <c r="N208" s="22">
        <f>_xlfn.XLOOKUP(Snitch_Fashion_Sales_cleaned!$J208,Table2[City],Table2[City_Key],"not found")</f>
        <v>5</v>
      </c>
      <c r="O208" s="21">
        <f>_xlfn.XLOOKUP(Snitch_Fashion_Sales_cleaned!$D208,Table4[Product_Name],Table4[Product_Key],"not found")</f>
        <v>15</v>
      </c>
      <c r="P208" s="25">
        <f>_xlfn.XLOOKUP(Snitch_Fashion_Sales_cleaned!$I208,Table3[Order_Date],Table3[Date_Key])</f>
        <v>127</v>
      </c>
    </row>
    <row r="209" spans="1:16" x14ac:dyDescent="0.3">
      <c r="A209" s="34">
        <v>1207</v>
      </c>
      <c r="B209" s="32" t="s">
        <v>255</v>
      </c>
      <c r="C209" s="32" t="s">
        <v>13</v>
      </c>
      <c r="D209" s="33" t="s">
        <v>46</v>
      </c>
      <c r="E209" s="34">
        <v>4</v>
      </c>
      <c r="F209" s="35">
        <v>563.14</v>
      </c>
      <c r="G209" s="36">
        <v>0.33</v>
      </c>
      <c r="H209" s="35">
        <f t="shared" si="8"/>
        <v>2252.56</v>
      </c>
      <c r="I209" s="37">
        <v>45433</v>
      </c>
      <c r="J209" s="33" t="s">
        <v>18</v>
      </c>
      <c r="K209" s="33" t="s">
        <v>23</v>
      </c>
      <c r="L209" s="38">
        <f t="shared" si="9"/>
        <v>1509.2151999999999</v>
      </c>
      <c r="M209" s="38">
        <v>945.7</v>
      </c>
      <c r="N209" s="24">
        <f>_xlfn.XLOOKUP(Snitch_Fashion_Sales_cleaned!$J209,Table2[City],Table2[City_Key],"not found")</f>
        <v>2</v>
      </c>
      <c r="O209" s="23">
        <f>_xlfn.XLOOKUP(Snitch_Fashion_Sales_cleaned!$D209,Table4[Product_Name],Table4[Product_Key],"not found")</f>
        <v>10</v>
      </c>
      <c r="P209" s="32">
        <f>_xlfn.XLOOKUP(Snitch_Fashion_Sales_cleaned!$I209,Table3[Order_Date],Table3[Date_Key])</f>
        <v>128</v>
      </c>
    </row>
    <row r="210" spans="1:16" x14ac:dyDescent="0.3">
      <c r="A210" s="27">
        <v>1208</v>
      </c>
      <c r="B210" s="25" t="s">
        <v>256</v>
      </c>
      <c r="C210" s="25" t="s">
        <v>20</v>
      </c>
      <c r="D210" s="26" t="s">
        <v>84</v>
      </c>
      <c r="E210" s="27">
        <v>1</v>
      </c>
      <c r="F210" s="28">
        <v>2537.59</v>
      </c>
      <c r="G210" s="29">
        <v>0.51</v>
      </c>
      <c r="H210" s="28">
        <f t="shared" si="8"/>
        <v>2537.59</v>
      </c>
      <c r="I210" s="30">
        <v>45667</v>
      </c>
      <c r="J210" s="26" t="s">
        <v>22</v>
      </c>
      <c r="K210" s="26" t="s">
        <v>23</v>
      </c>
      <c r="L210" s="31">
        <f t="shared" si="9"/>
        <v>1243.4191000000001</v>
      </c>
      <c r="M210" s="31">
        <v>648.73</v>
      </c>
      <c r="N210" s="22">
        <f>_xlfn.XLOOKUP(Snitch_Fashion_Sales_cleaned!$J210,Table2[City],Table2[City_Key],"not found")</f>
        <v>3</v>
      </c>
      <c r="O210" s="21">
        <f>_xlfn.XLOOKUP(Snitch_Fashion_Sales_cleaned!$D210,Table4[Product_Name],Table4[Product_Key],"not found")</f>
        <v>19</v>
      </c>
      <c r="P210" s="25">
        <f>_xlfn.XLOOKUP(Snitch_Fashion_Sales_cleaned!$I210,Table3[Order_Date],Table3[Date_Key])</f>
        <v>123</v>
      </c>
    </row>
    <row r="211" spans="1:16" x14ac:dyDescent="0.3">
      <c r="A211" s="34">
        <v>1209</v>
      </c>
      <c r="B211" s="32" t="s">
        <v>257</v>
      </c>
      <c r="C211" s="32" t="s">
        <v>28</v>
      </c>
      <c r="D211" s="33" t="s">
        <v>116</v>
      </c>
      <c r="E211" s="34">
        <v>4</v>
      </c>
      <c r="F211" s="35">
        <v>4029.87</v>
      </c>
      <c r="G211" s="36">
        <v>0.51</v>
      </c>
      <c r="H211" s="35">
        <f t="shared" si="8"/>
        <v>16119.48</v>
      </c>
      <c r="I211" s="37">
        <v>45666</v>
      </c>
      <c r="J211" s="33" t="s">
        <v>18</v>
      </c>
      <c r="K211" s="33" t="s">
        <v>23</v>
      </c>
      <c r="L211" s="38">
        <f t="shared" si="9"/>
        <v>7898.5451999999996</v>
      </c>
      <c r="M211" s="38">
        <v>1447.79</v>
      </c>
      <c r="N211" s="24">
        <f>_xlfn.XLOOKUP(Snitch_Fashion_Sales_cleaned!$J211,Table2[City],Table2[City_Key],"not found")</f>
        <v>2</v>
      </c>
      <c r="O211" s="23">
        <f>_xlfn.XLOOKUP(Snitch_Fashion_Sales_cleaned!$D211,Table4[Product_Name],Table4[Product_Key],"not found")</f>
        <v>22</v>
      </c>
      <c r="P211" s="32">
        <f>_xlfn.XLOOKUP(Snitch_Fashion_Sales_cleaned!$I211,Table3[Order_Date],Table3[Date_Key])</f>
        <v>107</v>
      </c>
    </row>
    <row r="212" spans="1:16" x14ac:dyDescent="0.3">
      <c r="A212" s="27">
        <v>1210</v>
      </c>
      <c r="B212" s="25" t="s">
        <v>258</v>
      </c>
      <c r="C212" s="25" t="s">
        <v>28</v>
      </c>
      <c r="D212" s="26" t="s">
        <v>116</v>
      </c>
      <c r="E212" s="27">
        <v>4</v>
      </c>
      <c r="F212" s="28">
        <v>2785.79</v>
      </c>
      <c r="G212" s="29">
        <v>0.51</v>
      </c>
      <c r="H212" s="28">
        <f t="shared" si="8"/>
        <v>11143.16</v>
      </c>
      <c r="I212" s="30">
        <v>45803</v>
      </c>
      <c r="J212" s="26" t="s">
        <v>15</v>
      </c>
      <c r="K212" s="26" t="s">
        <v>23</v>
      </c>
      <c r="L212" s="31">
        <f t="shared" si="9"/>
        <v>5460.1484</v>
      </c>
      <c r="M212" s="31">
        <v>2179.54</v>
      </c>
      <c r="N212" s="22">
        <f>_xlfn.XLOOKUP(Snitch_Fashion_Sales_cleaned!$J212,Table2[City],Table2[City_Key],"not found")</f>
        <v>1</v>
      </c>
      <c r="O212" s="21">
        <f>_xlfn.XLOOKUP(Snitch_Fashion_Sales_cleaned!$D212,Table4[Product_Name],Table4[Product_Key],"not found")</f>
        <v>22</v>
      </c>
      <c r="P212" s="25">
        <f>_xlfn.XLOOKUP(Snitch_Fashion_Sales_cleaned!$I212,Table3[Order_Date],Table3[Date_Key])</f>
        <v>129</v>
      </c>
    </row>
    <row r="213" spans="1:16" x14ac:dyDescent="0.3">
      <c r="A213" s="34">
        <v>1211</v>
      </c>
      <c r="B213" s="32" t="s">
        <v>259</v>
      </c>
      <c r="C213" s="32" t="s">
        <v>13</v>
      </c>
      <c r="D213" s="33" t="s">
        <v>98</v>
      </c>
      <c r="E213" s="34">
        <v>5</v>
      </c>
      <c r="F213" s="35">
        <v>1560.37</v>
      </c>
      <c r="G213" s="36">
        <v>0.51</v>
      </c>
      <c r="H213" s="35">
        <f t="shared" si="8"/>
        <v>7801.8499999999995</v>
      </c>
      <c r="I213" s="37">
        <v>45630</v>
      </c>
      <c r="J213" s="33" t="s">
        <v>18</v>
      </c>
      <c r="K213" s="33" t="s">
        <v>16</v>
      </c>
      <c r="L213" s="38">
        <f t="shared" si="9"/>
        <v>3822.9064999999996</v>
      </c>
      <c r="M213" s="38">
        <v>2783.91</v>
      </c>
      <c r="N213" s="24">
        <f>_xlfn.XLOOKUP(Snitch_Fashion_Sales_cleaned!$J213,Table2[City],Table2[City_Key],"not found")</f>
        <v>2</v>
      </c>
      <c r="O213" s="23">
        <f>_xlfn.XLOOKUP(Snitch_Fashion_Sales_cleaned!$D213,Table4[Product_Name],Table4[Product_Key],"not found")</f>
        <v>21</v>
      </c>
      <c r="P213" s="32">
        <f>_xlfn.XLOOKUP(Snitch_Fashion_Sales_cleaned!$I213,Table3[Order_Date],Table3[Date_Key])</f>
        <v>130</v>
      </c>
    </row>
    <row r="214" spans="1:16" x14ac:dyDescent="0.3">
      <c r="A214" s="27">
        <v>1212</v>
      </c>
      <c r="B214" s="25" t="s">
        <v>260</v>
      </c>
      <c r="C214" s="25" t="s">
        <v>25</v>
      </c>
      <c r="D214" s="26" t="s">
        <v>62</v>
      </c>
      <c r="E214" s="27">
        <v>4</v>
      </c>
      <c r="F214" s="28">
        <v>4098.12</v>
      </c>
      <c r="G214" s="29">
        <v>0.51</v>
      </c>
      <c r="H214" s="28">
        <f t="shared" si="8"/>
        <v>16392.48</v>
      </c>
      <c r="I214" s="30">
        <v>45582</v>
      </c>
      <c r="J214" s="26" t="s">
        <v>52</v>
      </c>
      <c r="K214" s="26" t="s">
        <v>23</v>
      </c>
      <c r="L214" s="31">
        <f t="shared" si="9"/>
        <v>8032.3152</v>
      </c>
      <c r="M214" s="31">
        <v>-656.35</v>
      </c>
      <c r="N214" s="22">
        <f>_xlfn.XLOOKUP(Snitch_Fashion_Sales_cleaned!$J214,Table2[City],Table2[City_Key],"not found")</f>
        <v>5</v>
      </c>
      <c r="O214" s="21">
        <f>_xlfn.XLOOKUP(Snitch_Fashion_Sales_cleaned!$D214,Table4[Product_Name],Table4[Product_Key],"not found")</f>
        <v>14</v>
      </c>
      <c r="P214" s="25">
        <f>_xlfn.XLOOKUP(Snitch_Fashion_Sales_cleaned!$I214,Table3[Order_Date],Table3[Date_Key])</f>
        <v>96</v>
      </c>
    </row>
    <row r="215" spans="1:16" x14ac:dyDescent="0.3">
      <c r="A215" s="34">
        <v>1213</v>
      </c>
      <c r="B215" s="32" t="s">
        <v>261</v>
      </c>
      <c r="C215" s="32" t="s">
        <v>31</v>
      </c>
      <c r="D215" s="33" t="s">
        <v>68</v>
      </c>
      <c r="E215" s="34">
        <v>4</v>
      </c>
      <c r="F215" s="35">
        <v>2765.79</v>
      </c>
      <c r="G215" s="36">
        <v>0.51</v>
      </c>
      <c r="H215" s="35">
        <f t="shared" si="8"/>
        <v>11063.16</v>
      </c>
      <c r="I215" s="37">
        <v>45684</v>
      </c>
      <c r="J215" s="33" t="s">
        <v>18</v>
      </c>
      <c r="K215" s="33" t="s">
        <v>23</v>
      </c>
      <c r="L215" s="38">
        <f t="shared" si="9"/>
        <v>5420.9484000000002</v>
      </c>
      <c r="M215" s="38">
        <v>1093.98</v>
      </c>
      <c r="N215" s="24">
        <f>_xlfn.XLOOKUP(Snitch_Fashion_Sales_cleaned!$J215,Table2[City],Table2[City_Key],"not found")</f>
        <v>2</v>
      </c>
      <c r="O215" s="23">
        <f>_xlfn.XLOOKUP(Snitch_Fashion_Sales_cleaned!$D215,Table4[Product_Name],Table4[Product_Key],"not found")</f>
        <v>15</v>
      </c>
      <c r="P215" s="32">
        <f>_xlfn.XLOOKUP(Snitch_Fashion_Sales_cleaned!$I215,Table3[Order_Date],Table3[Date_Key])</f>
        <v>131</v>
      </c>
    </row>
    <row r="216" spans="1:16" x14ac:dyDescent="0.3">
      <c r="A216" s="27">
        <v>1214</v>
      </c>
      <c r="B216" s="25" t="s">
        <v>262</v>
      </c>
      <c r="C216" s="25" t="s">
        <v>20</v>
      </c>
      <c r="D216" s="26" t="s">
        <v>118</v>
      </c>
      <c r="E216" s="27">
        <v>4</v>
      </c>
      <c r="F216" s="28">
        <v>1273.5999999999999</v>
      </c>
      <c r="G216" s="29">
        <v>0.51</v>
      </c>
      <c r="H216" s="28">
        <f t="shared" si="8"/>
        <v>5094.3999999999996</v>
      </c>
      <c r="I216" s="30">
        <v>45826</v>
      </c>
      <c r="J216" s="26" t="s">
        <v>52</v>
      </c>
      <c r="K216" s="26" t="s">
        <v>16</v>
      </c>
      <c r="L216" s="31">
        <f t="shared" si="9"/>
        <v>2496.2559999999999</v>
      </c>
      <c r="M216" s="31">
        <v>1851.89</v>
      </c>
      <c r="N216" s="22">
        <f>_xlfn.XLOOKUP(Snitch_Fashion_Sales_cleaned!$J216,Table2[City],Table2[City_Key],"not found")</f>
        <v>5</v>
      </c>
      <c r="O216" s="21">
        <f>_xlfn.XLOOKUP(Snitch_Fashion_Sales_cleaned!$D216,Table4[Product_Name],Table4[Product_Key],"not found")</f>
        <v>23</v>
      </c>
      <c r="P216" s="25">
        <f>_xlfn.XLOOKUP(Snitch_Fashion_Sales_cleaned!$I216,Table3[Order_Date],Table3[Date_Key])</f>
        <v>4</v>
      </c>
    </row>
    <row r="217" spans="1:16" x14ac:dyDescent="0.3">
      <c r="A217" s="34">
        <v>1215</v>
      </c>
      <c r="B217" s="32" t="s">
        <v>263</v>
      </c>
      <c r="C217" s="32" t="s">
        <v>31</v>
      </c>
      <c r="D217" s="33" t="s">
        <v>68</v>
      </c>
      <c r="E217" s="34">
        <v>6</v>
      </c>
      <c r="F217" s="35">
        <v>3802.27</v>
      </c>
      <c r="G217" s="36">
        <v>0.51</v>
      </c>
      <c r="H217" s="35">
        <f t="shared" si="8"/>
        <v>22813.62</v>
      </c>
      <c r="I217" s="37">
        <v>45647</v>
      </c>
      <c r="J217" s="33" t="s">
        <v>18</v>
      </c>
      <c r="K217" s="33" t="s">
        <v>16</v>
      </c>
      <c r="L217" s="38">
        <f t="shared" si="9"/>
        <v>11178.673799999999</v>
      </c>
      <c r="M217" s="38">
        <v>-266.99</v>
      </c>
      <c r="N217" s="24">
        <f>_xlfn.XLOOKUP(Snitch_Fashion_Sales_cleaned!$J217,Table2[City],Table2[City_Key],"not found")</f>
        <v>2</v>
      </c>
      <c r="O217" s="23">
        <f>_xlfn.XLOOKUP(Snitch_Fashion_Sales_cleaned!$D217,Table4[Product_Name],Table4[Product_Key],"not found")</f>
        <v>15</v>
      </c>
      <c r="P217" s="32">
        <f>_xlfn.XLOOKUP(Snitch_Fashion_Sales_cleaned!$I217,Table3[Order_Date],Table3[Date_Key])</f>
        <v>5</v>
      </c>
    </row>
    <row r="218" spans="1:16" x14ac:dyDescent="0.3">
      <c r="A218" s="27">
        <v>1216</v>
      </c>
      <c r="B218" s="25" t="s">
        <v>264</v>
      </c>
      <c r="C218" s="25" t="s">
        <v>31</v>
      </c>
      <c r="D218" s="26" t="s">
        <v>68</v>
      </c>
      <c r="E218" s="27">
        <v>6</v>
      </c>
      <c r="F218" s="28">
        <v>2765.79</v>
      </c>
      <c r="G218" s="29">
        <v>0.51</v>
      </c>
      <c r="H218" s="28">
        <f t="shared" si="8"/>
        <v>16594.739999999998</v>
      </c>
      <c r="I218" s="30">
        <v>45495</v>
      </c>
      <c r="J218" s="26" t="s">
        <v>15</v>
      </c>
      <c r="K218" s="26" t="s">
        <v>23</v>
      </c>
      <c r="L218" s="31">
        <f t="shared" si="9"/>
        <v>8131.422599999999</v>
      </c>
      <c r="M218" s="31">
        <v>2986.8</v>
      </c>
      <c r="N218" s="22">
        <f>_xlfn.XLOOKUP(Snitch_Fashion_Sales_cleaned!$J218,Table2[City],Table2[City_Key],"not found")</f>
        <v>1</v>
      </c>
      <c r="O218" s="21">
        <f>_xlfn.XLOOKUP(Snitch_Fashion_Sales_cleaned!$D218,Table4[Product_Name],Table4[Product_Key],"not found")</f>
        <v>15</v>
      </c>
      <c r="P218" s="25">
        <f>_xlfn.XLOOKUP(Snitch_Fashion_Sales_cleaned!$I218,Table3[Order_Date],Table3[Date_Key])</f>
        <v>132</v>
      </c>
    </row>
    <row r="219" spans="1:16" x14ac:dyDescent="0.3">
      <c r="A219" s="34">
        <v>1217</v>
      </c>
      <c r="B219" s="32" t="s">
        <v>265</v>
      </c>
      <c r="C219" s="32" t="s">
        <v>20</v>
      </c>
      <c r="D219" s="33" t="s">
        <v>84</v>
      </c>
      <c r="E219" s="34">
        <v>3</v>
      </c>
      <c r="F219" s="35">
        <v>2850.38</v>
      </c>
      <c r="G219" s="36">
        <v>0.51</v>
      </c>
      <c r="H219" s="35">
        <f t="shared" si="8"/>
        <v>8551.14</v>
      </c>
      <c r="I219" s="37">
        <v>45647</v>
      </c>
      <c r="J219" s="33" t="s">
        <v>15</v>
      </c>
      <c r="K219" s="33" t="s">
        <v>16</v>
      </c>
      <c r="L219" s="38">
        <f t="shared" si="9"/>
        <v>4190.0585999999994</v>
      </c>
      <c r="M219" s="38">
        <v>17.309999999999999</v>
      </c>
      <c r="N219" s="24">
        <f>_xlfn.XLOOKUP(Snitch_Fashion_Sales_cleaned!$J219,Table2[City],Table2[City_Key],"not found")</f>
        <v>1</v>
      </c>
      <c r="O219" s="23">
        <f>_xlfn.XLOOKUP(Snitch_Fashion_Sales_cleaned!$D219,Table4[Product_Name],Table4[Product_Key],"not found")</f>
        <v>19</v>
      </c>
      <c r="P219" s="32">
        <f>_xlfn.XLOOKUP(Snitch_Fashion_Sales_cleaned!$I219,Table3[Order_Date],Table3[Date_Key])</f>
        <v>5</v>
      </c>
    </row>
    <row r="220" spans="1:16" x14ac:dyDescent="0.3">
      <c r="A220" s="27">
        <v>1218</v>
      </c>
      <c r="B220" s="25" t="s">
        <v>266</v>
      </c>
      <c r="C220" s="25" t="s">
        <v>36</v>
      </c>
      <c r="D220" s="26" t="s">
        <v>59</v>
      </c>
      <c r="E220" s="27">
        <v>3</v>
      </c>
      <c r="F220" s="28">
        <v>1544.45</v>
      </c>
      <c r="G220" s="29">
        <v>0.33</v>
      </c>
      <c r="H220" s="28">
        <f t="shared" si="8"/>
        <v>4633.3500000000004</v>
      </c>
      <c r="I220" s="30">
        <v>45747</v>
      </c>
      <c r="J220" s="26" t="s">
        <v>52</v>
      </c>
      <c r="K220" s="26" t="s">
        <v>23</v>
      </c>
      <c r="L220" s="31">
        <f t="shared" si="9"/>
        <v>3104.3444999999997</v>
      </c>
      <c r="M220" s="31">
        <v>707.56</v>
      </c>
      <c r="N220" s="22">
        <f>_xlfn.XLOOKUP(Snitch_Fashion_Sales_cleaned!$J220,Table2[City],Table2[City_Key],"not found")</f>
        <v>5</v>
      </c>
      <c r="O220" s="21">
        <f>_xlfn.XLOOKUP(Snitch_Fashion_Sales_cleaned!$D220,Table4[Product_Name],Table4[Product_Key],"not found")</f>
        <v>13</v>
      </c>
      <c r="P220" s="25">
        <f>_xlfn.XLOOKUP(Snitch_Fashion_Sales_cleaned!$I220,Table3[Order_Date],Table3[Date_Key])</f>
        <v>127</v>
      </c>
    </row>
    <row r="221" spans="1:16" x14ac:dyDescent="0.3">
      <c r="A221" s="34">
        <v>1219</v>
      </c>
      <c r="B221" s="32" t="s">
        <v>267</v>
      </c>
      <c r="C221" s="32" t="s">
        <v>13</v>
      </c>
      <c r="D221" s="33" t="s">
        <v>46</v>
      </c>
      <c r="E221" s="34">
        <v>4</v>
      </c>
      <c r="F221" s="35">
        <v>2891.64</v>
      </c>
      <c r="G221" s="36">
        <v>0.51</v>
      </c>
      <c r="H221" s="35">
        <f t="shared" si="8"/>
        <v>11566.56</v>
      </c>
      <c r="I221" s="37">
        <v>45624</v>
      </c>
      <c r="J221" s="33" t="s">
        <v>2540</v>
      </c>
      <c r="K221" s="33" t="s">
        <v>23</v>
      </c>
      <c r="L221" s="38">
        <f t="shared" si="9"/>
        <v>5667.6143999999995</v>
      </c>
      <c r="M221" s="38">
        <v>2206</v>
      </c>
      <c r="N221" s="24">
        <f>_xlfn.XLOOKUP(Snitch_Fashion_Sales_cleaned!$J221,Table2[City],Table2[City_Key],"not found")</f>
        <v>4</v>
      </c>
      <c r="O221" s="23">
        <f>_xlfn.XLOOKUP(Snitch_Fashion_Sales_cleaned!$D221,Table4[Product_Name],Table4[Product_Key],"not found")</f>
        <v>10</v>
      </c>
      <c r="P221" s="32">
        <f>_xlfn.XLOOKUP(Snitch_Fashion_Sales_cleaned!$I221,Table3[Order_Date],Table3[Date_Key])</f>
        <v>133</v>
      </c>
    </row>
    <row r="222" spans="1:16" x14ac:dyDescent="0.3">
      <c r="A222" s="27">
        <v>1220</v>
      </c>
      <c r="B222" s="25" t="s">
        <v>268</v>
      </c>
      <c r="C222" s="25" t="s">
        <v>31</v>
      </c>
      <c r="D222" s="26" t="s">
        <v>41</v>
      </c>
      <c r="E222" s="27">
        <v>3</v>
      </c>
      <c r="F222" s="28">
        <v>3027.66</v>
      </c>
      <c r="G222" s="29">
        <v>0.51</v>
      </c>
      <c r="H222" s="28">
        <f t="shared" si="8"/>
        <v>9082.98</v>
      </c>
      <c r="I222" s="30">
        <v>45495</v>
      </c>
      <c r="J222" s="26" t="s">
        <v>2540</v>
      </c>
      <c r="K222" s="26" t="s">
        <v>23</v>
      </c>
      <c r="L222" s="31">
        <f t="shared" si="9"/>
        <v>4450.6601999999993</v>
      </c>
      <c r="M222" s="31">
        <v>1598.22</v>
      </c>
      <c r="N222" s="22">
        <f>_xlfn.XLOOKUP(Snitch_Fashion_Sales_cleaned!$J222,Table2[City],Table2[City_Key],"not found")</f>
        <v>4</v>
      </c>
      <c r="O222" s="21">
        <f>_xlfn.XLOOKUP(Snitch_Fashion_Sales_cleaned!$D222,Table4[Product_Name],Table4[Product_Key],"not found")</f>
        <v>9</v>
      </c>
      <c r="P222" s="25">
        <f>_xlfn.XLOOKUP(Snitch_Fashion_Sales_cleaned!$I222,Table3[Order_Date],Table3[Date_Key])</f>
        <v>132</v>
      </c>
    </row>
    <row r="223" spans="1:16" x14ac:dyDescent="0.3">
      <c r="A223" s="34">
        <v>1221</v>
      </c>
      <c r="B223" s="32" t="s">
        <v>269</v>
      </c>
      <c r="C223" s="32" t="s">
        <v>28</v>
      </c>
      <c r="D223" s="33" t="s">
        <v>29</v>
      </c>
      <c r="E223" s="34">
        <v>3</v>
      </c>
      <c r="F223" s="35">
        <v>2515.415</v>
      </c>
      <c r="G223" s="36">
        <v>0.51</v>
      </c>
      <c r="H223" s="35">
        <f t="shared" si="8"/>
        <v>7546.2449999999999</v>
      </c>
      <c r="I223" s="37">
        <v>45563</v>
      </c>
      <c r="J223" s="33" t="s">
        <v>22</v>
      </c>
      <c r="K223" s="33" t="s">
        <v>23</v>
      </c>
      <c r="L223" s="38">
        <f t="shared" si="9"/>
        <v>3697.66005</v>
      </c>
      <c r="M223" s="38">
        <v>898.67</v>
      </c>
      <c r="N223" s="24">
        <f>_xlfn.XLOOKUP(Snitch_Fashion_Sales_cleaned!$J223,Table2[City],Table2[City_Key],"not found")</f>
        <v>3</v>
      </c>
      <c r="O223" s="23">
        <f>_xlfn.XLOOKUP(Snitch_Fashion_Sales_cleaned!$D223,Table4[Product_Name],Table4[Product_Key],"not found")</f>
        <v>4</v>
      </c>
      <c r="P223" s="32">
        <f>_xlfn.XLOOKUP(Snitch_Fashion_Sales_cleaned!$I223,Table3[Order_Date],Table3[Date_Key])</f>
        <v>134</v>
      </c>
    </row>
    <row r="224" spans="1:16" x14ac:dyDescent="0.3">
      <c r="A224" s="27">
        <v>1222</v>
      </c>
      <c r="B224" s="25" t="s">
        <v>270</v>
      </c>
      <c r="C224" s="25" t="s">
        <v>31</v>
      </c>
      <c r="D224" s="26" t="s">
        <v>68</v>
      </c>
      <c r="E224" s="27">
        <v>4</v>
      </c>
      <c r="F224" s="28">
        <v>683.85</v>
      </c>
      <c r="G224" s="29">
        <v>0.51</v>
      </c>
      <c r="H224" s="28">
        <f t="shared" si="8"/>
        <v>2735.4</v>
      </c>
      <c r="I224" s="30">
        <v>45595</v>
      </c>
      <c r="J224" s="26" t="s">
        <v>43</v>
      </c>
      <c r="K224" s="26" t="s">
        <v>16</v>
      </c>
      <c r="L224" s="31">
        <f t="shared" si="9"/>
        <v>1340.346</v>
      </c>
      <c r="M224" s="31">
        <v>335.0865</v>
      </c>
      <c r="N224" s="22">
        <f>_xlfn.XLOOKUP(Snitch_Fashion_Sales_cleaned!$J224,Table2[City],Table2[City_Key],"not found")</f>
        <v>6</v>
      </c>
      <c r="O224" s="21">
        <f>_xlfn.XLOOKUP(Snitch_Fashion_Sales_cleaned!$D224,Table4[Product_Name],Table4[Product_Key],"not found")</f>
        <v>15</v>
      </c>
      <c r="P224" s="25">
        <f>_xlfn.XLOOKUP(Snitch_Fashion_Sales_cleaned!$I224,Table3[Order_Date],Table3[Date_Key])</f>
        <v>135</v>
      </c>
    </row>
    <row r="225" spans="1:16" x14ac:dyDescent="0.3">
      <c r="A225" s="34">
        <v>1223</v>
      </c>
      <c r="B225" s="32" t="s">
        <v>271</v>
      </c>
      <c r="C225" s="32" t="s">
        <v>31</v>
      </c>
      <c r="D225" s="33" t="s">
        <v>32</v>
      </c>
      <c r="E225" s="34">
        <v>4</v>
      </c>
      <c r="F225" s="35">
        <v>2001.5500000000002</v>
      </c>
      <c r="G225" s="36">
        <v>0.51</v>
      </c>
      <c r="H225" s="35">
        <f t="shared" si="8"/>
        <v>8006.2000000000007</v>
      </c>
      <c r="I225" s="37">
        <v>45647</v>
      </c>
      <c r="J225" s="33" t="s">
        <v>52</v>
      </c>
      <c r="K225" s="33" t="s">
        <v>23</v>
      </c>
      <c r="L225" s="38">
        <f t="shared" si="9"/>
        <v>3923.0380000000005</v>
      </c>
      <c r="M225" s="38">
        <v>-531.04999999999995</v>
      </c>
      <c r="N225" s="24">
        <f>_xlfn.XLOOKUP(Snitch_Fashion_Sales_cleaned!$J225,Table2[City],Table2[City_Key],"not found")</f>
        <v>5</v>
      </c>
      <c r="O225" s="23">
        <f>_xlfn.XLOOKUP(Snitch_Fashion_Sales_cleaned!$D225,Table4[Product_Name],Table4[Product_Key],"not found")</f>
        <v>5</v>
      </c>
      <c r="P225" s="32">
        <f>_xlfn.XLOOKUP(Snitch_Fashion_Sales_cleaned!$I225,Table3[Order_Date],Table3[Date_Key])</f>
        <v>5</v>
      </c>
    </row>
    <row r="226" spans="1:16" x14ac:dyDescent="0.3">
      <c r="A226" s="27">
        <v>1224</v>
      </c>
      <c r="B226" s="25" t="s">
        <v>272</v>
      </c>
      <c r="C226" s="25" t="s">
        <v>36</v>
      </c>
      <c r="D226" s="26" t="s">
        <v>59</v>
      </c>
      <c r="E226" s="27">
        <v>3</v>
      </c>
      <c r="F226" s="28">
        <v>2765.26</v>
      </c>
      <c r="G226" s="29">
        <v>0.51</v>
      </c>
      <c r="H226" s="28">
        <f t="shared" si="8"/>
        <v>8295.7800000000007</v>
      </c>
      <c r="I226" s="30">
        <v>45737</v>
      </c>
      <c r="J226" s="26" t="s">
        <v>18</v>
      </c>
      <c r="K226" s="26" t="s">
        <v>16</v>
      </c>
      <c r="L226" s="31">
        <f t="shared" si="9"/>
        <v>4064.9322000000002</v>
      </c>
      <c r="M226" s="31">
        <v>2219.56</v>
      </c>
      <c r="N226" s="22">
        <f>_xlfn.XLOOKUP(Snitch_Fashion_Sales_cleaned!$J226,Table2[City],Table2[City_Key],"not found")</f>
        <v>2</v>
      </c>
      <c r="O226" s="21">
        <f>_xlfn.XLOOKUP(Snitch_Fashion_Sales_cleaned!$D226,Table4[Product_Name],Table4[Product_Key],"not found")</f>
        <v>13</v>
      </c>
      <c r="P226" s="25">
        <f>_xlfn.XLOOKUP(Snitch_Fashion_Sales_cleaned!$I226,Table3[Order_Date],Table3[Date_Key])</f>
        <v>136</v>
      </c>
    </row>
    <row r="227" spans="1:16" x14ac:dyDescent="0.3">
      <c r="A227" s="34">
        <v>1225</v>
      </c>
      <c r="B227" s="32" t="s">
        <v>273</v>
      </c>
      <c r="C227" s="32" t="s">
        <v>25</v>
      </c>
      <c r="D227" s="33" t="s">
        <v>26</v>
      </c>
      <c r="E227" s="34">
        <v>4</v>
      </c>
      <c r="F227" s="35">
        <v>1406.32</v>
      </c>
      <c r="G227" s="36">
        <v>0.51</v>
      </c>
      <c r="H227" s="35">
        <f t="shared" si="8"/>
        <v>5625.28</v>
      </c>
      <c r="I227" s="37">
        <v>45851</v>
      </c>
      <c r="J227" s="33" t="s">
        <v>2540</v>
      </c>
      <c r="K227" s="33" t="s">
        <v>23</v>
      </c>
      <c r="L227" s="38">
        <f t="shared" si="9"/>
        <v>2756.3871999999997</v>
      </c>
      <c r="M227" s="38">
        <v>1937.71</v>
      </c>
      <c r="N227" s="24">
        <f>_xlfn.XLOOKUP(Snitch_Fashion_Sales_cleaned!$J227,Table2[City],Table2[City_Key],"not found")</f>
        <v>4</v>
      </c>
      <c r="O227" s="23">
        <f>_xlfn.XLOOKUP(Snitch_Fashion_Sales_cleaned!$D227,Table4[Product_Name],Table4[Product_Key],"not found")</f>
        <v>3</v>
      </c>
      <c r="P227" s="32">
        <f>_xlfn.XLOOKUP(Snitch_Fashion_Sales_cleaned!$I227,Table3[Order_Date],Table3[Date_Key])</f>
        <v>23</v>
      </c>
    </row>
    <row r="228" spans="1:16" x14ac:dyDescent="0.3">
      <c r="A228" s="27">
        <v>1226</v>
      </c>
      <c r="B228" s="25" t="s">
        <v>274</v>
      </c>
      <c r="C228" s="25" t="s">
        <v>36</v>
      </c>
      <c r="D228" s="26" t="s">
        <v>87</v>
      </c>
      <c r="E228" s="27">
        <v>1</v>
      </c>
      <c r="F228" s="28">
        <v>2889.5349999999999</v>
      </c>
      <c r="G228" s="29">
        <v>0.51</v>
      </c>
      <c r="H228" s="28">
        <f t="shared" si="8"/>
        <v>2889.5349999999999</v>
      </c>
      <c r="I228" s="30">
        <v>45591</v>
      </c>
      <c r="J228" s="26" t="s">
        <v>18</v>
      </c>
      <c r="K228" s="26" t="s">
        <v>23</v>
      </c>
      <c r="L228" s="31">
        <f t="shared" si="9"/>
        <v>1415.8721499999999</v>
      </c>
      <c r="M228" s="31">
        <v>353.96803749999998</v>
      </c>
      <c r="N228" s="22">
        <f>_xlfn.XLOOKUP(Snitch_Fashion_Sales_cleaned!$J228,Table2[City],Table2[City_Key],"not found")</f>
        <v>2</v>
      </c>
      <c r="O228" s="21">
        <f>_xlfn.XLOOKUP(Snitch_Fashion_Sales_cleaned!$D228,Table4[Product_Name],Table4[Product_Key],"not found")</f>
        <v>20</v>
      </c>
      <c r="P228" s="25">
        <f>_xlfn.XLOOKUP(Snitch_Fashion_Sales_cleaned!$I228,Table3[Order_Date],Table3[Date_Key])</f>
        <v>12</v>
      </c>
    </row>
    <row r="229" spans="1:16" x14ac:dyDescent="0.3">
      <c r="A229" s="34">
        <v>1227</v>
      </c>
      <c r="B229" s="32" t="s">
        <v>275</v>
      </c>
      <c r="C229" s="32" t="s">
        <v>28</v>
      </c>
      <c r="D229" s="33" t="s">
        <v>39</v>
      </c>
      <c r="E229" s="34">
        <v>2</v>
      </c>
      <c r="F229" s="35">
        <v>2577.6350000000002</v>
      </c>
      <c r="G229" s="36">
        <v>0.25</v>
      </c>
      <c r="H229" s="35">
        <f t="shared" si="8"/>
        <v>5155.2700000000004</v>
      </c>
      <c r="I229" s="37">
        <v>45356</v>
      </c>
      <c r="J229" s="33" t="s">
        <v>52</v>
      </c>
      <c r="K229" s="33" t="s">
        <v>16</v>
      </c>
      <c r="L229" s="38">
        <f t="shared" si="9"/>
        <v>3866.4525000000003</v>
      </c>
      <c r="M229" s="38">
        <v>2096.6799999999998</v>
      </c>
      <c r="N229" s="24">
        <f>_xlfn.XLOOKUP(Snitch_Fashion_Sales_cleaned!$J229,Table2[City],Table2[City_Key],"not found")</f>
        <v>5</v>
      </c>
      <c r="O229" s="23">
        <f>_xlfn.XLOOKUP(Snitch_Fashion_Sales_cleaned!$D229,Table4[Product_Name],Table4[Product_Key],"not found")</f>
        <v>8</v>
      </c>
      <c r="P229" s="32">
        <f>_xlfn.XLOOKUP(Snitch_Fashion_Sales_cleaned!$I229,Table3[Order_Date],Table3[Date_Key])</f>
        <v>137</v>
      </c>
    </row>
    <row r="230" spans="1:16" x14ac:dyDescent="0.3">
      <c r="A230" s="27">
        <v>1048</v>
      </c>
      <c r="B230" s="25" t="s">
        <v>276</v>
      </c>
      <c r="C230" s="25" t="s">
        <v>28</v>
      </c>
      <c r="D230" s="26" t="s">
        <v>137</v>
      </c>
      <c r="E230" s="27">
        <v>3.5</v>
      </c>
      <c r="F230" s="28">
        <v>2298.27</v>
      </c>
      <c r="G230" s="29">
        <v>0.59</v>
      </c>
      <c r="H230" s="28">
        <f t="shared" si="8"/>
        <v>8043.9449999999997</v>
      </c>
      <c r="I230" s="30">
        <v>45743</v>
      </c>
      <c r="J230" s="26" t="s">
        <v>43</v>
      </c>
      <c r="K230" s="26" t="s">
        <v>23</v>
      </c>
      <c r="L230" s="31">
        <f t="shared" si="9"/>
        <v>3298.0174500000003</v>
      </c>
      <c r="M230" s="31">
        <v>2994.93</v>
      </c>
      <c r="N230" s="22">
        <f>_xlfn.XLOOKUP(Snitch_Fashion_Sales_cleaned!$J230,Table2[City],Table2[City_Key],"not found")</f>
        <v>6</v>
      </c>
      <c r="O230" s="21">
        <f>_xlfn.XLOOKUP(Snitch_Fashion_Sales_cleaned!$D230,Table4[Product_Name],Table4[Product_Key],"not found")</f>
        <v>24</v>
      </c>
      <c r="P230" s="25">
        <f>_xlfn.XLOOKUP(Snitch_Fashion_Sales_cleaned!$I230,Table3[Order_Date],Table3[Date_Key])</f>
        <v>138</v>
      </c>
    </row>
    <row r="231" spans="1:16" x14ac:dyDescent="0.3">
      <c r="A231" s="34">
        <v>1229</v>
      </c>
      <c r="B231" s="32" t="s">
        <v>277</v>
      </c>
      <c r="C231" s="32" t="s">
        <v>36</v>
      </c>
      <c r="D231" s="33" t="s">
        <v>87</v>
      </c>
      <c r="E231" s="34">
        <v>4</v>
      </c>
      <c r="F231" s="35">
        <v>2889.5349999999999</v>
      </c>
      <c r="G231" s="36">
        <v>0.51</v>
      </c>
      <c r="H231" s="35">
        <f t="shared" si="8"/>
        <v>11558.14</v>
      </c>
      <c r="I231" s="37">
        <v>45647</v>
      </c>
      <c r="J231" s="33" t="s">
        <v>15</v>
      </c>
      <c r="K231" s="33" t="s">
        <v>23</v>
      </c>
      <c r="L231" s="38">
        <f t="shared" si="9"/>
        <v>5663.4885999999997</v>
      </c>
      <c r="M231" s="38">
        <v>925.22</v>
      </c>
      <c r="N231" s="24">
        <f>_xlfn.XLOOKUP(Snitch_Fashion_Sales_cleaned!$J231,Table2[City],Table2[City_Key],"not found")</f>
        <v>1</v>
      </c>
      <c r="O231" s="23">
        <f>_xlfn.XLOOKUP(Snitch_Fashion_Sales_cleaned!$D231,Table4[Product_Name],Table4[Product_Key],"not found")</f>
        <v>20</v>
      </c>
      <c r="P231" s="32">
        <f>_xlfn.XLOOKUP(Snitch_Fashion_Sales_cleaned!$I231,Table3[Order_Date],Table3[Date_Key])</f>
        <v>5</v>
      </c>
    </row>
    <row r="232" spans="1:16" x14ac:dyDescent="0.3">
      <c r="A232" s="27">
        <v>1230</v>
      </c>
      <c r="B232" s="25" t="s">
        <v>278</v>
      </c>
      <c r="C232" s="25" t="s">
        <v>28</v>
      </c>
      <c r="D232" s="26" t="s">
        <v>116</v>
      </c>
      <c r="E232" s="27">
        <v>3</v>
      </c>
      <c r="F232" s="28">
        <v>2785.79</v>
      </c>
      <c r="G232" s="29">
        <v>0.51</v>
      </c>
      <c r="H232" s="28">
        <f t="shared" si="8"/>
        <v>8357.369999999999</v>
      </c>
      <c r="I232" s="30">
        <v>45647</v>
      </c>
      <c r="J232" s="26" t="s">
        <v>52</v>
      </c>
      <c r="K232" s="26" t="s">
        <v>23</v>
      </c>
      <c r="L232" s="31">
        <f t="shared" si="9"/>
        <v>4095.1112999999996</v>
      </c>
      <c r="M232" s="31">
        <v>2725.11</v>
      </c>
      <c r="N232" s="22">
        <f>_xlfn.XLOOKUP(Snitch_Fashion_Sales_cleaned!$J232,Table2[City],Table2[City_Key],"not found")</f>
        <v>5</v>
      </c>
      <c r="O232" s="21">
        <f>_xlfn.XLOOKUP(Snitch_Fashion_Sales_cleaned!$D232,Table4[Product_Name],Table4[Product_Key],"not found")</f>
        <v>22</v>
      </c>
      <c r="P232" s="25">
        <f>_xlfn.XLOOKUP(Snitch_Fashion_Sales_cleaned!$I232,Table3[Order_Date],Table3[Date_Key])</f>
        <v>5</v>
      </c>
    </row>
    <row r="233" spans="1:16" x14ac:dyDescent="0.3">
      <c r="A233" s="34">
        <v>1231</v>
      </c>
      <c r="B233" s="32" t="s">
        <v>279</v>
      </c>
      <c r="C233" s="32" t="s">
        <v>25</v>
      </c>
      <c r="D233" s="33" t="s">
        <v>62</v>
      </c>
      <c r="E233" s="34">
        <v>1</v>
      </c>
      <c r="F233" s="35">
        <v>1744.73</v>
      </c>
      <c r="G233" s="36">
        <v>0.51</v>
      </c>
      <c r="H233" s="35">
        <f t="shared" si="8"/>
        <v>1744.73</v>
      </c>
      <c r="I233" s="37">
        <v>45647</v>
      </c>
      <c r="J233" s="33" t="s">
        <v>43</v>
      </c>
      <c r="K233" s="33" t="s">
        <v>23</v>
      </c>
      <c r="L233" s="38">
        <f t="shared" si="9"/>
        <v>854.91769999999997</v>
      </c>
      <c r="M233" s="38">
        <v>213.72942499999999</v>
      </c>
      <c r="N233" s="24">
        <f>_xlfn.XLOOKUP(Snitch_Fashion_Sales_cleaned!$J233,Table2[City],Table2[City_Key],"not found")</f>
        <v>6</v>
      </c>
      <c r="O233" s="23">
        <f>_xlfn.XLOOKUP(Snitch_Fashion_Sales_cleaned!$D233,Table4[Product_Name],Table4[Product_Key],"not found")</f>
        <v>14</v>
      </c>
      <c r="P233" s="32">
        <f>_xlfn.XLOOKUP(Snitch_Fashion_Sales_cleaned!$I233,Table3[Order_Date],Table3[Date_Key])</f>
        <v>5</v>
      </c>
    </row>
    <row r="234" spans="1:16" x14ac:dyDescent="0.3">
      <c r="A234" s="27">
        <v>1232</v>
      </c>
      <c r="B234" s="25" t="s">
        <v>280</v>
      </c>
      <c r="C234" s="25" t="s">
        <v>25</v>
      </c>
      <c r="D234" s="26" t="s">
        <v>50</v>
      </c>
      <c r="E234" s="27">
        <v>2</v>
      </c>
      <c r="F234" s="28">
        <v>2526.77</v>
      </c>
      <c r="G234" s="29">
        <v>0.51</v>
      </c>
      <c r="H234" s="28">
        <f t="shared" si="8"/>
        <v>5053.54</v>
      </c>
      <c r="I234" s="30">
        <v>45183</v>
      </c>
      <c r="J234" s="26" t="s">
        <v>22</v>
      </c>
      <c r="K234" s="26" t="s">
        <v>16</v>
      </c>
      <c r="L234" s="31">
        <f t="shared" si="9"/>
        <v>2476.2345999999998</v>
      </c>
      <c r="M234" s="31">
        <v>1494.67</v>
      </c>
      <c r="N234" s="22">
        <f>_xlfn.XLOOKUP(Snitch_Fashion_Sales_cleaned!$J234,Table2[City],Table2[City_Key],"not found")</f>
        <v>3</v>
      </c>
      <c r="O234" s="21">
        <f>_xlfn.XLOOKUP(Snitch_Fashion_Sales_cleaned!$D234,Table4[Product_Name],Table4[Product_Key],"not found")</f>
        <v>11</v>
      </c>
      <c r="P234" s="25">
        <f>_xlfn.XLOOKUP(Snitch_Fashion_Sales_cleaned!$I234,Table3[Order_Date],Table3[Date_Key])</f>
        <v>139</v>
      </c>
    </row>
    <row r="235" spans="1:16" x14ac:dyDescent="0.3">
      <c r="A235" s="34">
        <v>1233</v>
      </c>
      <c r="B235" s="32" t="s">
        <v>281</v>
      </c>
      <c r="C235" s="32" t="s">
        <v>20</v>
      </c>
      <c r="D235" s="33" t="s">
        <v>21</v>
      </c>
      <c r="E235" s="34">
        <v>4</v>
      </c>
      <c r="F235" s="35">
        <v>2579.8000000000002</v>
      </c>
      <c r="G235" s="36">
        <v>7.0000000000000007E-2</v>
      </c>
      <c r="H235" s="35">
        <f t="shared" si="8"/>
        <v>10319.200000000001</v>
      </c>
      <c r="I235" s="37">
        <v>45772</v>
      </c>
      <c r="J235" s="33" t="s">
        <v>2540</v>
      </c>
      <c r="K235" s="33" t="s">
        <v>23</v>
      </c>
      <c r="L235" s="38">
        <f t="shared" si="9"/>
        <v>9596.8559999999998</v>
      </c>
      <c r="M235" s="38">
        <v>2237.2399999999998</v>
      </c>
      <c r="N235" s="24">
        <f>_xlfn.XLOOKUP(Snitch_Fashion_Sales_cleaned!$J235,Table2[City],Table2[City_Key],"not found")</f>
        <v>4</v>
      </c>
      <c r="O235" s="23">
        <f>_xlfn.XLOOKUP(Snitch_Fashion_Sales_cleaned!$D235,Table4[Product_Name],Table4[Product_Key],"not found")</f>
        <v>2</v>
      </c>
      <c r="P235" s="32">
        <f>_xlfn.XLOOKUP(Snitch_Fashion_Sales_cleaned!$I235,Table3[Order_Date],Table3[Date_Key])</f>
        <v>140</v>
      </c>
    </row>
    <row r="236" spans="1:16" x14ac:dyDescent="0.3">
      <c r="A236" s="27">
        <v>1234</v>
      </c>
      <c r="B236" s="25" t="s">
        <v>282</v>
      </c>
      <c r="C236" s="25" t="s">
        <v>13</v>
      </c>
      <c r="D236" s="26" t="s">
        <v>46</v>
      </c>
      <c r="E236" s="27">
        <v>4</v>
      </c>
      <c r="F236" s="28">
        <v>1069.8800000000001</v>
      </c>
      <c r="G236" s="29">
        <v>0.05</v>
      </c>
      <c r="H236" s="28">
        <f t="shared" si="8"/>
        <v>4279.5200000000004</v>
      </c>
      <c r="I236" s="30">
        <v>45832</v>
      </c>
      <c r="J236" s="26" t="s">
        <v>43</v>
      </c>
      <c r="K236" s="26" t="s">
        <v>23</v>
      </c>
      <c r="L236" s="31">
        <f t="shared" si="9"/>
        <v>4065.5440000000003</v>
      </c>
      <c r="M236" s="31">
        <v>110.58</v>
      </c>
      <c r="N236" s="22">
        <f>_xlfn.XLOOKUP(Snitch_Fashion_Sales_cleaned!$J236,Table2[City],Table2[City_Key],"not found")</f>
        <v>6</v>
      </c>
      <c r="O236" s="21">
        <f>_xlfn.XLOOKUP(Snitch_Fashion_Sales_cleaned!$D236,Table4[Product_Name],Table4[Product_Key],"not found")</f>
        <v>10</v>
      </c>
      <c r="P236" s="25">
        <f>_xlfn.XLOOKUP(Snitch_Fashion_Sales_cleaned!$I236,Table3[Order_Date],Table3[Date_Key])</f>
        <v>141</v>
      </c>
    </row>
    <row r="237" spans="1:16" x14ac:dyDescent="0.3">
      <c r="A237" s="34">
        <v>1235</v>
      </c>
      <c r="B237" s="32" t="s">
        <v>283</v>
      </c>
      <c r="C237" s="32" t="s">
        <v>20</v>
      </c>
      <c r="D237" s="33" t="s">
        <v>76</v>
      </c>
      <c r="E237" s="34">
        <v>3</v>
      </c>
      <c r="F237" s="35">
        <v>2229.4899999999998</v>
      </c>
      <c r="G237" s="36">
        <v>0.51</v>
      </c>
      <c r="H237" s="35">
        <f t="shared" si="8"/>
        <v>6688.4699999999993</v>
      </c>
      <c r="I237" s="37">
        <v>45647</v>
      </c>
      <c r="J237" s="33" t="s">
        <v>52</v>
      </c>
      <c r="K237" s="33" t="s">
        <v>23</v>
      </c>
      <c r="L237" s="38">
        <f t="shared" si="9"/>
        <v>3277.3502999999996</v>
      </c>
      <c r="M237" s="38">
        <v>-403.94</v>
      </c>
      <c r="N237" s="24">
        <f>_xlfn.XLOOKUP(Snitch_Fashion_Sales_cleaned!$J237,Table2[City],Table2[City_Key],"not found")</f>
        <v>5</v>
      </c>
      <c r="O237" s="23">
        <f>_xlfn.XLOOKUP(Snitch_Fashion_Sales_cleaned!$D237,Table4[Product_Name],Table4[Product_Key],"not found")</f>
        <v>16</v>
      </c>
      <c r="P237" s="32">
        <f>_xlfn.XLOOKUP(Snitch_Fashion_Sales_cleaned!$I237,Table3[Order_Date],Table3[Date_Key])</f>
        <v>5</v>
      </c>
    </row>
    <row r="238" spans="1:16" x14ac:dyDescent="0.3">
      <c r="A238" s="27">
        <v>1036</v>
      </c>
      <c r="B238" s="25" t="s">
        <v>284</v>
      </c>
      <c r="C238" s="25" t="s">
        <v>31</v>
      </c>
      <c r="D238" s="26" t="s">
        <v>41</v>
      </c>
      <c r="E238" s="27">
        <v>2</v>
      </c>
      <c r="F238" s="28">
        <v>4802.42</v>
      </c>
      <c r="G238" s="29">
        <v>0.51</v>
      </c>
      <c r="H238" s="28">
        <f t="shared" si="8"/>
        <v>9604.84</v>
      </c>
      <c r="I238" s="30">
        <v>45765</v>
      </c>
      <c r="J238" s="26" t="s">
        <v>52</v>
      </c>
      <c r="K238" s="26" t="s">
        <v>23</v>
      </c>
      <c r="L238" s="31">
        <f t="shared" si="9"/>
        <v>4706.3716000000004</v>
      </c>
      <c r="M238" s="31">
        <v>605.03</v>
      </c>
      <c r="N238" s="22">
        <f>_xlfn.XLOOKUP(Snitch_Fashion_Sales_cleaned!$J238,Table2[City],Table2[City_Key],"not found")</f>
        <v>5</v>
      </c>
      <c r="O238" s="21">
        <f>_xlfn.XLOOKUP(Snitch_Fashion_Sales_cleaned!$D238,Table4[Product_Name],Table4[Product_Key],"not found")</f>
        <v>9</v>
      </c>
      <c r="P238" s="25">
        <f>_xlfn.XLOOKUP(Snitch_Fashion_Sales_cleaned!$I238,Table3[Order_Date],Table3[Date_Key])</f>
        <v>142</v>
      </c>
    </row>
    <row r="239" spans="1:16" x14ac:dyDescent="0.3">
      <c r="A239" s="34">
        <v>1237</v>
      </c>
      <c r="B239" s="32" t="s">
        <v>285</v>
      </c>
      <c r="C239" s="32" t="s">
        <v>31</v>
      </c>
      <c r="D239" s="33" t="s">
        <v>68</v>
      </c>
      <c r="E239" s="34">
        <v>4</v>
      </c>
      <c r="F239" s="35">
        <v>2765.79</v>
      </c>
      <c r="G239" s="36">
        <v>0.28999999999999998</v>
      </c>
      <c r="H239" s="35">
        <f t="shared" si="8"/>
        <v>11063.16</v>
      </c>
      <c r="I239" s="37">
        <v>45817</v>
      </c>
      <c r="J239" s="33" t="s">
        <v>43</v>
      </c>
      <c r="K239" s="33" t="s">
        <v>16</v>
      </c>
      <c r="L239" s="38">
        <f t="shared" si="9"/>
        <v>7854.8435999999992</v>
      </c>
      <c r="M239" s="38">
        <v>-465.98</v>
      </c>
      <c r="N239" s="24">
        <f>_xlfn.XLOOKUP(Snitch_Fashion_Sales_cleaned!$J239,Table2[City],Table2[City_Key],"not found")</f>
        <v>6</v>
      </c>
      <c r="O239" s="23">
        <f>_xlfn.XLOOKUP(Snitch_Fashion_Sales_cleaned!$D239,Table4[Product_Name],Table4[Product_Key],"not found")</f>
        <v>15</v>
      </c>
      <c r="P239" s="32">
        <f>_xlfn.XLOOKUP(Snitch_Fashion_Sales_cleaned!$I239,Table3[Order_Date],Table3[Date_Key])</f>
        <v>143</v>
      </c>
    </row>
    <row r="240" spans="1:16" x14ac:dyDescent="0.3">
      <c r="A240" s="27">
        <v>1238</v>
      </c>
      <c r="B240" s="25" t="s">
        <v>286</v>
      </c>
      <c r="C240" s="25" t="s">
        <v>25</v>
      </c>
      <c r="D240" s="26" t="s">
        <v>62</v>
      </c>
      <c r="E240" s="27">
        <v>4</v>
      </c>
      <c r="F240" s="28">
        <v>2538.0450000000001</v>
      </c>
      <c r="G240" s="29">
        <v>0.51</v>
      </c>
      <c r="H240" s="28">
        <f t="shared" si="8"/>
        <v>10152.18</v>
      </c>
      <c r="I240" s="30">
        <v>45647</v>
      </c>
      <c r="J240" s="26" t="s">
        <v>43</v>
      </c>
      <c r="K240" s="26" t="s">
        <v>23</v>
      </c>
      <c r="L240" s="31">
        <f t="shared" si="9"/>
        <v>4974.5681999999997</v>
      </c>
      <c r="M240" s="31">
        <v>2742.61</v>
      </c>
      <c r="N240" s="22">
        <f>_xlfn.XLOOKUP(Snitch_Fashion_Sales_cleaned!$J240,Table2[City],Table2[City_Key],"not found")</f>
        <v>6</v>
      </c>
      <c r="O240" s="21">
        <f>_xlfn.XLOOKUP(Snitch_Fashion_Sales_cleaned!$D240,Table4[Product_Name],Table4[Product_Key],"not found")</f>
        <v>14</v>
      </c>
      <c r="P240" s="25">
        <f>_xlfn.XLOOKUP(Snitch_Fashion_Sales_cleaned!$I240,Table3[Order_Date],Table3[Date_Key])</f>
        <v>5</v>
      </c>
    </row>
    <row r="241" spans="1:16" x14ac:dyDescent="0.3">
      <c r="A241" s="34">
        <v>1239</v>
      </c>
      <c r="B241" s="32" t="s">
        <v>287</v>
      </c>
      <c r="C241" s="32" t="s">
        <v>31</v>
      </c>
      <c r="D241" s="33" t="s">
        <v>78</v>
      </c>
      <c r="E241" s="34">
        <v>4</v>
      </c>
      <c r="F241" s="35">
        <v>644.58000000000004</v>
      </c>
      <c r="G241" s="36">
        <v>0.51</v>
      </c>
      <c r="H241" s="35">
        <f t="shared" si="8"/>
        <v>2578.3200000000002</v>
      </c>
      <c r="I241" s="37">
        <v>45585</v>
      </c>
      <c r="J241" s="33" t="s">
        <v>15</v>
      </c>
      <c r="K241" s="33" t="s">
        <v>23</v>
      </c>
      <c r="L241" s="38">
        <f t="shared" si="9"/>
        <v>1263.3768</v>
      </c>
      <c r="M241" s="38">
        <v>1097.8800000000001</v>
      </c>
      <c r="N241" s="24">
        <f>_xlfn.XLOOKUP(Snitch_Fashion_Sales_cleaned!$J241,Table2[City],Table2[City_Key],"not found")</f>
        <v>1</v>
      </c>
      <c r="O241" s="23">
        <f>_xlfn.XLOOKUP(Snitch_Fashion_Sales_cleaned!$D241,Table4[Product_Name],Table4[Product_Key],"not found")</f>
        <v>17</v>
      </c>
      <c r="P241" s="32">
        <f>_xlfn.XLOOKUP(Snitch_Fashion_Sales_cleaned!$I241,Table3[Order_Date],Table3[Date_Key])</f>
        <v>144</v>
      </c>
    </row>
    <row r="242" spans="1:16" x14ac:dyDescent="0.3">
      <c r="A242" s="27">
        <v>1240</v>
      </c>
      <c r="B242" s="25" t="s">
        <v>288</v>
      </c>
      <c r="C242" s="25" t="s">
        <v>36</v>
      </c>
      <c r="D242" s="26" t="s">
        <v>37</v>
      </c>
      <c r="E242" s="27">
        <v>4</v>
      </c>
      <c r="F242" s="28">
        <v>4634.13</v>
      </c>
      <c r="G242" s="29">
        <v>0.51</v>
      </c>
      <c r="H242" s="28">
        <f t="shared" si="8"/>
        <v>18536.52</v>
      </c>
      <c r="I242" s="30">
        <v>45136</v>
      </c>
      <c r="J242" s="26" t="s">
        <v>2540</v>
      </c>
      <c r="K242" s="26" t="s">
        <v>23</v>
      </c>
      <c r="L242" s="31">
        <f t="shared" si="9"/>
        <v>9082.8948</v>
      </c>
      <c r="M242" s="31">
        <v>2625.44</v>
      </c>
      <c r="N242" s="22">
        <f>_xlfn.XLOOKUP(Snitch_Fashion_Sales_cleaned!$J242,Table2[City],Table2[City_Key],"not found")</f>
        <v>4</v>
      </c>
      <c r="O242" s="21">
        <f>_xlfn.XLOOKUP(Snitch_Fashion_Sales_cleaned!$D242,Table4[Product_Name],Table4[Product_Key],"not found")</f>
        <v>7</v>
      </c>
      <c r="P242" s="25">
        <f>_xlfn.XLOOKUP(Snitch_Fashion_Sales_cleaned!$I242,Table3[Order_Date],Table3[Date_Key])</f>
        <v>145</v>
      </c>
    </row>
    <row r="243" spans="1:16" x14ac:dyDescent="0.3">
      <c r="A243" s="34">
        <v>1241</v>
      </c>
      <c r="B243" s="32" t="s">
        <v>289</v>
      </c>
      <c r="C243" s="32" t="s">
        <v>13</v>
      </c>
      <c r="D243" s="33" t="s">
        <v>14</v>
      </c>
      <c r="E243" s="34">
        <v>6</v>
      </c>
      <c r="F243" s="35">
        <v>3111.95</v>
      </c>
      <c r="G243" s="36">
        <v>0.51</v>
      </c>
      <c r="H243" s="35">
        <f t="shared" si="8"/>
        <v>18671.699999999997</v>
      </c>
      <c r="I243" s="37">
        <v>45465</v>
      </c>
      <c r="J243" s="33" t="s">
        <v>2540</v>
      </c>
      <c r="K243" s="33" t="s">
        <v>23</v>
      </c>
      <c r="L243" s="38">
        <f t="shared" si="9"/>
        <v>9149.132999999998</v>
      </c>
      <c r="M243" s="38">
        <v>2814.82</v>
      </c>
      <c r="N243" s="24">
        <f>_xlfn.XLOOKUP(Snitch_Fashion_Sales_cleaned!$J243,Table2[City],Table2[City_Key],"not found")</f>
        <v>4</v>
      </c>
      <c r="O243" s="23">
        <f>_xlfn.XLOOKUP(Snitch_Fashion_Sales_cleaned!$D243,Table4[Product_Name],Table4[Product_Key],"not found")</f>
        <v>1</v>
      </c>
      <c r="P243" s="32">
        <f>_xlfn.XLOOKUP(Snitch_Fashion_Sales_cleaned!$I243,Table3[Order_Date],Table3[Date_Key])</f>
        <v>146</v>
      </c>
    </row>
    <row r="244" spans="1:16" x14ac:dyDescent="0.3">
      <c r="A244" s="27">
        <v>1242</v>
      </c>
      <c r="B244" s="25" t="s">
        <v>290</v>
      </c>
      <c r="C244" s="25" t="s">
        <v>13</v>
      </c>
      <c r="D244" s="26" t="s">
        <v>98</v>
      </c>
      <c r="E244" s="27">
        <v>5</v>
      </c>
      <c r="F244" s="28">
        <v>2750.33</v>
      </c>
      <c r="G244" s="29">
        <v>0.51</v>
      </c>
      <c r="H244" s="28">
        <f t="shared" si="8"/>
        <v>13751.65</v>
      </c>
      <c r="I244" s="30">
        <v>45706</v>
      </c>
      <c r="J244" s="26" t="s">
        <v>43</v>
      </c>
      <c r="K244" s="26" t="s">
        <v>23</v>
      </c>
      <c r="L244" s="31">
        <f t="shared" si="9"/>
        <v>6738.3085000000001</v>
      </c>
      <c r="M244" s="31">
        <v>1576.74</v>
      </c>
      <c r="N244" s="22">
        <f>_xlfn.XLOOKUP(Snitch_Fashion_Sales_cleaned!$J244,Table2[City],Table2[City_Key],"not found")</f>
        <v>6</v>
      </c>
      <c r="O244" s="21">
        <f>_xlfn.XLOOKUP(Snitch_Fashion_Sales_cleaned!$D244,Table4[Product_Name],Table4[Product_Key],"not found")</f>
        <v>21</v>
      </c>
      <c r="P244" s="25">
        <f>_xlfn.XLOOKUP(Snitch_Fashion_Sales_cleaned!$I244,Table3[Order_Date],Table3[Date_Key])</f>
        <v>76</v>
      </c>
    </row>
    <row r="245" spans="1:16" x14ac:dyDescent="0.3">
      <c r="A245" s="34">
        <v>1243</v>
      </c>
      <c r="B245" s="32" t="s">
        <v>291</v>
      </c>
      <c r="C245" s="32" t="s">
        <v>28</v>
      </c>
      <c r="D245" s="33" t="s">
        <v>137</v>
      </c>
      <c r="E245" s="34">
        <v>3</v>
      </c>
      <c r="F245" s="35">
        <v>2338.04</v>
      </c>
      <c r="G245" s="36">
        <v>0.69</v>
      </c>
      <c r="H245" s="35">
        <f t="shared" si="8"/>
        <v>7014.12</v>
      </c>
      <c r="I245" s="37">
        <v>45628</v>
      </c>
      <c r="J245" s="33" t="s">
        <v>18</v>
      </c>
      <c r="K245" s="33" t="s">
        <v>23</v>
      </c>
      <c r="L245" s="38">
        <f t="shared" si="9"/>
        <v>2174.3772000000004</v>
      </c>
      <c r="M245" s="38">
        <v>779.51</v>
      </c>
      <c r="N245" s="24">
        <f>_xlfn.XLOOKUP(Snitch_Fashion_Sales_cleaned!$J245,Table2[City],Table2[City_Key],"not found")</f>
        <v>2</v>
      </c>
      <c r="O245" s="23">
        <f>_xlfn.XLOOKUP(Snitch_Fashion_Sales_cleaned!$D245,Table4[Product_Name],Table4[Product_Key],"not found")</f>
        <v>24</v>
      </c>
      <c r="P245" s="32">
        <f>_xlfn.XLOOKUP(Snitch_Fashion_Sales_cleaned!$I245,Table3[Order_Date],Table3[Date_Key])</f>
        <v>147</v>
      </c>
    </row>
    <row r="246" spans="1:16" x14ac:dyDescent="0.3">
      <c r="A246" s="27">
        <v>1244</v>
      </c>
      <c r="B246" s="25" t="s">
        <v>292</v>
      </c>
      <c r="C246" s="25" t="s">
        <v>36</v>
      </c>
      <c r="D246" s="26" t="s">
        <v>55</v>
      </c>
      <c r="E246" s="27">
        <v>6</v>
      </c>
      <c r="F246" s="28">
        <v>2731.6350000000002</v>
      </c>
      <c r="G246" s="29">
        <v>0.51</v>
      </c>
      <c r="H246" s="28">
        <f t="shared" si="8"/>
        <v>16389.810000000001</v>
      </c>
      <c r="I246" s="30">
        <v>45472</v>
      </c>
      <c r="J246" s="26" t="s">
        <v>18</v>
      </c>
      <c r="K246" s="26" t="s">
        <v>16</v>
      </c>
      <c r="L246" s="31">
        <f t="shared" si="9"/>
        <v>8031.0069000000003</v>
      </c>
      <c r="M246" s="31">
        <v>2574.7600000000002</v>
      </c>
      <c r="N246" s="22">
        <f>_xlfn.XLOOKUP(Snitch_Fashion_Sales_cleaned!$J246,Table2[City],Table2[City_Key],"not found")</f>
        <v>2</v>
      </c>
      <c r="O246" s="21">
        <f>_xlfn.XLOOKUP(Snitch_Fashion_Sales_cleaned!$D246,Table4[Product_Name],Table4[Product_Key],"not found")</f>
        <v>12</v>
      </c>
      <c r="P246" s="25">
        <f>_xlfn.XLOOKUP(Snitch_Fashion_Sales_cleaned!$I246,Table3[Order_Date],Table3[Date_Key])</f>
        <v>148</v>
      </c>
    </row>
    <row r="247" spans="1:16" x14ac:dyDescent="0.3">
      <c r="A247" s="34">
        <v>1245</v>
      </c>
      <c r="B247" s="32" t="s">
        <v>293</v>
      </c>
      <c r="C247" s="32" t="s">
        <v>31</v>
      </c>
      <c r="D247" s="33" t="s">
        <v>68</v>
      </c>
      <c r="E247" s="34">
        <v>4</v>
      </c>
      <c r="F247" s="35">
        <v>1822.9</v>
      </c>
      <c r="G247" s="36">
        <v>0.51</v>
      </c>
      <c r="H247" s="35">
        <f t="shared" si="8"/>
        <v>7291.6</v>
      </c>
      <c r="I247" s="37">
        <v>45639</v>
      </c>
      <c r="J247" s="33" t="s">
        <v>15</v>
      </c>
      <c r="K247" s="33" t="s">
        <v>23</v>
      </c>
      <c r="L247" s="38">
        <f t="shared" si="9"/>
        <v>3572.884</v>
      </c>
      <c r="M247" s="38">
        <v>1076.3399999999999</v>
      </c>
      <c r="N247" s="24">
        <f>_xlfn.XLOOKUP(Snitch_Fashion_Sales_cleaned!$J247,Table2[City],Table2[City_Key],"not found")</f>
        <v>1</v>
      </c>
      <c r="O247" s="23">
        <f>_xlfn.XLOOKUP(Snitch_Fashion_Sales_cleaned!$D247,Table4[Product_Name],Table4[Product_Key],"not found")</f>
        <v>15</v>
      </c>
      <c r="P247" s="32">
        <f>_xlfn.XLOOKUP(Snitch_Fashion_Sales_cleaned!$I247,Table3[Order_Date],Table3[Date_Key])</f>
        <v>149</v>
      </c>
    </row>
    <row r="248" spans="1:16" x14ac:dyDescent="0.3">
      <c r="A248" s="27">
        <v>1246</v>
      </c>
      <c r="B248" s="25" t="s">
        <v>294</v>
      </c>
      <c r="C248" s="25" t="s">
        <v>36</v>
      </c>
      <c r="D248" s="26" t="s">
        <v>55</v>
      </c>
      <c r="E248" s="27">
        <v>3</v>
      </c>
      <c r="F248" s="28">
        <v>2731.6350000000002</v>
      </c>
      <c r="G248" s="29">
        <v>0.03</v>
      </c>
      <c r="H248" s="28">
        <f t="shared" si="8"/>
        <v>8194.9050000000007</v>
      </c>
      <c r="I248" s="30">
        <v>45647</v>
      </c>
      <c r="J248" s="26" t="s">
        <v>52</v>
      </c>
      <c r="K248" s="26" t="s">
        <v>23</v>
      </c>
      <c r="L248" s="31">
        <f t="shared" si="9"/>
        <v>7949.0578500000001</v>
      </c>
      <c r="M248" s="31">
        <v>733.8</v>
      </c>
      <c r="N248" s="22">
        <f>_xlfn.XLOOKUP(Snitch_Fashion_Sales_cleaned!$J248,Table2[City],Table2[City_Key],"not found")</f>
        <v>5</v>
      </c>
      <c r="O248" s="21">
        <f>_xlfn.XLOOKUP(Snitch_Fashion_Sales_cleaned!$D248,Table4[Product_Name],Table4[Product_Key],"not found")</f>
        <v>12</v>
      </c>
      <c r="P248" s="25">
        <f>_xlfn.XLOOKUP(Snitch_Fashion_Sales_cleaned!$I248,Table3[Order_Date],Table3[Date_Key])</f>
        <v>5</v>
      </c>
    </row>
    <row r="249" spans="1:16" x14ac:dyDescent="0.3">
      <c r="A249" s="34">
        <v>1247</v>
      </c>
      <c r="B249" s="32" t="s">
        <v>295</v>
      </c>
      <c r="C249" s="32" t="s">
        <v>31</v>
      </c>
      <c r="D249" s="33" t="s">
        <v>32</v>
      </c>
      <c r="E249" s="34">
        <v>4</v>
      </c>
      <c r="F249" s="35">
        <v>2001.5500000000002</v>
      </c>
      <c r="G249" s="36">
        <v>0.51</v>
      </c>
      <c r="H249" s="35">
        <f t="shared" si="8"/>
        <v>8006.2000000000007</v>
      </c>
      <c r="I249" s="37">
        <v>45647</v>
      </c>
      <c r="J249" s="33" t="s">
        <v>52</v>
      </c>
      <c r="K249" s="33" t="s">
        <v>23</v>
      </c>
      <c r="L249" s="38">
        <f t="shared" si="9"/>
        <v>3923.0380000000005</v>
      </c>
      <c r="M249" s="38">
        <v>1605.97</v>
      </c>
      <c r="N249" s="24">
        <f>_xlfn.XLOOKUP(Snitch_Fashion_Sales_cleaned!$J249,Table2[City],Table2[City_Key],"not found")</f>
        <v>5</v>
      </c>
      <c r="O249" s="23">
        <f>_xlfn.XLOOKUP(Snitch_Fashion_Sales_cleaned!$D249,Table4[Product_Name],Table4[Product_Key],"not found")</f>
        <v>5</v>
      </c>
      <c r="P249" s="32">
        <f>_xlfn.XLOOKUP(Snitch_Fashion_Sales_cleaned!$I249,Table3[Order_Date],Table3[Date_Key])</f>
        <v>5</v>
      </c>
    </row>
    <row r="250" spans="1:16" x14ac:dyDescent="0.3">
      <c r="A250" s="27">
        <v>1248</v>
      </c>
      <c r="B250" s="25" t="s">
        <v>296</v>
      </c>
      <c r="C250" s="25" t="s">
        <v>28</v>
      </c>
      <c r="D250" s="26" t="s">
        <v>116</v>
      </c>
      <c r="E250" s="27">
        <v>4</v>
      </c>
      <c r="F250" s="28">
        <v>2785.79</v>
      </c>
      <c r="G250" s="29">
        <v>0.51</v>
      </c>
      <c r="H250" s="28">
        <f t="shared" si="8"/>
        <v>11143.16</v>
      </c>
      <c r="I250" s="30">
        <v>45130</v>
      </c>
      <c r="J250" s="26" t="s">
        <v>22</v>
      </c>
      <c r="K250" s="26" t="s">
        <v>23</v>
      </c>
      <c r="L250" s="31">
        <f t="shared" si="9"/>
        <v>5460.1484</v>
      </c>
      <c r="M250" s="31">
        <v>397.41</v>
      </c>
      <c r="N250" s="22">
        <f>_xlfn.XLOOKUP(Snitch_Fashion_Sales_cleaned!$J250,Table2[City],Table2[City_Key],"not found")</f>
        <v>3</v>
      </c>
      <c r="O250" s="21">
        <f>_xlfn.XLOOKUP(Snitch_Fashion_Sales_cleaned!$D250,Table4[Product_Name],Table4[Product_Key],"not found")</f>
        <v>22</v>
      </c>
      <c r="P250" s="25">
        <f>_xlfn.XLOOKUP(Snitch_Fashion_Sales_cleaned!$I250,Table3[Order_Date],Table3[Date_Key])</f>
        <v>150</v>
      </c>
    </row>
    <row r="251" spans="1:16" x14ac:dyDescent="0.3">
      <c r="A251" s="34">
        <v>1249</v>
      </c>
      <c r="B251" s="32" t="s">
        <v>297</v>
      </c>
      <c r="C251" s="32" t="s">
        <v>28</v>
      </c>
      <c r="D251" s="33" t="s">
        <v>137</v>
      </c>
      <c r="E251" s="34">
        <v>3.5</v>
      </c>
      <c r="F251" s="35">
        <v>2338.04</v>
      </c>
      <c r="G251" s="36">
        <v>0.23</v>
      </c>
      <c r="H251" s="35">
        <f t="shared" si="8"/>
        <v>8183.1399999999994</v>
      </c>
      <c r="I251" s="37">
        <v>45545</v>
      </c>
      <c r="J251" s="33" t="s">
        <v>43</v>
      </c>
      <c r="K251" s="33" t="s">
        <v>23</v>
      </c>
      <c r="L251" s="38">
        <f t="shared" si="9"/>
        <v>6301.0177999999996</v>
      </c>
      <c r="M251" s="38">
        <v>809.89</v>
      </c>
      <c r="N251" s="24">
        <f>_xlfn.XLOOKUP(Snitch_Fashion_Sales_cleaned!$J251,Table2[City],Table2[City_Key],"not found")</f>
        <v>6</v>
      </c>
      <c r="O251" s="23">
        <f>_xlfn.XLOOKUP(Snitch_Fashion_Sales_cleaned!$D251,Table4[Product_Name],Table4[Product_Key],"not found")</f>
        <v>24</v>
      </c>
      <c r="P251" s="32">
        <f>_xlfn.XLOOKUP(Snitch_Fashion_Sales_cleaned!$I251,Table3[Order_Date],Table3[Date_Key])</f>
        <v>151</v>
      </c>
    </row>
    <row r="252" spans="1:16" x14ac:dyDescent="0.3">
      <c r="A252" s="27">
        <v>1250</v>
      </c>
      <c r="B252" s="25" t="s">
        <v>298</v>
      </c>
      <c r="C252" s="25" t="s">
        <v>25</v>
      </c>
      <c r="D252" s="26" t="s">
        <v>62</v>
      </c>
      <c r="E252" s="27">
        <v>4</v>
      </c>
      <c r="F252" s="28">
        <v>2538.0450000000001</v>
      </c>
      <c r="G252" s="29">
        <v>0.51</v>
      </c>
      <c r="H252" s="28">
        <f t="shared" si="8"/>
        <v>10152.18</v>
      </c>
      <c r="I252" s="30">
        <v>45647</v>
      </c>
      <c r="J252" s="26" t="s">
        <v>15</v>
      </c>
      <c r="K252" s="26" t="s">
        <v>23</v>
      </c>
      <c r="L252" s="31">
        <f t="shared" si="9"/>
        <v>4974.5681999999997</v>
      </c>
      <c r="M252" s="31">
        <v>1653.07</v>
      </c>
      <c r="N252" s="22">
        <f>_xlfn.XLOOKUP(Snitch_Fashion_Sales_cleaned!$J252,Table2[City],Table2[City_Key],"not found")</f>
        <v>1</v>
      </c>
      <c r="O252" s="21">
        <f>_xlfn.XLOOKUP(Snitch_Fashion_Sales_cleaned!$D252,Table4[Product_Name],Table4[Product_Key],"not found")</f>
        <v>14</v>
      </c>
      <c r="P252" s="25">
        <f>_xlfn.XLOOKUP(Snitch_Fashion_Sales_cleaned!$I252,Table3[Order_Date],Table3[Date_Key])</f>
        <v>5</v>
      </c>
    </row>
    <row r="253" spans="1:16" x14ac:dyDescent="0.3">
      <c r="A253" s="34">
        <v>1251</v>
      </c>
      <c r="B253" s="32" t="s">
        <v>299</v>
      </c>
      <c r="C253" s="32" t="s">
        <v>36</v>
      </c>
      <c r="D253" s="33" t="s">
        <v>37</v>
      </c>
      <c r="E253" s="34">
        <v>2</v>
      </c>
      <c r="F253" s="35">
        <v>4841.3999999999996</v>
      </c>
      <c r="G253" s="36">
        <v>0.6</v>
      </c>
      <c r="H253" s="35">
        <f t="shared" si="8"/>
        <v>9682.7999999999993</v>
      </c>
      <c r="I253" s="37">
        <v>45692</v>
      </c>
      <c r="J253" s="33" t="s">
        <v>43</v>
      </c>
      <c r="K253" s="33" t="s">
        <v>23</v>
      </c>
      <c r="L253" s="38">
        <f t="shared" si="9"/>
        <v>3873.12</v>
      </c>
      <c r="M253" s="38">
        <v>578.37</v>
      </c>
      <c r="N253" s="24">
        <f>_xlfn.XLOOKUP(Snitch_Fashion_Sales_cleaned!$J253,Table2[City],Table2[City_Key],"not found")</f>
        <v>6</v>
      </c>
      <c r="O253" s="23">
        <f>_xlfn.XLOOKUP(Snitch_Fashion_Sales_cleaned!$D253,Table4[Product_Name],Table4[Product_Key],"not found")</f>
        <v>7</v>
      </c>
      <c r="P253" s="32">
        <f>_xlfn.XLOOKUP(Snitch_Fashion_Sales_cleaned!$I253,Table3[Order_Date],Table3[Date_Key])</f>
        <v>152</v>
      </c>
    </row>
    <row r="254" spans="1:16" x14ac:dyDescent="0.3">
      <c r="A254" s="27">
        <v>1252</v>
      </c>
      <c r="B254" s="25" t="s">
        <v>300</v>
      </c>
      <c r="C254" s="25" t="s">
        <v>31</v>
      </c>
      <c r="D254" s="26" t="s">
        <v>68</v>
      </c>
      <c r="E254" s="27">
        <v>6</v>
      </c>
      <c r="F254" s="28">
        <v>1638.51</v>
      </c>
      <c r="G254" s="29">
        <v>0.88</v>
      </c>
      <c r="H254" s="28">
        <f t="shared" si="8"/>
        <v>9831.06</v>
      </c>
      <c r="I254" s="30">
        <v>45749</v>
      </c>
      <c r="J254" s="26" t="s">
        <v>22</v>
      </c>
      <c r="K254" s="26" t="s">
        <v>16</v>
      </c>
      <c r="L254" s="31">
        <f t="shared" si="9"/>
        <v>1179.7271999999998</v>
      </c>
      <c r="M254" s="31">
        <v>294.93179999999995</v>
      </c>
      <c r="N254" s="22">
        <f>_xlfn.XLOOKUP(Snitch_Fashion_Sales_cleaned!$J254,Table2[City],Table2[City_Key],"not found")</f>
        <v>3</v>
      </c>
      <c r="O254" s="21">
        <f>_xlfn.XLOOKUP(Snitch_Fashion_Sales_cleaned!$D254,Table4[Product_Name],Table4[Product_Key],"not found")</f>
        <v>15</v>
      </c>
      <c r="P254" s="25">
        <f>_xlfn.XLOOKUP(Snitch_Fashion_Sales_cleaned!$I254,Table3[Order_Date],Table3[Date_Key])</f>
        <v>153</v>
      </c>
    </row>
    <row r="255" spans="1:16" x14ac:dyDescent="0.3">
      <c r="A255" s="34">
        <v>1253</v>
      </c>
      <c r="B255" s="32" t="s">
        <v>301</v>
      </c>
      <c r="C255" s="32" t="s">
        <v>36</v>
      </c>
      <c r="D255" s="33" t="s">
        <v>59</v>
      </c>
      <c r="E255" s="34">
        <v>3</v>
      </c>
      <c r="F255" s="35">
        <v>2765.26</v>
      </c>
      <c r="G255" s="36">
        <v>0.51</v>
      </c>
      <c r="H255" s="35">
        <f t="shared" si="8"/>
        <v>8295.7800000000007</v>
      </c>
      <c r="I255" s="37">
        <v>45692</v>
      </c>
      <c r="J255" s="33" t="s">
        <v>2540</v>
      </c>
      <c r="K255" s="33" t="s">
        <v>23</v>
      </c>
      <c r="L255" s="38">
        <f t="shared" si="9"/>
        <v>4064.9322000000002</v>
      </c>
      <c r="M255" s="38">
        <v>2512.63</v>
      </c>
      <c r="N255" s="24">
        <f>_xlfn.XLOOKUP(Snitch_Fashion_Sales_cleaned!$J255,Table2[City],Table2[City_Key],"not found")</f>
        <v>4</v>
      </c>
      <c r="O255" s="23">
        <f>_xlfn.XLOOKUP(Snitch_Fashion_Sales_cleaned!$D255,Table4[Product_Name],Table4[Product_Key],"not found")</f>
        <v>13</v>
      </c>
      <c r="P255" s="32">
        <f>_xlfn.XLOOKUP(Snitch_Fashion_Sales_cleaned!$I255,Table3[Order_Date],Table3[Date_Key])</f>
        <v>152</v>
      </c>
    </row>
    <row r="256" spans="1:16" x14ac:dyDescent="0.3">
      <c r="A256" s="27">
        <v>1254</v>
      </c>
      <c r="B256" s="25" t="s">
        <v>302</v>
      </c>
      <c r="C256" s="25" t="s">
        <v>25</v>
      </c>
      <c r="D256" s="26" t="s">
        <v>62</v>
      </c>
      <c r="E256" s="27">
        <v>6</v>
      </c>
      <c r="F256" s="28">
        <v>2538.0450000000001</v>
      </c>
      <c r="G256" s="29">
        <v>0.51</v>
      </c>
      <c r="H256" s="28">
        <f t="shared" si="8"/>
        <v>15228.27</v>
      </c>
      <c r="I256" s="30">
        <v>45702</v>
      </c>
      <c r="J256" s="26" t="s">
        <v>22</v>
      </c>
      <c r="K256" s="26" t="s">
        <v>23</v>
      </c>
      <c r="L256" s="31">
        <f t="shared" si="9"/>
        <v>7461.8523000000005</v>
      </c>
      <c r="M256" s="31">
        <v>2418.9899999999998</v>
      </c>
      <c r="N256" s="22">
        <f>_xlfn.XLOOKUP(Snitch_Fashion_Sales_cleaned!$J256,Table2[City],Table2[City_Key],"not found")</f>
        <v>3</v>
      </c>
      <c r="O256" s="21">
        <f>_xlfn.XLOOKUP(Snitch_Fashion_Sales_cleaned!$D256,Table4[Product_Name],Table4[Product_Key],"not found")</f>
        <v>14</v>
      </c>
      <c r="P256" s="25">
        <f>_xlfn.XLOOKUP(Snitch_Fashion_Sales_cleaned!$I256,Table3[Order_Date],Table3[Date_Key])</f>
        <v>154</v>
      </c>
    </row>
    <row r="257" spans="1:16" x14ac:dyDescent="0.3">
      <c r="A257" s="34">
        <v>1255</v>
      </c>
      <c r="B257" s="32" t="s">
        <v>303</v>
      </c>
      <c r="C257" s="32" t="s">
        <v>31</v>
      </c>
      <c r="D257" s="33" t="s">
        <v>68</v>
      </c>
      <c r="E257" s="34">
        <v>4</v>
      </c>
      <c r="F257" s="35">
        <v>1849.68</v>
      </c>
      <c r="G257" s="36">
        <v>0.51</v>
      </c>
      <c r="H257" s="35">
        <f t="shared" si="8"/>
        <v>7398.72</v>
      </c>
      <c r="I257" s="37">
        <v>45632</v>
      </c>
      <c r="J257" s="33" t="s">
        <v>52</v>
      </c>
      <c r="K257" s="33" t="s">
        <v>16</v>
      </c>
      <c r="L257" s="38">
        <f t="shared" si="9"/>
        <v>3625.3728000000001</v>
      </c>
      <c r="M257" s="38">
        <v>-706.09</v>
      </c>
      <c r="N257" s="24">
        <f>_xlfn.XLOOKUP(Snitch_Fashion_Sales_cleaned!$J257,Table2[City],Table2[City_Key],"not found")</f>
        <v>5</v>
      </c>
      <c r="O257" s="23">
        <f>_xlfn.XLOOKUP(Snitch_Fashion_Sales_cleaned!$D257,Table4[Product_Name],Table4[Product_Key],"not found")</f>
        <v>15</v>
      </c>
      <c r="P257" s="32">
        <f>_xlfn.XLOOKUP(Snitch_Fashion_Sales_cleaned!$I257,Table3[Order_Date],Table3[Date_Key])</f>
        <v>93</v>
      </c>
    </row>
    <row r="258" spans="1:16" x14ac:dyDescent="0.3">
      <c r="A258" s="27">
        <v>1256</v>
      </c>
      <c r="B258" s="25" t="s">
        <v>304</v>
      </c>
      <c r="C258" s="25" t="s">
        <v>20</v>
      </c>
      <c r="D258" s="26" t="s">
        <v>76</v>
      </c>
      <c r="E258" s="27">
        <v>3</v>
      </c>
      <c r="F258" s="28">
        <v>1801.38</v>
      </c>
      <c r="G258" s="29">
        <v>0.51</v>
      </c>
      <c r="H258" s="28">
        <f t="shared" si="8"/>
        <v>5404.14</v>
      </c>
      <c r="I258" s="30">
        <v>45614</v>
      </c>
      <c r="J258" s="26" t="s">
        <v>2540</v>
      </c>
      <c r="K258" s="26" t="s">
        <v>16</v>
      </c>
      <c r="L258" s="31">
        <f t="shared" si="9"/>
        <v>2648.0286000000001</v>
      </c>
      <c r="M258" s="31">
        <v>2071.1</v>
      </c>
      <c r="N258" s="22">
        <f>_xlfn.XLOOKUP(Snitch_Fashion_Sales_cleaned!$J258,Table2[City],Table2[City_Key],"not found")</f>
        <v>4</v>
      </c>
      <c r="O258" s="21">
        <f>_xlfn.XLOOKUP(Snitch_Fashion_Sales_cleaned!$D258,Table4[Product_Name],Table4[Product_Key],"not found")</f>
        <v>16</v>
      </c>
      <c r="P258" s="25">
        <f>_xlfn.XLOOKUP(Snitch_Fashion_Sales_cleaned!$I258,Table3[Order_Date],Table3[Date_Key])</f>
        <v>155</v>
      </c>
    </row>
    <row r="259" spans="1:16" x14ac:dyDescent="0.3">
      <c r="A259" s="34">
        <v>1257</v>
      </c>
      <c r="B259" s="32" t="s">
        <v>305</v>
      </c>
      <c r="C259" s="32" t="s">
        <v>13</v>
      </c>
      <c r="D259" s="33" t="s">
        <v>46</v>
      </c>
      <c r="E259" s="34">
        <v>4</v>
      </c>
      <c r="F259" s="35">
        <v>1228.78</v>
      </c>
      <c r="G259" s="36">
        <v>0.51</v>
      </c>
      <c r="H259" s="35">
        <f t="shared" si="8"/>
        <v>4915.12</v>
      </c>
      <c r="I259" s="37">
        <v>45647</v>
      </c>
      <c r="J259" s="33" t="s">
        <v>18</v>
      </c>
      <c r="K259" s="33" t="s">
        <v>16</v>
      </c>
      <c r="L259" s="38">
        <f t="shared" si="9"/>
        <v>2408.4087999999997</v>
      </c>
      <c r="M259" s="38">
        <v>-83.19</v>
      </c>
      <c r="N259" s="24">
        <f>_xlfn.XLOOKUP(Snitch_Fashion_Sales_cleaned!$J259,Table2[City],Table2[City_Key],"not found")</f>
        <v>2</v>
      </c>
      <c r="O259" s="23">
        <f>_xlfn.XLOOKUP(Snitch_Fashion_Sales_cleaned!$D259,Table4[Product_Name],Table4[Product_Key],"not found")</f>
        <v>10</v>
      </c>
      <c r="P259" s="32">
        <f>_xlfn.XLOOKUP(Snitch_Fashion_Sales_cleaned!$I259,Table3[Order_Date],Table3[Date_Key])</f>
        <v>5</v>
      </c>
    </row>
    <row r="260" spans="1:16" x14ac:dyDescent="0.3">
      <c r="A260" s="27">
        <v>1258</v>
      </c>
      <c r="B260" s="25" t="s">
        <v>306</v>
      </c>
      <c r="C260" s="25" t="s">
        <v>36</v>
      </c>
      <c r="D260" s="26" t="s">
        <v>87</v>
      </c>
      <c r="E260" s="27">
        <v>4</v>
      </c>
      <c r="F260" s="28">
        <v>4313.38</v>
      </c>
      <c r="G260" s="29">
        <v>0.51</v>
      </c>
      <c r="H260" s="28">
        <f t="shared" si="8"/>
        <v>17253.52</v>
      </c>
      <c r="I260" s="30">
        <v>45728</v>
      </c>
      <c r="J260" s="26" t="s">
        <v>15</v>
      </c>
      <c r="K260" s="26" t="s">
        <v>16</v>
      </c>
      <c r="L260" s="31">
        <f t="shared" si="9"/>
        <v>8454.2248</v>
      </c>
      <c r="M260" s="31">
        <v>2636.96</v>
      </c>
      <c r="N260" s="22">
        <f>_xlfn.XLOOKUP(Snitch_Fashion_Sales_cleaned!$J260,Table2[City],Table2[City_Key],"not found")</f>
        <v>1</v>
      </c>
      <c r="O260" s="21">
        <f>_xlfn.XLOOKUP(Snitch_Fashion_Sales_cleaned!$D260,Table4[Product_Name],Table4[Product_Key],"not found")</f>
        <v>20</v>
      </c>
      <c r="P260" s="25">
        <f>_xlfn.XLOOKUP(Snitch_Fashion_Sales_cleaned!$I260,Table3[Order_Date],Table3[Date_Key])</f>
        <v>156</v>
      </c>
    </row>
    <row r="261" spans="1:16" x14ac:dyDescent="0.3">
      <c r="A261" s="34">
        <v>1259</v>
      </c>
      <c r="B261" s="32" t="s">
        <v>307</v>
      </c>
      <c r="C261" s="32" t="s">
        <v>25</v>
      </c>
      <c r="D261" s="33" t="s">
        <v>82</v>
      </c>
      <c r="E261" s="34">
        <v>3</v>
      </c>
      <c r="F261" s="35">
        <v>3396.92</v>
      </c>
      <c r="G261" s="36">
        <v>0.51</v>
      </c>
      <c r="H261" s="35">
        <f t="shared" si="8"/>
        <v>10190.76</v>
      </c>
      <c r="I261" s="37">
        <v>45782</v>
      </c>
      <c r="J261" s="33" t="s">
        <v>18</v>
      </c>
      <c r="K261" s="33" t="s">
        <v>23</v>
      </c>
      <c r="L261" s="38">
        <f t="shared" si="9"/>
        <v>4993.4723999999997</v>
      </c>
      <c r="M261" s="38">
        <v>-830.5</v>
      </c>
      <c r="N261" s="24">
        <f>_xlfn.XLOOKUP(Snitch_Fashion_Sales_cleaned!$J261,Table2[City],Table2[City_Key],"not found")</f>
        <v>2</v>
      </c>
      <c r="O261" s="23">
        <f>_xlfn.XLOOKUP(Snitch_Fashion_Sales_cleaned!$D261,Table4[Product_Name],Table4[Product_Key],"not found")</f>
        <v>18</v>
      </c>
      <c r="P261" s="32">
        <f>_xlfn.XLOOKUP(Snitch_Fashion_Sales_cleaned!$I261,Table3[Order_Date],Table3[Date_Key])</f>
        <v>80</v>
      </c>
    </row>
    <row r="262" spans="1:16" x14ac:dyDescent="0.3">
      <c r="A262" s="27">
        <v>1260</v>
      </c>
      <c r="B262" s="25" t="s">
        <v>308</v>
      </c>
      <c r="C262" s="25" t="s">
        <v>36</v>
      </c>
      <c r="D262" s="26" t="s">
        <v>55</v>
      </c>
      <c r="E262" s="27">
        <v>2</v>
      </c>
      <c r="F262" s="28">
        <v>2731.6350000000002</v>
      </c>
      <c r="G262" s="29">
        <v>0.51</v>
      </c>
      <c r="H262" s="28">
        <f t="shared" ref="H262:H325" si="10">E262*F262</f>
        <v>5463.27</v>
      </c>
      <c r="I262" s="30">
        <v>45741</v>
      </c>
      <c r="J262" s="26" t="s">
        <v>15</v>
      </c>
      <c r="K262" s="26" t="s">
        <v>23</v>
      </c>
      <c r="L262" s="31">
        <f t="shared" ref="L262:L325" si="11">H262*(1-G262)</f>
        <v>2677.0023000000001</v>
      </c>
      <c r="M262" s="31">
        <v>-817.8</v>
      </c>
      <c r="N262" s="22">
        <f>_xlfn.XLOOKUP(Snitch_Fashion_Sales_cleaned!$J262,Table2[City],Table2[City_Key],"not found")</f>
        <v>1</v>
      </c>
      <c r="O262" s="21">
        <f>_xlfn.XLOOKUP(Snitch_Fashion_Sales_cleaned!$D262,Table4[Product_Name],Table4[Product_Key],"not found")</f>
        <v>12</v>
      </c>
      <c r="P262" s="25">
        <f>_xlfn.XLOOKUP(Snitch_Fashion_Sales_cleaned!$I262,Table3[Order_Date],Table3[Date_Key])</f>
        <v>157</v>
      </c>
    </row>
    <row r="263" spans="1:16" x14ac:dyDescent="0.3">
      <c r="A263" s="34">
        <v>1012</v>
      </c>
      <c r="B263" s="32" t="s">
        <v>309</v>
      </c>
      <c r="C263" s="32" t="s">
        <v>13</v>
      </c>
      <c r="D263" s="33" t="s">
        <v>34</v>
      </c>
      <c r="E263" s="34">
        <v>3</v>
      </c>
      <c r="F263" s="35">
        <v>4129.37</v>
      </c>
      <c r="G263" s="36">
        <v>0.51</v>
      </c>
      <c r="H263" s="35">
        <f t="shared" si="10"/>
        <v>12388.11</v>
      </c>
      <c r="I263" s="37">
        <v>45858</v>
      </c>
      <c r="J263" s="33" t="s">
        <v>15</v>
      </c>
      <c r="K263" s="33" t="s">
        <v>23</v>
      </c>
      <c r="L263" s="38">
        <f t="shared" si="11"/>
        <v>6070.1738999999998</v>
      </c>
      <c r="M263" s="38">
        <v>2328.1</v>
      </c>
      <c r="N263" s="24">
        <f>_xlfn.XLOOKUP(Snitch_Fashion_Sales_cleaned!$J263,Table2[City],Table2[City_Key],"not found")</f>
        <v>1</v>
      </c>
      <c r="O263" s="23">
        <f>_xlfn.XLOOKUP(Snitch_Fashion_Sales_cleaned!$D263,Table4[Product_Name],Table4[Product_Key],"not found")</f>
        <v>6</v>
      </c>
      <c r="P263" s="32">
        <f>_xlfn.XLOOKUP(Snitch_Fashion_Sales_cleaned!$I263,Table3[Order_Date],Table3[Date_Key])</f>
        <v>8</v>
      </c>
    </row>
    <row r="264" spans="1:16" x14ac:dyDescent="0.3">
      <c r="A264" s="27">
        <v>1262</v>
      </c>
      <c r="B264" s="25" t="s">
        <v>310</v>
      </c>
      <c r="C264" s="25" t="s">
        <v>28</v>
      </c>
      <c r="D264" s="26" t="s">
        <v>116</v>
      </c>
      <c r="E264" s="27">
        <v>2</v>
      </c>
      <c r="F264" s="28">
        <v>2785.79</v>
      </c>
      <c r="G264" s="29">
        <v>0.52</v>
      </c>
      <c r="H264" s="28">
        <f t="shared" si="10"/>
        <v>5571.58</v>
      </c>
      <c r="I264" s="30">
        <v>45598</v>
      </c>
      <c r="J264" s="26" t="s">
        <v>2540</v>
      </c>
      <c r="K264" s="26" t="s">
        <v>23</v>
      </c>
      <c r="L264" s="31">
        <f t="shared" si="11"/>
        <v>2674.3584000000001</v>
      </c>
      <c r="M264" s="31">
        <v>786.25</v>
      </c>
      <c r="N264" s="22">
        <f>_xlfn.XLOOKUP(Snitch_Fashion_Sales_cleaned!$J264,Table2[City],Table2[City_Key],"not found")</f>
        <v>4</v>
      </c>
      <c r="O264" s="21">
        <f>_xlfn.XLOOKUP(Snitch_Fashion_Sales_cleaned!$D264,Table4[Product_Name],Table4[Product_Key],"not found")</f>
        <v>22</v>
      </c>
      <c r="P264" s="25">
        <f>_xlfn.XLOOKUP(Snitch_Fashion_Sales_cleaned!$I264,Table3[Order_Date],Table3[Date_Key])</f>
        <v>158</v>
      </c>
    </row>
    <row r="265" spans="1:16" x14ac:dyDescent="0.3">
      <c r="A265" s="34">
        <v>1263</v>
      </c>
      <c r="B265" s="32" t="s">
        <v>311</v>
      </c>
      <c r="C265" s="32" t="s">
        <v>25</v>
      </c>
      <c r="D265" s="33" t="s">
        <v>62</v>
      </c>
      <c r="E265" s="34">
        <v>4</v>
      </c>
      <c r="F265" s="35">
        <v>2542.7199999999998</v>
      </c>
      <c r="G265" s="36">
        <v>0.51</v>
      </c>
      <c r="H265" s="35">
        <f t="shared" si="10"/>
        <v>10170.879999999999</v>
      </c>
      <c r="I265" s="37">
        <v>45647</v>
      </c>
      <c r="J265" s="33" t="s">
        <v>15</v>
      </c>
      <c r="K265" s="33" t="s">
        <v>23</v>
      </c>
      <c r="L265" s="38">
        <f t="shared" si="11"/>
        <v>4983.7311999999993</v>
      </c>
      <c r="M265" s="38">
        <v>-136.41</v>
      </c>
      <c r="N265" s="24">
        <f>_xlfn.XLOOKUP(Snitch_Fashion_Sales_cleaned!$J265,Table2[City],Table2[City_Key],"not found")</f>
        <v>1</v>
      </c>
      <c r="O265" s="23">
        <f>_xlfn.XLOOKUP(Snitch_Fashion_Sales_cleaned!$D265,Table4[Product_Name],Table4[Product_Key],"not found")</f>
        <v>14</v>
      </c>
      <c r="P265" s="32">
        <f>_xlfn.XLOOKUP(Snitch_Fashion_Sales_cleaned!$I265,Table3[Order_Date],Table3[Date_Key])</f>
        <v>5</v>
      </c>
    </row>
    <row r="266" spans="1:16" x14ac:dyDescent="0.3">
      <c r="A266" s="27">
        <v>1264</v>
      </c>
      <c r="B266" s="25" t="s">
        <v>312</v>
      </c>
      <c r="C266" s="25" t="s">
        <v>31</v>
      </c>
      <c r="D266" s="26" t="s">
        <v>78</v>
      </c>
      <c r="E266" s="27">
        <v>4</v>
      </c>
      <c r="F266" s="28">
        <v>3382.08</v>
      </c>
      <c r="G266" s="29">
        <v>0.51</v>
      </c>
      <c r="H266" s="28">
        <f t="shared" si="10"/>
        <v>13528.32</v>
      </c>
      <c r="I266" s="30">
        <v>45592</v>
      </c>
      <c r="J266" s="26" t="s">
        <v>15</v>
      </c>
      <c r="K266" s="26" t="s">
        <v>23</v>
      </c>
      <c r="L266" s="31">
        <f t="shared" si="11"/>
        <v>6628.8768</v>
      </c>
      <c r="M266" s="31">
        <v>1647.48</v>
      </c>
      <c r="N266" s="22">
        <f>_xlfn.XLOOKUP(Snitch_Fashion_Sales_cleaned!$J266,Table2[City],Table2[City_Key],"not found")</f>
        <v>1</v>
      </c>
      <c r="O266" s="21">
        <f>_xlfn.XLOOKUP(Snitch_Fashion_Sales_cleaned!$D266,Table4[Product_Name],Table4[Product_Key],"not found")</f>
        <v>17</v>
      </c>
      <c r="P266" s="25">
        <f>_xlfn.XLOOKUP(Snitch_Fashion_Sales_cleaned!$I266,Table3[Order_Date],Table3[Date_Key])</f>
        <v>159</v>
      </c>
    </row>
    <row r="267" spans="1:16" x14ac:dyDescent="0.3">
      <c r="A267" s="34">
        <v>1265</v>
      </c>
      <c r="B267" s="32" t="s">
        <v>313</v>
      </c>
      <c r="C267" s="32" t="s">
        <v>31</v>
      </c>
      <c r="D267" s="33" t="s">
        <v>78</v>
      </c>
      <c r="E267" s="34">
        <v>4</v>
      </c>
      <c r="F267" s="35">
        <v>721.41</v>
      </c>
      <c r="G267" s="36">
        <v>0.51</v>
      </c>
      <c r="H267" s="35">
        <f t="shared" si="10"/>
        <v>2885.64</v>
      </c>
      <c r="I267" s="37">
        <v>45740</v>
      </c>
      <c r="J267" s="33" t="s">
        <v>52</v>
      </c>
      <c r="K267" s="33" t="s">
        <v>16</v>
      </c>
      <c r="L267" s="38">
        <f t="shared" si="11"/>
        <v>1413.9635999999998</v>
      </c>
      <c r="M267" s="38">
        <v>353.49089999999995</v>
      </c>
      <c r="N267" s="24">
        <f>_xlfn.XLOOKUP(Snitch_Fashion_Sales_cleaned!$J267,Table2[City],Table2[City_Key],"not found")</f>
        <v>5</v>
      </c>
      <c r="O267" s="23">
        <f>_xlfn.XLOOKUP(Snitch_Fashion_Sales_cleaned!$D267,Table4[Product_Name],Table4[Product_Key],"not found")</f>
        <v>17</v>
      </c>
      <c r="P267" s="32">
        <f>_xlfn.XLOOKUP(Snitch_Fashion_Sales_cleaned!$I267,Table3[Order_Date],Table3[Date_Key])</f>
        <v>160</v>
      </c>
    </row>
    <row r="268" spans="1:16" x14ac:dyDescent="0.3">
      <c r="A268" s="27">
        <v>1266</v>
      </c>
      <c r="B268" s="25" t="s">
        <v>314</v>
      </c>
      <c r="C268" s="25" t="s">
        <v>25</v>
      </c>
      <c r="D268" s="26" t="s">
        <v>62</v>
      </c>
      <c r="E268" s="27">
        <v>4</v>
      </c>
      <c r="F268" s="28">
        <v>2538.0450000000001</v>
      </c>
      <c r="G268" s="29">
        <v>0.51</v>
      </c>
      <c r="H268" s="28">
        <f t="shared" si="10"/>
        <v>10152.18</v>
      </c>
      <c r="I268" s="30">
        <v>45224</v>
      </c>
      <c r="J268" s="26" t="s">
        <v>15</v>
      </c>
      <c r="K268" s="26" t="s">
        <v>16</v>
      </c>
      <c r="L268" s="31">
        <f t="shared" si="11"/>
        <v>4974.5681999999997</v>
      </c>
      <c r="M268" s="31">
        <v>1024.8599999999999</v>
      </c>
      <c r="N268" s="22">
        <f>_xlfn.XLOOKUP(Snitch_Fashion_Sales_cleaned!$J268,Table2[City],Table2[City_Key],"not found")</f>
        <v>1</v>
      </c>
      <c r="O268" s="21">
        <f>_xlfn.XLOOKUP(Snitch_Fashion_Sales_cleaned!$D268,Table4[Product_Name],Table4[Product_Key],"not found")</f>
        <v>14</v>
      </c>
      <c r="P268" s="25">
        <f>_xlfn.XLOOKUP(Snitch_Fashion_Sales_cleaned!$I268,Table3[Order_Date],Table3[Date_Key])</f>
        <v>161</v>
      </c>
    </row>
    <row r="269" spans="1:16" x14ac:dyDescent="0.3">
      <c r="A269" s="34">
        <v>1267</v>
      </c>
      <c r="B269" s="32" t="s">
        <v>315</v>
      </c>
      <c r="C269" s="32" t="s">
        <v>20</v>
      </c>
      <c r="D269" s="33" t="s">
        <v>76</v>
      </c>
      <c r="E269" s="34">
        <v>3</v>
      </c>
      <c r="F269" s="35">
        <v>3255.23</v>
      </c>
      <c r="G269" s="36">
        <v>0.51</v>
      </c>
      <c r="H269" s="35">
        <f t="shared" si="10"/>
        <v>9765.69</v>
      </c>
      <c r="I269" s="37">
        <v>45246</v>
      </c>
      <c r="J269" s="33" t="s">
        <v>15</v>
      </c>
      <c r="K269" s="33" t="s">
        <v>23</v>
      </c>
      <c r="L269" s="38">
        <f t="shared" si="11"/>
        <v>4785.1881000000003</v>
      </c>
      <c r="M269" s="38">
        <v>650.79999999999995</v>
      </c>
      <c r="N269" s="24">
        <f>_xlfn.XLOOKUP(Snitch_Fashion_Sales_cleaned!$J269,Table2[City],Table2[City_Key],"not found")</f>
        <v>1</v>
      </c>
      <c r="O269" s="23">
        <f>_xlfn.XLOOKUP(Snitch_Fashion_Sales_cleaned!$D269,Table4[Product_Name],Table4[Product_Key],"not found")</f>
        <v>16</v>
      </c>
      <c r="P269" s="32">
        <f>_xlfn.XLOOKUP(Snitch_Fashion_Sales_cleaned!$I269,Table3[Order_Date],Table3[Date_Key])</f>
        <v>162</v>
      </c>
    </row>
    <row r="270" spans="1:16" x14ac:dyDescent="0.3">
      <c r="A270" s="27">
        <v>1268</v>
      </c>
      <c r="B270" s="25" t="s">
        <v>316</v>
      </c>
      <c r="C270" s="25" t="s">
        <v>20</v>
      </c>
      <c r="D270" s="26" t="s">
        <v>84</v>
      </c>
      <c r="E270" s="27">
        <v>1</v>
      </c>
      <c r="F270" s="28">
        <v>2537.59</v>
      </c>
      <c r="G270" s="29">
        <v>0.51</v>
      </c>
      <c r="H270" s="28">
        <f t="shared" si="10"/>
        <v>2537.59</v>
      </c>
      <c r="I270" s="30">
        <v>45647</v>
      </c>
      <c r="J270" s="26" t="s">
        <v>43</v>
      </c>
      <c r="K270" s="26" t="s">
        <v>23</v>
      </c>
      <c r="L270" s="31">
        <f t="shared" si="11"/>
        <v>1243.4191000000001</v>
      </c>
      <c r="M270" s="31">
        <v>310.85477500000002</v>
      </c>
      <c r="N270" s="22">
        <f>_xlfn.XLOOKUP(Snitch_Fashion_Sales_cleaned!$J270,Table2[City],Table2[City_Key],"not found")</f>
        <v>6</v>
      </c>
      <c r="O270" s="21">
        <f>_xlfn.XLOOKUP(Snitch_Fashion_Sales_cleaned!$D270,Table4[Product_Name],Table4[Product_Key],"not found")</f>
        <v>19</v>
      </c>
      <c r="P270" s="25">
        <f>_xlfn.XLOOKUP(Snitch_Fashion_Sales_cleaned!$I270,Table3[Order_Date],Table3[Date_Key])</f>
        <v>5</v>
      </c>
    </row>
    <row r="271" spans="1:16" x14ac:dyDescent="0.3">
      <c r="A271" s="34">
        <v>1269</v>
      </c>
      <c r="B271" s="32" t="s">
        <v>317</v>
      </c>
      <c r="C271" s="32" t="s">
        <v>31</v>
      </c>
      <c r="D271" s="33" t="s">
        <v>78</v>
      </c>
      <c r="E271" s="34">
        <v>4</v>
      </c>
      <c r="F271" s="35">
        <v>2599.75</v>
      </c>
      <c r="G271" s="36">
        <v>0.51</v>
      </c>
      <c r="H271" s="35">
        <f t="shared" si="10"/>
        <v>10399</v>
      </c>
      <c r="I271" s="37">
        <v>45647</v>
      </c>
      <c r="J271" s="33" t="s">
        <v>22</v>
      </c>
      <c r="K271" s="33" t="s">
        <v>23</v>
      </c>
      <c r="L271" s="38">
        <f t="shared" si="11"/>
        <v>5095.51</v>
      </c>
      <c r="M271" s="38">
        <v>483.01</v>
      </c>
      <c r="N271" s="24">
        <f>_xlfn.XLOOKUP(Snitch_Fashion_Sales_cleaned!$J271,Table2[City],Table2[City_Key],"not found")</f>
        <v>3</v>
      </c>
      <c r="O271" s="23">
        <f>_xlfn.XLOOKUP(Snitch_Fashion_Sales_cleaned!$D271,Table4[Product_Name],Table4[Product_Key],"not found")</f>
        <v>17</v>
      </c>
      <c r="P271" s="32">
        <f>_xlfn.XLOOKUP(Snitch_Fashion_Sales_cleaned!$I271,Table3[Order_Date],Table3[Date_Key])</f>
        <v>5</v>
      </c>
    </row>
    <row r="272" spans="1:16" x14ac:dyDescent="0.3">
      <c r="A272" s="27">
        <v>1270</v>
      </c>
      <c r="B272" s="25" t="s">
        <v>318</v>
      </c>
      <c r="C272" s="25" t="s">
        <v>31</v>
      </c>
      <c r="D272" s="26" t="s">
        <v>78</v>
      </c>
      <c r="E272" s="27">
        <v>4</v>
      </c>
      <c r="F272" s="28">
        <v>4446.82</v>
      </c>
      <c r="G272" s="29">
        <v>0.51</v>
      </c>
      <c r="H272" s="28">
        <f t="shared" si="10"/>
        <v>17787.28</v>
      </c>
      <c r="I272" s="30">
        <v>45837</v>
      </c>
      <c r="J272" s="26" t="s">
        <v>52</v>
      </c>
      <c r="K272" s="26" t="s">
        <v>23</v>
      </c>
      <c r="L272" s="31">
        <f t="shared" si="11"/>
        <v>8715.7671999999984</v>
      </c>
      <c r="M272" s="31">
        <v>-293.05</v>
      </c>
      <c r="N272" s="22">
        <f>_xlfn.XLOOKUP(Snitch_Fashion_Sales_cleaned!$J272,Table2[City],Table2[City_Key],"not found")</f>
        <v>5</v>
      </c>
      <c r="O272" s="21">
        <f>_xlfn.XLOOKUP(Snitch_Fashion_Sales_cleaned!$D272,Table4[Product_Name],Table4[Product_Key],"not found")</f>
        <v>17</v>
      </c>
      <c r="P272" s="25">
        <f>_xlfn.XLOOKUP(Snitch_Fashion_Sales_cleaned!$I272,Table3[Order_Date],Table3[Date_Key])</f>
        <v>163</v>
      </c>
    </row>
    <row r="273" spans="1:16" x14ac:dyDescent="0.3">
      <c r="A273" s="34">
        <v>1271</v>
      </c>
      <c r="B273" s="32" t="s">
        <v>319</v>
      </c>
      <c r="C273" s="32" t="s">
        <v>31</v>
      </c>
      <c r="D273" s="33" t="s">
        <v>41</v>
      </c>
      <c r="E273" s="34">
        <v>3</v>
      </c>
      <c r="F273" s="35">
        <v>3027.66</v>
      </c>
      <c r="G273" s="36">
        <v>0.51</v>
      </c>
      <c r="H273" s="35">
        <f t="shared" si="10"/>
        <v>9082.98</v>
      </c>
      <c r="I273" s="37">
        <v>45425</v>
      </c>
      <c r="J273" s="33" t="s">
        <v>2540</v>
      </c>
      <c r="K273" s="33" t="s">
        <v>23</v>
      </c>
      <c r="L273" s="38">
        <f t="shared" si="11"/>
        <v>4450.6601999999993</v>
      </c>
      <c r="M273" s="38">
        <v>1295.93</v>
      </c>
      <c r="N273" s="24">
        <f>_xlfn.XLOOKUP(Snitch_Fashion_Sales_cleaned!$J273,Table2[City],Table2[City_Key],"not found")</f>
        <v>4</v>
      </c>
      <c r="O273" s="23">
        <f>_xlfn.XLOOKUP(Snitch_Fashion_Sales_cleaned!$D273,Table4[Product_Name],Table4[Product_Key],"not found")</f>
        <v>9</v>
      </c>
      <c r="P273" s="32">
        <f>_xlfn.XLOOKUP(Snitch_Fashion_Sales_cleaned!$I273,Table3[Order_Date],Table3[Date_Key])</f>
        <v>164</v>
      </c>
    </row>
    <row r="274" spans="1:16" x14ac:dyDescent="0.3">
      <c r="A274" s="27">
        <v>1272</v>
      </c>
      <c r="B274" s="25" t="s">
        <v>320</v>
      </c>
      <c r="C274" s="25" t="s">
        <v>28</v>
      </c>
      <c r="D274" s="26" t="s">
        <v>29</v>
      </c>
      <c r="E274" s="27">
        <v>3</v>
      </c>
      <c r="F274" s="28">
        <v>1429.94</v>
      </c>
      <c r="G274" s="29">
        <v>0.51</v>
      </c>
      <c r="H274" s="28">
        <f t="shared" si="10"/>
        <v>4289.82</v>
      </c>
      <c r="I274" s="30">
        <v>45272</v>
      </c>
      <c r="J274" s="26" t="s">
        <v>52</v>
      </c>
      <c r="K274" s="26" t="s">
        <v>23</v>
      </c>
      <c r="L274" s="31">
        <f t="shared" si="11"/>
        <v>2102.0117999999998</v>
      </c>
      <c r="M274" s="31">
        <v>484.51</v>
      </c>
      <c r="N274" s="22">
        <f>_xlfn.XLOOKUP(Snitch_Fashion_Sales_cleaned!$J274,Table2[City],Table2[City_Key],"not found")</f>
        <v>5</v>
      </c>
      <c r="O274" s="21">
        <f>_xlfn.XLOOKUP(Snitch_Fashion_Sales_cleaned!$D274,Table4[Product_Name],Table4[Product_Key],"not found")</f>
        <v>4</v>
      </c>
      <c r="P274" s="25">
        <f>_xlfn.XLOOKUP(Snitch_Fashion_Sales_cleaned!$I274,Table3[Order_Date],Table3[Date_Key])</f>
        <v>165</v>
      </c>
    </row>
    <row r="275" spans="1:16" x14ac:dyDescent="0.3">
      <c r="A275" s="34">
        <v>1273</v>
      </c>
      <c r="B275" s="32" t="s">
        <v>321</v>
      </c>
      <c r="C275" s="32" t="s">
        <v>31</v>
      </c>
      <c r="D275" s="33" t="s">
        <v>41</v>
      </c>
      <c r="E275" s="34">
        <v>3</v>
      </c>
      <c r="F275" s="35">
        <v>3027.66</v>
      </c>
      <c r="G275" s="36">
        <v>0.51</v>
      </c>
      <c r="H275" s="35">
        <f t="shared" si="10"/>
        <v>9082.98</v>
      </c>
      <c r="I275" s="37">
        <v>45659</v>
      </c>
      <c r="J275" s="33" t="s">
        <v>52</v>
      </c>
      <c r="K275" s="33" t="s">
        <v>16</v>
      </c>
      <c r="L275" s="38">
        <f t="shared" si="11"/>
        <v>4450.6601999999993</v>
      </c>
      <c r="M275" s="38">
        <v>-431.92</v>
      </c>
      <c r="N275" s="24">
        <f>_xlfn.XLOOKUP(Snitch_Fashion_Sales_cleaned!$J275,Table2[City],Table2[City_Key],"not found")</f>
        <v>5</v>
      </c>
      <c r="O275" s="23">
        <f>_xlfn.XLOOKUP(Snitch_Fashion_Sales_cleaned!$D275,Table4[Product_Name],Table4[Product_Key],"not found")</f>
        <v>9</v>
      </c>
      <c r="P275" s="32">
        <f>_xlfn.XLOOKUP(Snitch_Fashion_Sales_cleaned!$I275,Table3[Order_Date],Table3[Date_Key])</f>
        <v>3</v>
      </c>
    </row>
    <row r="276" spans="1:16" x14ac:dyDescent="0.3">
      <c r="A276" s="27">
        <v>1274</v>
      </c>
      <c r="B276" s="25" t="s">
        <v>322</v>
      </c>
      <c r="C276" s="25" t="s">
        <v>36</v>
      </c>
      <c r="D276" s="26" t="s">
        <v>59</v>
      </c>
      <c r="E276" s="27">
        <v>3</v>
      </c>
      <c r="F276" s="28">
        <v>2765.26</v>
      </c>
      <c r="G276" s="29">
        <v>0.59</v>
      </c>
      <c r="H276" s="28">
        <f t="shared" si="10"/>
        <v>8295.7800000000007</v>
      </c>
      <c r="I276" s="30">
        <v>45647</v>
      </c>
      <c r="J276" s="26" t="s">
        <v>18</v>
      </c>
      <c r="K276" s="26" t="s">
        <v>23</v>
      </c>
      <c r="L276" s="31">
        <f t="shared" si="11"/>
        <v>3401.2698000000005</v>
      </c>
      <c r="M276" s="31">
        <v>62.98</v>
      </c>
      <c r="N276" s="22">
        <f>_xlfn.XLOOKUP(Snitch_Fashion_Sales_cleaned!$J276,Table2[City],Table2[City_Key],"not found")</f>
        <v>2</v>
      </c>
      <c r="O276" s="21">
        <f>_xlfn.XLOOKUP(Snitch_Fashion_Sales_cleaned!$D276,Table4[Product_Name],Table4[Product_Key],"not found")</f>
        <v>13</v>
      </c>
      <c r="P276" s="25">
        <f>_xlfn.XLOOKUP(Snitch_Fashion_Sales_cleaned!$I276,Table3[Order_Date],Table3[Date_Key])</f>
        <v>5</v>
      </c>
    </row>
    <row r="277" spans="1:16" x14ac:dyDescent="0.3">
      <c r="A277" s="34">
        <v>1275</v>
      </c>
      <c r="B277" s="32" t="s">
        <v>323</v>
      </c>
      <c r="C277" s="32" t="s">
        <v>36</v>
      </c>
      <c r="D277" s="33" t="s">
        <v>37</v>
      </c>
      <c r="E277" s="34">
        <v>3</v>
      </c>
      <c r="F277" s="35">
        <v>4132</v>
      </c>
      <c r="G277" s="36">
        <v>0.51</v>
      </c>
      <c r="H277" s="35">
        <f t="shared" si="10"/>
        <v>12396</v>
      </c>
      <c r="I277" s="37">
        <v>45348</v>
      </c>
      <c r="J277" s="33" t="s">
        <v>2540</v>
      </c>
      <c r="K277" s="33" t="s">
        <v>23</v>
      </c>
      <c r="L277" s="38">
        <f t="shared" si="11"/>
        <v>6074.04</v>
      </c>
      <c r="M277" s="38">
        <v>2732.47</v>
      </c>
      <c r="N277" s="24">
        <f>_xlfn.XLOOKUP(Snitch_Fashion_Sales_cleaned!$J277,Table2[City],Table2[City_Key],"not found")</f>
        <v>4</v>
      </c>
      <c r="O277" s="23">
        <f>_xlfn.XLOOKUP(Snitch_Fashion_Sales_cleaned!$D277,Table4[Product_Name],Table4[Product_Key],"not found")</f>
        <v>7</v>
      </c>
      <c r="P277" s="32">
        <f>_xlfn.XLOOKUP(Snitch_Fashion_Sales_cleaned!$I277,Table3[Order_Date],Table3[Date_Key])</f>
        <v>166</v>
      </c>
    </row>
    <row r="278" spans="1:16" x14ac:dyDescent="0.3">
      <c r="A278" s="27">
        <v>1276</v>
      </c>
      <c r="B278" s="25" t="s">
        <v>324</v>
      </c>
      <c r="C278" s="25" t="s">
        <v>25</v>
      </c>
      <c r="D278" s="26" t="s">
        <v>82</v>
      </c>
      <c r="E278" s="27">
        <v>3</v>
      </c>
      <c r="F278" s="28">
        <v>3243.45</v>
      </c>
      <c r="G278" s="29">
        <v>0.61</v>
      </c>
      <c r="H278" s="28">
        <f t="shared" si="10"/>
        <v>9730.3499999999985</v>
      </c>
      <c r="I278" s="30">
        <v>45647</v>
      </c>
      <c r="J278" s="26" t="s">
        <v>22</v>
      </c>
      <c r="K278" s="26" t="s">
        <v>23</v>
      </c>
      <c r="L278" s="31">
        <f t="shared" si="11"/>
        <v>3794.8364999999994</v>
      </c>
      <c r="M278" s="31">
        <v>-869.12</v>
      </c>
      <c r="N278" s="22">
        <f>_xlfn.XLOOKUP(Snitch_Fashion_Sales_cleaned!$J278,Table2[City],Table2[City_Key],"not found")</f>
        <v>3</v>
      </c>
      <c r="O278" s="21">
        <f>_xlfn.XLOOKUP(Snitch_Fashion_Sales_cleaned!$D278,Table4[Product_Name],Table4[Product_Key],"not found")</f>
        <v>18</v>
      </c>
      <c r="P278" s="25">
        <f>_xlfn.XLOOKUP(Snitch_Fashion_Sales_cleaned!$I278,Table3[Order_Date],Table3[Date_Key])</f>
        <v>5</v>
      </c>
    </row>
    <row r="279" spans="1:16" x14ac:dyDescent="0.3">
      <c r="A279" s="34">
        <v>1277</v>
      </c>
      <c r="B279" s="32" t="s">
        <v>325</v>
      </c>
      <c r="C279" s="32" t="s">
        <v>28</v>
      </c>
      <c r="D279" s="33" t="s">
        <v>39</v>
      </c>
      <c r="E279" s="34">
        <v>2</v>
      </c>
      <c r="F279" s="35">
        <v>4720.5200000000004</v>
      </c>
      <c r="G279" s="36">
        <v>0.56999999999999995</v>
      </c>
      <c r="H279" s="35">
        <f t="shared" si="10"/>
        <v>9441.0400000000009</v>
      </c>
      <c r="I279" s="37">
        <v>45540</v>
      </c>
      <c r="J279" s="33" t="s">
        <v>15</v>
      </c>
      <c r="K279" s="33" t="s">
        <v>16</v>
      </c>
      <c r="L279" s="38">
        <f t="shared" si="11"/>
        <v>4059.6472000000008</v>
      </c>
      <c r="M279" s="38">
        <v>1255.6600000000001</v>
      </c>
      <c r="N279" s="24">
        <f>_xlfn.XLOOKUP(Snitch_Fashion_Sales_cleaned!$J279,Table2[City],Table2[City_Key],"not found")</f>
        <v>1</v>
      </c>
      <c r="O279" s="23">
        <f>_xlfn.XLOOKUP(Snitch_Fashion_Sales_cleaned!$D279,Table4[Product_Name],Table4[Product_Key],"not found")</f>
        <v>8</v>
      </c>
      <c r="P279" s="32">
        <f>_xlfn.XLOOKUP(Snitch_Fashion_Sales_cleaned!$I279,Table3[Order_Date],Table3[Date_Key])</f>
        <v>167</v>
      </c>
    </row>
    <row r="280" spans="1:16" x14ac:dyDescent="0.3">
      <c r="A280" s="27">
        <v>1278</v>
      </c>
      <c r="B280" s="25" t="s">
        <v>326</v>
      </c>
      <c r="C280" s="25" t="s">
        <v>28</v>
      </c>
      <c r="D280" s="26" t="s">
        <v>39</v>
      </c>
      <c r="E280" s="27">
        <v>3</v>
      </c>
      <c r="F280" s="28">
        <v>3550.91</v>
      </c>
      <c r="G280" s="29">
        <v>0.51</v>
      </c>
      <c r="H280" s="28">
        <f t="shared" si="10"/>
        <v>10652.73</v>
      </c>
      <c r="I280" s="30">
        <v>45558</v>
      </c>
      <c r="J280" s="26" t="s">
        <v>15</v>
      </c>
      <c r="K280" s="26" t="s">
        <v>16</v>
      </c>
      <c r="L280" s="31">
        <f t="shared" si="11"/>
        <v>5219.8377</v>
      </c>
      <c r="M280" s="31">
        <v>466.53</v>
      </c>
      <c r="N280" s="22">
        <f>_xlfn.XLOOKUP(Snitch_Fashion_Sales_cleaned!$J280,Table2[City],Table2[City_Key],"not found")</f>
        <v>1</v>
      </c>
      <c r="O280" s="21">
        <f>_xlfn.XLOOKUP(Snitch_Fashion_Sales_cleaned!$D280,Table4[Product_Name],Table4[Product_Key],"not found")</f>
        <v>8</v>
      </c>
      <c r="P280" s="25">
        <f>_xlfn.XLOOKUP(Snitch_Fashion_Sales_cleaned!$I280,Table3[Order_Date],Table3[Date_Key])</f>
        <v>168</v>
      </c>
    </row>
    <row r="281" spans="1:16" x14ac:dyDescent="0.3">
      <c r="A281" s="34">
        <v>1279</v>
      </c>
      <c r="B281" s="32" t="s">
        <v>327</v>
      </c>
      <c r="C281" s="32" t="s">
        <v>25</v>
      </c>
      <c r="D281" s="33" t="s">
        <v>82</v>
      </c>
      <c r="E281" s="34">
        <v>3</v>
      </c>
      <c r="F281" s="35">
        <v>2600.33</v>
      </c>
      <c r="G281" s="36">
        <v>0.51</v>
      </c>
      <c r="H281" s="35">
        <f t="shared" si="10"/>
        <v>7800.99</v>
      </c>
      <c r="I281" s="37">
        <v>45525</v>
      </c>
      <c r="J281" s="33" t="s">
        <v>18</v>
      </c>
      <c r="K281" s="33" t="s">
        <v>16</v>
      </c>
      <c r="L281" s="38">
        <f t="shared" si="11"/>
        <v>3822.4850999999999</v>
      </c>
      <c r="M281" s="38">
        <v>1430.67</v>
      </c>
      <c r="N281" s="24">
        <f>_xlfn.XLOOKUP(Snitch_Fashion_Sales_cleaned!$J281,Table2[City],Table2[City_Key],"not found")</f>
        <v>2</v>
      </c>
      <c r="O281" s="23">
        <f>_xlfn.XLOOKUP(Snitch_Fashion_Sales_cleaned!$D281,Table4[Product_Name],Table4[Product_Key],"not found")</f>
        <v>18</v>
      </c>
      <c r="P281" s="32">
        <f>_xlfn.XLOOKUP(Snitch_Fashion_Sales_cleaned!$I281,Table3[Order_Date],Table3[Date_Key])</f>
        <v>169</v>
      </c>
    </row>
    <row r="282" spans="1:16" x14ac:dyDescent="0.3">
      <c r="A282" s="27">
        <v>1280</v>
      </c>
      <c r="B282" s="25" t="s">
        <v>328</v>
      </c>
      <c r="C282" s="25" t="s">
        <v>31</v>
      </c>
      <c r="D282" s="26" t="s">
        <v>32</v>
      </c>
      <c r="E282" s="27">
        <v>3</v>
      </c>
      <c r="F282" s="28">
        <v>2001.5500000000002</v>
      </c>
      <c r="G282" s="29">
        <v>0.51</v>
      </c>
      <c r="H282" s="28">
        <f t="shared" si="10"/>
        <v>6004.6500000000005</v>
      </c>
      <c r="I282" s="30">
        <v>45578</v>
      </c>
      <c r="J282" s="26" t="s">
        <v>18</v>
      </c>
      <c r="K282" s="26" t="s">
        <v>23</v>
      </c>
      <c r="L282" s="31">
        <f t="shared" si="11"/>
        <v>2942.2785000000003</v>
      </c>
      <c r="M282" s="31">
        <v>263.41000000000003</v>
      </c>
      <c r="N282" s="22">
        <f>_xlfn.XLOOKUP(Snitch_Fashion_Sales_cleaned!$J282,Table2[City],Table2[City_Key],"not found")</f>
        <v>2</v>
      </c>
      <c r="O282" s="21">
        <f>_xlfn.XLOOKUP(Snitch_Fashion_Sales_cleaned!$D282,Table4[Product_Name],Table4[Product_Key],"not found")</f>
        <v>5</v>
      </c>
      <c r="P282" s="25">
        <f>_xlfn.XLOOKUP(Snitch_Fashion_Sales_cleaned!$I282,Table3[Order_Date],Table3[Date_Key])</f>
        <v>170</v>
      </c>
    </row>
    <row r="283" spans="1:16" x14ac:dyDescent="0.3">
      <c r="A283" s="34">
        <v>1003</v>
      </c>
      <c r="B283" s="32" t="s">
        <v>329</v>
      </c>
      <c r="C283" s="32" t="s">
        <v>20</v>
      </c>
      <c r="D283" s="33" t="s">
        <v>21</v>
      </c>
      <c r="E283" s="34">
        <v>4</v>
      </c>
      <c r="F283" s="35">
        <v>548.19000000000005</v>
      </c>
      <c r="G283" s="36">
        <v>0.51</v>
      </c>
      <c r="H283" s="35">
        <f t="shared" si="10"/>
        <v>2192.7600000000002</v>
      </c>
      <c r="I283" s="37">
        <v>45603</v>
      </c>
      <c r="J283" s="33" t="s">
        <v>22</v>
      </c>
      <c r="K283" s="33" t="s">
        <v>23</v>
      </c>
      <c r="L283" s="38">
        <f t="shared" si="11"/>
        <v>1074.4524000000001</v>
      </c>
      <c r="M283" s="38">
        <v>259.02999999999997</v>
      </c>
      <c r="N283" s="24">
        <f>_xlfn.XLOOKUP(Snitch_Fashion_Sales_cleaned!$J283,Table2[City],Table2[City_Key],"not found")</f>
        <v>3</v>
      </c>
      <c r="O283" s="23">
        <f>_xlfn.XLOOKUP(Snitch_Fashion_Sales_cleaned!$D283,Table4[Product_Name],Table4[Product_Key],"not found")</f>
        <v>2</v>
      </c>
      <c r="P283" s="32">
        <f>_xlfn.XLOOKUP(Snitch_Fashion_Sales_cleaned!$I283,Table3[Order_Date],Table3[Date_Key])</f>
        <v>171</v>
      </c>
    </row>
    <row r="284" spans="1:16" x14ac:dyDescent="0.3">
      <c r="A284" s="27">
        <v>1282</v>
      </c>
      <c r="B284" s="25" t="s">
        <v>330</v>
      </c>
      <c r="C284" s="25" t="s">
        <v>25</v>
      </c>
      <c r="D284" s="26" t="s">
        <v>26</v>
      </c>
      <c r="E284" s="27">
        <v>4</v>
      </c>
      <c r="F284" s="28">
        <v>2933.45</v>
      </c>
      <c r="G284" s="29">
        <v>0.14000000000000001</v>
      </c>
      <c r="H284" s="28">
        <f t="shared" si="10"/>
        <v>11733.8</v>
      </c>
      <c r="I284" s="30">
        <v>45676</v>
      </c>
      <c r="J284" s="26" t="s">
        <v>22</v>
      </c>
      <c r="K284" s="26" t="s">
        <v>23</v>
      </c>
      <c r="L284" s="31">
        <f t="shared" si="11"/>
        <v>10091.067999999999</v>
      </c>
      <c r="M284" s="31">
        <v>-909.75</v>
      </c>
      <c r="N284" s="22">
        <f>_xlfn.XLOOKUP(Snitch_Fashion_Sales_cleaned!$J284,Table2[City],Table2[City_Key],"not found")</f>
        <v>3</v>
      </c>
      <c r="O284" s="21">
        <f>_xlfn.XLOOKUP(Snitch_Fashion_Sales_cleaned!$D284,Table4[Product_Name],Table4[Product_Key],"not found")</f>
        <v>3</v>
      </c>
      <c r="P284" s="25">
        <f>_xlfn.XLOOKUP(Snitch_Fashion_Sales_cleaned!$I284,Table3[Order_Date],Table3[Date_Key])</f>
        <v>172</v>
      </c>
    </row>
    <row r="285" spans="1:16" x14ac:dyDescent="0.3">
      <c r="A285" s="34">
        <v>1283</v>
      </c>
      <c r="B285" s="32" t="s">
        <v>331</v>
      </c>
      <c r="C285" s="32" t="s">
        <v>25</v>
      </c>
      <c r="D285" s="33" t="s">
        <v>62</v>
      </c>
      <c r="E285" s="34">
        <v>4</v>
      </c>
      <c r="F285" s="35">
        <v>2538.0450000000001</v>
      </c>
      <c r="G285" s="36">
        <v>0.08</v>
      </c>
      <c r="H285" s="35">
        <f t="shared" si="10"/>
        <v>10152.18</v>
      </c>
      <c r="I285" s="37">
        <v>45647</v>
      </c>
      <c r="J285" s="33" t="s">
        <v>52</v>
      </c>
      <c r="K285" s="33" t="s">
        <v>23</v>
      </c>
      <c r="L285" s="38">
        <f t="shared" si="11"/>
        <v>9340.0056000000004</v>
      </c>
      <c r="M285" s="38">
        <v>379.24</v>
      </c>
      <c r="N285" s="24">
        <f>_xlfn.XLOOKUP(Snitch_Fashion_Sales_cleaned!$J285,Table2[City],Table2[City_Key],"not found")</f>
        <v>5</v>
      </c>
      <c r="O285" s="23">
        <f>_xlfn.XLOOKUP(Snitch_Fashion_Sales_cleaned!$D285,Table4[Product_Name],Table4[Product_Key],"not found")</f>
        <v>14</v>
      </c>
      <c r="P285" s="32">
        <f>_xlfn.XLOOKUP(Snitch_Fashion_Sales_cleaned!$I285,Table3[Order_Date],Table3[Date_Key])</f>
        <v>5</v>
      </c>
    </row>
    <row r="286" spans="1:16" x14ac:dyDescent="0.3">
      <c r="A286" s="27">
        <v>1284</v>
      </c>
      <c r="B286" s="25" t="s">
        <v>332</v>
      </c>
      <c r="C286" s="25" t="s">
        <v>20</v>
      </c>
      <c r="D286" s="26" t="s">
        <v>21</v>
      </c>
      <c r="E286" s="27">
        <v>4</v>
      </c>
      <c r="F286" s="28">
        <v>1500.19</v>
      </c>
      <c r="G286" s="29">
        <v>0.51</v>
      </c>
      <c r="H286" s="28">
        <f t="shared" si="10"/>
        <v>6000.76</v>
      </c>
      <c r="I286" s="30">
        <v>45430</v>
      </c>
      <c r="J286" s="26" t="s">
        <v>52</v>
      </c>
      <c r="K286" s="26" t="s">
        <v>23</v>
      </c>
      <c r="L286" s="31">
        <f t="shared" si="11"/>
        <v>2940.3724000000002</v>
      </c>
      <c r="M286" s="31">
        <v>-348.48</v>
      </c>
      <c r="N286" s="22">
        <f>_xlfn.XLOOKUP(Snitch_Fashion_Sales_cleaned!$J286,Table2[City],Table2[City_Key],"not found")</f>
        <v>5</v>
      </c>
      <c r="O286" s="21">
        <f>_xlfn.XLOOKUP(Snitch_Fashion_Sales_cleaned!$D286,Table4[Product_Name],Table4[Product_Key],"not found")</f>
        <v>2</v>
      </c>
      <c r="P286" s="25">
        <f>_xlfn.XLOOKUP(Snitch_Fashion_Sales_cleaned!$I286,Table3[Order_Date],Table3[Date_Key])</f>
        <v>173</v>
      </c>
    </row>
    <row r="287" spans="1:16" x14ac:dyDescent="0.3">
      <c r="A287" s="34">
        <v>1285</v>
      </c>
      <c r="B287" s="32" t="s">
        <v>333</v>
      </c>
      <c r="C287" s="32" t="s">
        <v>28</v>
      </c>
      <c r="D287" s="33" t="s">
        <v>29</v>
      </c>
      <c r="E287" s="34">
        <v>5</v>
      </c>
      <c r="F287" s="35">
        <v>2515.415</v>
      </c>
      <c r="G287" s="36">
        <v>0.51</v>
      </c>
      <c r="H287" s="35">
        <f t="shared" si="10"/>
        <v>12577.075000000001</v>
      </c>
      <c r="I287" s="37">
        <v>45647</v>
      </c>
      <c r="J287" s="33" t="s">
        <v>15</v>
      </c>
      <c r="K287" s="33" t="s">
        <v>23</v>
      </c>
      <c r="L287" s="38">
        <f t="shared" si="11"/>
        <v>6162.7667500000007</v>
      </c>
      <c r="M287" s="38">
        <v>2024.84</v>
      </c>
      <c r="N287" s="24">
        <f>_xlfn.XLOOKUP(Snitch_Fashion_Sales_cleaned!$J287,Table2[City],Table2[City_Key],"not found")</f>
        <v>1</v>
      </c>
      <c r="O287" s="23">
        <f>_xlfn.XLOOKUP(Snitch_Fashion_Sales_cleaned!$D287,Table4[Product_Name],Table4[Product_Key],"not found")</f>
        <v>4</v>
      </c>
      <c r="P287" s="32">
        <f>_xlfn.XLOOKUP(Snitch_Fashion_Sales_cleaned!$I287,Table3[Order_Date],Table3[Date_Key])</f>
        <v>5</v>
      </c>
    </row>
    <row r="288" spans="1:16" x14ac:dyDescent="0.3">
      <c r="A288" s="27">
        <v>1286</v>
      </c>
      <c r="B288" s="25" t="s">
        <v>334</v>
      </c>
      <c r="C288" s="25" t="s">
        <v>31</v>
      </c>
      <c r="D288" s="26" t="s">
        <v>78</v>
      </c>
      <c r="E288" s="27">
        <v>4</v>
      </c>
      <c r="F288" s="28">
        <v>2972.45</v>
      </c>
      <c r="G288" s="29">
        <v>0.51</v>
      </c>
      <c r="H288" s="28">
        <f t="shared" si="10"/>
        <v>11889.8</v>
      </c>
      <c r="I288" s="30">
        <v>45651</v>
      </c>
      <c r="J288" s="26" t="s">
        <v>22</v>
      </c>
      <c r="K288" s="26" t="s">
        <v>16</v>
      </c>
      <c r="L288" s="31">
        <f t="shared" si="11"/>
        <v>5826.0019999999995</v>
      </c>
      <c r="M288" s="31">
        <v>2562.54</v>
      </c>
      <c r="N288" s="22">
        <f>_xlfn.XLOOKUP(Snitch_Fashion_Sales_cleaned!$J288,Table2[City],Table2[City_Key],"not found")</f>
        <v>3</v>
      </c>
      <c r="O288" s="21">
        <f>_xlfn.XLOOKUP(Snitch_Fashion_Sales_cleaned!$D288,Table4[Product_Name],Table4[Product_Key],"not found")</f>
        <v>17</v>
      </c>
      <c r="P288" s="25">
        <f>_xlfn.XLOOKUP(Snitch_Fashion_Sales_cleaned!$I288,Table3[Order_Date],Table3[Date_Key])</f>
        <v>174</v>
      </c>
    </row>
    <row r="289" spans="1:16" x14ac:dyDescent="0.3">
      <c r="A289" s="34">
        <v>1287</v>
      </c>
      <c r="B289" s="32" t="s">
        <v>335</v>
      </c>
      <c r="C289" s="32" t="s">
        <v>13</v>
      </c>
      <c r="D289" s="33" t="s">
        <v>14</v>
      </c>
      <c r="E289" s="34">
        <v>4</v>
      </c>
      <c r="F289" s="35">
        <v>2366.6149999999998</v>
      </c>
      <c r="G289" s="36">
        <v>0.51</v>
      </c>
      <c r="H289" s="35">
        <f t="shared" si="10"/>
        <v>9466.4599999999991</v>
      </c>
      <c r="I289" s="37">
        <v>45694</v>
      </c>
      <c r="J289" s="33" t="s">
        <v>2540</v>
      </c>
      <c r="K289" s="33" t="s">
        <v>23</v>
      </c>
      <c r="L289" s="38">
        <f t="shared" si="11"/>
        <v>4638.5653999999995</v>
      </c>
      <c r="M289" s="38">
        <v>802.66</v>
      </c>
      <c r="N289" s="24">
        <f>_xlfn.XLOOKUP(Snitch_Fashion_Sales_cleaned!$J289,Table2[City],Table2[City_Key],"not found")</f>
        <v>4</v>
      </c>
      <c r="O289" s="23">
        <f>_xlfn.XLOOKUP(Snitch_Fashion_Sales_cleaned!$D289,Table4[Product_Name],Table4[Product_Key],"not found")</f>
        <v>1</v>
      </c>
      <c r="P289" s="32">
        <f>_xlfn.XLOOKUP(Snitch_Fashion_Sales_cleaned!$I289,Table3[Order_Date],Table3[Date_Key])</f>
        <v>175</v>
      </c>
    </row>
    <row r="290" spans="1:16" x14ac:dyDescent="0.3">
      <c r="A290" s="27">
        <v>1288</v>
      </c>
      <c r="B290" s="25" t="s">
        <v>336</v>
      </c>
      <c r="C290" s="25" t="s">
        <v>25</v>
      </c>
      <c r="D290" s="26" t="s">
        <v>62</v>
      </c>
      <c r="E290" s="27">
        <v>4</v>
      </c>
      <c r="F290" s="28">
        <v>2538.0450000000001</v>
      </c>
      <c r="G290" s="29">
        <v>0.51</v>
      </c>
      <c r="H290" s="28">
        <f t="shared" si="10"/>
        <v>10152.18</v>
      </c>
      <c r="I290" s="30">
        <v>45647</v>
      </c>
      <c r="J290" s="26" t="s">
        <v>15</v>
      </c>
      <c r="K290" s="26" t="s">
        <v>23</v>
      </c>
      <c r="L290" s="31">
        <f t="shared" si="11"/>
        <v>4974.5681999999997</v>
      </c>
      <c r="M290" s="31">
        <v>-492.73</v>
      </c>
      <c r="N290" s="22">
        <f>_xlfn.XLOOKUP(Snitch_Fashion_Sales_cleaned!$J290,Table2[City],Table2[City_Key],"not found")</f>
        <v>1</v>
      </c>
      <c r="O290" s="21">
        <f>_xlfn.XLOOKUP(Snitch_Fashion_Sales_cleaned!$D290,Table4[Product_Name],Table4[Product_Key],"not found")</f>
        <v>14</v>
      </c>
      <c r="P290" s="25">
        <f>_xlfn.XLOOKUP(Snitch_Fashion_Sales_cleaned!$I290,Table3[Order_Date],Table3[Date_Key])</f>
        <v>5</v>
      </c>
    </row>
    <row r="291" spans="1:16" x14ac:dyDescent="0.3">
      <c r="A291" s="34">
        <v>1289</v>
      </c>
      <c r="B291" s="32" t="s">
        <v>337</v>
      </c>
      <c r="C291" s="32" t="s">
        <v>20</v>
      </c>
      <c r="D291" s="33" t="s">
        <v>84</v>
      </c>
      <c r="E291" s="34">
        <v>3</v>
      </c>
      <c r="F291" s="35">
        <v>3590.85</v>
      </c>
      <c r="G291" s="36">
        <v>0.51</v>
      </c>
      <c r="H291" s="35">
        <f t="shared" si="10"/>
        <v>10772.55</v>
      </c>
      <c r="I291" s="37">
        <v>45647</v>
      </c>
      <c r="J291" s="33" t="s">
        <v>22</v>
      </c>
      <c r="K291" s="33" t="s">
        <v>16</v>
      </c>
      <c r="L291" s="38">
        <f t="shared" si="11"/>
        <v>5278.5494999999992</v>
      </c>
      <c r="M291" s="38">
        <v>2052.5700000000002</v>
      </c>
      <c r="N291" s="24">
        <f>_xlfn.XLOOKUP(Snitch_Fashion_Sales_cleaned!$J291,Table2[City],Table2[City_Key],"not found")</f>
        <v>3</v>
      </c>
      <c r="O291" s="23">
        <f>_xlfn.XLOOKUP(Snitch_Fashion_Sales_cleaned!$D291,Table4[Product_Name],Table4[Product_Key],"not found")</f>
        <v>19</v>
      </c>
      <c r="P291" s="32">
        <f>_xlfn.XLOOKUP(Snitch_Fashion_Sales_cleaned!$I291,Table3[Order_Date],Table3[Date_Key])</f>
        <v>5</v>
      </c>
    </row>
    <row r="292" spans="1:16" x14ac:dyDescent="0.3">
      <c r="A292" s="27">
        <v>1290</v>
      </c>
      <c r="B292" s="25" t="s">
        <v>338</v>
      </c>
      <c r="C292" s="25" t="s">
        <v>13</v>
      </c>
      <c r="D292" s="26" t="s">
        <v>14</v>
      </c>
      <c r="E292" s="27">
        <v>4</v>
      </c>
      <c r="F292" s="28">
        <v>1412.12</v>
      </c>
      <c r="G292" s="29">
        <v>0.51</v>
      </c>
      <c r="H292" s="28">
        <f t="shared" si="10"/>
        <v>5648.48</v>
      </c>
      <c r="I292" s="30">
        <v>45647</v>
      </c>
      <c r="J292" s="26" t="s">
        <v>15</v>
      </c>
      <c r="K292" s="26" t="s">
        <v>23</v>
      </c>
      <c r="L292" s="31">
        <f t="shared" si="11"/>
        <v>2767.7551999999996</v>
      </c>
      <c r="M292" s="31">
        <v>430.92</v>
      </c>
      <c r="N292" s="22">
        <f>_xlfn.XLOOKUP(Snitch_Fashion_Sales_cleaned!$J292,Table2[City],Table2[City_Key],"not found")</f>
        <v>1</v>
      </c>
      <c r="O292" s="21">
        <f>_xlfn.XLOOKUP(Snitch_Fashion_Sales_cleaned!$D292,Table4[Product_Name],Table4[Product_Key],"not found")</f>
        <v>1</v>
      </c>
      <c r="P292" s="25">
        <f>_xlfn.XLOOKUP(Snitch_Fashion_Sales_cleaned!$I292,Table3[Order_Date],Table3[Date_Key])</f>
        <v>5</v>
      </c>
    </row>
    <row r="293" spans="1:16" x14ac:dyDescent="0.3">
      <c r="A293" s="34">
        <v>1291</v>
      </c>
      <c r="B293" s="32" t="s">
        <v>339</v>
      </c>
      <c r="C293" s="32" t="s">
        <v>20</v>
      </c>
      <c r="D293" s="33" t="s">
        <v>21</v>
      </c>
      <c r="E293" s="34">
        <v>4</v>
      </c>
      <c r="F293" s="35">
        <v>2579.8000000000002</v>
      </c>
      <c r="G293" s="36">
        <v>0.51</v>
      </c>
      <c r="H293" s="35">
        <f t="shared" si="10"/>
        <v>10319.200000000001</v>
      </c>
      <c r="I293" s="37">
        <v>45647</v>
      </c>
      <c r="J293" s="33" t="s">
        <v>52</v>
      </c>
      <c r="K293" s="33" t="s">
        <v>23</v>
      </c>
      <c r="L293" s="38">
        <f t="shared" si="11"/>
        <v>5056.4080000000004</v>
      </c>
      <c r="M293" s="38">
        <v>1073.44</v>
      </c>
      <c r="N293" s="24">
        <f>_xlfn.XLOOKUP(Snitch_Fashion_Sales_cleaned!$J293,Table2[City],Table2[City_Key],"not found")</f>
        <v>5</v>
      </c>
      <c r="O293" s="23">
        <f>_xlfn.XLOOKUP(Snitch_Fashion_Sales_cleaned!$D293,Table4[Product_Name],Table4[Product_Key],"not found")</f>
        <v>2</v>
      </c>
      <c r="P293" s="32">
        <f>_xlfn.XLOOKUP(Snitch_Fashion_Sales_cleaned!$I293,Table3[Order_Date],Table3[Date_Key])</f>
        <v>5</v>
      </c>
    </row>
    <row r="294" spans="1:16" x14ac:dyDescent="0.3">
      <c r="A294" s="27">
        <v>1292</v>
      </c>
      <c r="B294" s="25" t="s">
        <v>340</v>
      </c>
      <c r="C294" s="25" t="s">
        <v>36</v>
      </c>
      <c r="D294" s="26" t="s">
        <v>55</v>
      </c>
      <c r="E294" s="27">
        <v>3</v>
      </c>
      <c r="F294" s="28">
        <v>2731.6350000000002</v>
      </c>
      <c r="G294" s="29">
        <v>0.46</v>
      </c>
      <c r="H294" s="28">
        <f t="shared" si="10"/>
        <v>8194.9050000000007</v>
      </c>
      <c r="I294" s="30">
        <v>45647</v>
      </c>
      <c r="J294" s="26" t="s">
        <v>22</v>
      </c>
      <c r="K294" s="26" t="s">
        <v>23</v>
      </c>
      <c r="L294" s="31">
        <f t="shared" si="11"/>
        <v>4425.248700000001</v>
      </c>
      <c r="M294" s="31">
        <v>1165.8599999999999</v>
      </c>
      <c r="N294" s="22">
        <f>_xlfn.XLOOKUP(Snitch_Fashion_Sales_cleaned!$J294,Table2[City],Table2[City_Key],"not found")</f>
        <v>3</v>
      </c>
      <c r="O294" s="21">
        <f>_xlfn.XLOOKUP(Snitch_Fashion_Sales_cleaned!$D294,Table4[Product_Name],Table4[Product_Key],"not found")</f>
        <v>12</v>
      </c>
      <c r="P294" s="25">
        <f>_xlfn.XLOOKUP(Snitch_Fashion_Sales_cleaned!$I294,Table3[Order_Date],Table3[Date_Key])</f>
        <v>5</v>
      </c>
    </row>
    <row r="295" spans="1:16" x14ac:dyDescent="0.3">
      <c r="A295" s="34">
        <v>1293</v>
      </c>
      <c r="B295" s="32" t="s">
        <v>341</v>
      </c>
      <c r="C295" s="32" t="s">
        <v>20</v>
      </c>
      <c r="D295" s="33" t="s">
        <v>84</v>
      </c>
      <c r="E295" s="34">
        <v>3</v>
      </c>
      <c r="F295" s="35">
        <v>2537.59</v>
      </c>
      <c r="G295" s="36">
        <v>0.51</v>
      </c>
      <c r="H295" s="35">
        <f t="shared" si="10"/>
        <v>7612.77</v>
      </c>
      <c r="I295" s="37">
        <v>45647</v>
      </c>
      <c r="J295" s="33" t="s">
        <v>52</v>
      </c>
      <c r="K295" s="33" t="s">
        <v>23</v>
      </c>
      <c r="L295" s="38">
        <f t="shared" si="11"/>
        <v>3730.2573000000002</v>
      </c>
      <c r="M295" s="38">
        <v>2073.16</v>
      </c>
      <c r="N295" s="24">
        <f>_xlfn.XLOOKUP(Snitch_Fashion_Sales_cleaned!$J295,Table2[City],Table2[City_Key],"not found")</f>
        <v>5</v>
      </c>
      <c r="O295" s="23">
        <f>_xlfn.XLOOKUP(Snitch_Fashion_Sales_cleaned!$D295,Table4[Product_Name],Table4[Product_Key],"not found")</f>
        <v>19</v>
      </c>
      <c r="P295" s="32">
        <f>_xlfn.XLOOKUP(Snitch_Fashion_Sales_cleaned!$I295,Table3[Order_Date],Table3[Date_Key])</f>
        <v>5</v>
      </c>
    </row>
    <row r="296" spans="1:16" x14ac:dyDescent="0.3">
      <c r="A296" s="27">
        <v>1294</v>
      </c>
      <c r="B296" s="25" t="s">
        <v>342</v>
      </c>
      <c r="C296" s="25" t="s">
        <v>28</v>
      </c>
      <c r="D296" s="26" t="s">
        <v>116</v>
      </c>
      <c r="E296" s="27">
        <v>4</v>
      </c>
      <c r="F296" s="28">
        <v>2785.79</v>
      </c>
      <c r="G296" s="29">
        <v>0.56000000000000005</v>
      </c>
      <c r="H296" s="28">
        <f t="shared" si="10"/>
        <v>11143.16</v>
      </c>
      <c r="I296" s="30">
        <v>45647</v>
      </c>
      <c r="J296" s="26" t="s">
        <v>15</v>
      </c>
      <c r="K296" s="26" t="s">
        <v>23</v>
      </c>
      <c r="L296" s="31">
        <f t="shared" si="11"/>
        <v>4902.9903999999997</v>
      </c>
      <c r="M296" s="31">
        <v>898.24</v>
      </c>
      <c r="N296" s="22">
        <f>_xlfn.XLOOKUP(Snitch_Fashion_Sales_cleaned!$J296,Table2[City],Table2[City_Key],"not found")</f>
        <v>1</v>
      </c>
      <c r="O296" s="21">
        <f>_xlfn.XLOOKUP(Snitch_Fashion_Sales_cleaned!$D296,Table4[Product_Name],Table4[Product_Key],"not found")</f>
        <v>22</v>
      </c>
      <c r="P296" s="25">
        <f>_xlfn.XLOOKUP(Snitch_Fashion_Sales_cleaned!$I296,Table3[Order_Date],Table3[Date_Key])</f>
        <v>5</v>
      </c>
    </row>
    <row r="297" spans="1:16" x14ac:dyDescent="0.3">
      <c r="A297" s="34">
        <v>1295</v>
      </c>
      <c r="B297" s="32" t="s">
        <v>343</v>
      </c>
      <c r="C297" s="32" t="s">
        <v>20</v>
      </c>
      <c r="D297" s="33" t="s">
        <v>118</v>
      </c>
      <c r="E297" s="34">
        <v>3.5</v>
      </c>
      <c r="F297" s="35">
        <v>2752.99</v>
      </c>
      <c r="G297" s="36">
        <v>0.51</v>
      </c>
      <c r="H297" s="35">
        <f t="shared" si="10"/>
        <v>9635.4650000000001</v>
      </c>
      <c r="I297" s="37">
        <v>45499</v>
      </c>
      <c r="J297" s="33" t="s">
        <v>2540</v>
      </c>
      <c r="K297" s="33" t="s">
        <v>16</v>
      </c>
      <c r="L297" s="38">
        <f t="shared" si="11"/>
        <v>4721.3778499999999</v>
      </c>
      <c r="M297" s="38">
        <v>2967.72</v>
      </c>
      <c r="N297" s="24">
        <f>_xlfn.XLOOKUP(Snitch_Fashion_Sales_cleaned!$J297,Table2[City],Table2[City_Key],"not found")</f>
        <v>4</v>
      </c>
      <c r="O297" s="23">
        <f>_xlfn.XLOOKUP(Snitch_Fashion_Sales_cleaned!$D297,Table4[Product_Name],Table4[Product_Key],"not found")</f>
        <v>23</v>
      </c>
      <c r="P297" s="32">
        <f>_xlfn.XLOOKUP(Snitch_Fashion_Sales_cleaned!$I297,Table3[Order_Date],Table3[Date_Key])</f>
        <v>176</v>
      </c>
    </row>
    <row r="298" spans="1:16" x14ac:dyDescent="0.3">
      <c r="A298" s="27">
        <v>1296</v>
      </c>
      <c r="B298" s="25" t="s">
        <v>344</v>
      </c>
      <c r="C298" s="25" t="s">
        <v>13</v>
      </c>
      <c r="D298" s="26" t="s">
        <v>14</v>
      </c>
      <c r="E298" s="27">
        <v>4</v>
      </c>
      <c r="F298" s="28">
        <v>2795.79</v>
      </c>
      <c r="G298" s="29">
        <v>0.51</v>
      </c>
      <c r="H298" s="28">
        <f t="shared" si="10"/>
        <v>11183.16</v>
      </c>
      <c r="I298" s="30">
        <v>45742</v>
      </c>
      <c r="J298" s="26" t="s">
        <v>2540</v>
      </c>
      <c r="K298" s="26" t="s">
        <v>23</v>
      </c>
      <c r="L298" s="31">
        <f t="shared" si="11"/>
        <v>5479.7483999999995</v>
      </c>
      <c r="M298" s="31">
        <v>1438.47</v>
      </c>
      <c r="N298" s="22">
        <f>_xlfn.XLOOKUP(Snitch_Fashion_Sales_cleaned!$J298,Table2[City],Table2[City_Key],"not found")</f>
        <v>4</v>
      </c>
      <c r="O298" s="21">
        <f>_xlfn.XLOOKUP(Snitch_Fashion_Sales_cleaned!$D298,Table4[Product_Name],Table4[Product_Key],"not found")</f>
        <v>1</v>
      </c>
      <c r="P298" s="25">
        <f>_xlfn.XLOOKUP(Snitch_Fashion_Sales_cleaned!$I298,Table3[Order_Date],Table3[Date_Key])</f>
        <v>177</v>
      </c>
    </row>
    <row r="299" spans="1:16" x14ac:dyDescent="0.3">
      <c r="A299" s="34">
        <v>1297</v>
      </c>
      <c r="B299" s="32" t="s">
        <v>345</v>
      </c>
      <c r="C299" s="32" t="s">
        <v>20</v>
      </c>
      <c r="D299" s="33" t="s">
        <v>21</v>
      </c>
      <c r="E299" s="34">
        <v>4</v>
      </c>
      <c r="F299" s="35">
        <v>4524.2</v>
      </c>
      <c r="G299" s="36">
        <v>0.51</v>
      </c>
      <c r="H299" s="35">
        <f t="shared" si="10"/>
        <v>18096.8</v>
      </c>
      <c r="I299" s="37">
        <v>45506</v>
      </c>
      <c r="J299" s="33" t="s">
        <v>15</v>
      </c>
      <c r="K299" s="33" t="s">
        <v>16</v>
      </c>
      <c r="L299" s="38">
        <f t="shared" si="11"/>
        <v>8867.4319999999989</v>
      </c>
      <c r="M299" s="38">
        <v>1637.33</v>
      </c>
      <c r="N299" s="24">
        <f>_xlfn.XLOOKUP(Snitch_Fashion_Sales_cleaned!$J299,Table2[City],Table2[City_Key],"not found")</f>
        <v>1</v>
      </c>
      <c r="O299" s="23">
        <f>_xlfn.XLOOKUP(Snitch_Fashion_Sales_cleaned!$D299,Table4[Product_Name],Table4[Product_Key],"not found")</f>
        <v>2</v>
      </c>
      <c r="P299" s="32">
        <f>_xlfn.XLOOKUP(Snitch_Fashion_Sales_cleaned!$I299,Table3[Order_Date],Table3[Date_Key])</f>
        <v>178</v>
      </c>
    </row>
    <row r="300" spans="1:16" x14ac:dyDescent="0.3">
      <c r="A300" s="27">
        <v>1298</v>
      </c>
      <c r="B300" s="25" t="s">
        <v>346</v>
      </c>
      <c r="C300" s="25" t="s">
        <v>31</v>
      </c>
      <c r="D300" s="26" t="s">
        <v>78</v>
      </c>
      <c r="E300" s="27">
        <v>4</v>
      </c>
      <c r="F300" s="28">
        <v>2599.75</v>
      </c>
      <c r="G300" s="29">
        <v>0.51</v>
      </c>
      <c r="H300" s="28">
        <f t="shared" si="10"/>
        <v>10399</v>
      </c>
      <c r="I300" s="30">
        <v>45657</v>
      </c>
      <c r="J300" s="26" t="s">
        <v>18</v>
      </c>
      <c r="K300" s="26" t="s">
        <v>16</v>
      </c>
      <c r="L300" s="31">
        <f t="shared" si="11"/>
        <v>5095.51</v>
      </c>
      <c r="M300" s="31">
        <v>2490.23</v>
      </c>
      <c r="N300" s="22">
        <f>_xlfn.XLOOKUP(Snitch_Fashion_Sales_cleaned!$J300,Table2[City],Table2[City_Key],"not found")</f>
        <v>2</v>
      </c>
      <c r="O300" s="21">
        <f>_xlfn.XLOOKUP(Snitch_Fashion_Sales_cleaned!$D300,Table4[Product_Name],Table4[Product_Key],"not found")</f>
        <v>17</v>
      </c>
      <c r="P300" s="25">
        <f>_xlfn.XLOOKUP(Snitch_Fashion_Sales_cleaned!$I300,Table3[Order_Date],Table3[Date_Key])</f>
        <v>82</v>
      </c>
    </row>
    <row r="301" spans="1:16" x14ac:dyDescent="0.3">
      <c r="A301" s="34">
        <v>1299</v>
      </c>
      <c r="B301" s="32" t="s">
        <v>347</v>
      </c>
      <c r="C301" s="32" t="s">
        <v>20</v>
      </c>
      <c r="D301" s="33" t="s">
        <v>84</v>
      </c>
      <c r="E301" s="34">
        <v>1</v>
      </c>
      <c r="F301" s="35">
        <v>1026.58</v>
      </c>
      <c r="G301" s="36">
        <v>0.51</v>
      </c>
      <c r="H301" s="35">
        <f t="shared" si="10"/>
        <v>1026.58</v>
      </c>
      <c r="I301" s="37">
        <v>45591</v>
      </c>
      <c r="J301" s="33" t="s">
        <v>52</v>
      </c>
      <c r="K301" s="33" t="s">
        <v>16</v>
      </c>
      <c r="L301" s="38">
        <f t="shared" si="11"/>
        <v>503.02419999999995</v>
      </c>
      <c r="M301" s="38">
        <v>125.75604999999999</v>
      </c>
      <c r="N301" s="24">
        <f>_xlfn.XLOOKUP(Snitch_Fashion_Sales_cleaned!$J301,Table2[City],Table2[City_Key],"not found")</f>
        <v>5</v>
      </c>
      <c r="O301" s="23">
        <f>_xlfn.XLOOKUP(Snitch_Fashion_Sales_cleaned!$D301,Table4[Product_Name],Table4[Product_Key],"not found")</f>
        <v>19</v>
      </c>
      <c r="P301" s="32">
        <f>_xlfn.XLOOKUP(Snitch_Fashion_Sales_cleaned!$I301,Table3[Order_Date],Table3[Date_Key])</f>
        <v>12</v>
      </c>
    </row>
    <row r="302" spans="1:16" x14ac:dyDescent="0.3">
      <c r="A302" s="27">
        <v>1300</v>
      </c>
      <c r="B302" s="25" t="s">
        <v>348</v>
      </c>
      <c r="C302" s="25" t="s">
        <v>13</v>
      </c>
      <c r="D302" s="26" t="s">
        <v>14</v>
      </c>
      <c r="E302" s="27">
        <v>4</v>
      </c>
      <c r="F302" s="28">
        <v>4611.8999999999996</v>
      </c>
      <c r="G302" s="29">
        <v>0.51</v>
      </c>
      <c r="H302" s="28">
        <f t="shared" si="10"/>
        <v>18447.599999999999</v>
      </c>
      <c r="I302" s="30">
        <v>45772</v>
      </c>
      <c r="J302" s="26" t="s">
        <v>15</v>
      </c>
      <c r="K302" s="26" t="s">
        <v>23</v>
      </c>
      <c r="L302" s="31">
        <f t="shared" si="11"/>
        <v>9039.3239999999987</v>
      </c>
      <c r="M302" s="31">
        <v>703.48</v>
      </c>
      <c r="N302" s="22">
        <f>_xlfn.XLOOKUP(Snitch_Fashion_Sales_cleaned!$J302,Table2[City],Table2[City_Key],"not found")</f>
        <v>1</v>
      </c>
      <c r="O302" s="21">
        <f>_xlfn.XLOOKUP(Snitch_Fashion_Sales_cleaned!$D302,Table4[Product_Name],Table4[Product_Key],"not found")</f>
        <v>1</v>
      </c>
      <c r="P302" s="25">
        <f>_xlfn.XLOOKUP(Snitch_Fashion_Sales_cleaned!$I302,Table3[Order_Date],Table3[Date_Key])</f>
        <v>140</v>
      </c>
    </row>
    <row r="303" spans="1:16" x14ac:dyDescent="0.3">
      <c r="A303" s="34">
        <v>1047</v>
      </c>
      <c r="B303" s="32" t="s">
        <v>349</v>
      </c>
      <c r="C303" s="32" t="s">
        <v>13</v>
      </c>
      <c r="D303" s="33" t="s">
        <v>46</v>
      </c>
      <c r="E303" s="34">
        <v>5</v>
      </c>
      <c r="F303" s="35">
        <v>2891.64</v>
      </c>
      <c r="G303" s="36">
        <v>0.51</v>
      </c>
      <c r="H303" s="35">
        <f t="shared" si="10"/>
        <v>14458.199999999999</v>
      </c>
      <c r="I303" s="37">
        <v>45843</v>
      </c>
      <c r="J303" s="33" t="s">
        <v>52</v>
      </c>
      <c r="K303" s="33" t="s">
        <v>23</v>
      </c>
      <c r="L303" s="38">
        <f t="shared" si="11"/>
        <v>7084.5179999999991</v>
      </c>
      <c r="M303" s="38">
        <v>1368.68</v>
      </c>
      <c r="N303" s="24">
        <f>_xlfn.XLOOKUP(Snitch_Fashion_Sales_cleaned!$J303,Table2[City],Table2[City_Key],"not found")</f>
        <v>5</v>
      </c>
      <c r="O303" s="23">
        <f>_xlfn.XLOOKUP(Snitch_Fashion_Sales_cleaned!$D303,Table4[Product_Name],Table4[Product_Key],"not found")</f>
        <v>10</v>
      </c>
      <c r="P303" s="32">
        <f>_xlfn.XLOOKUP(Snitch_Fashion_Sales_cleaned!$I303,Table3[Order_Date],Table3[Date_Key])</f>
        <v>179</v>
      </c>
    </row>
    <row r="304" spans="1:16" x14ac:dyDescent="0.3">
      <c r="A304" s="27">
        <v>1302</v>
      </c>
      <c r="B304" s="25" t="s">
        <v>350</v>
      </c>
      <c r="C304" s="25" t="s">
        <v>13</v>
      </c>
      <c r="D304" s="26" t="s">
        <v>98</v>
      </c>
      <c r="E304" s="27">
        <v>5</v>
      </c>
      <c r="F304" s="28">
        <v>2750.33</v>
      </c>
      <c r="G304" s="29">
        <v>0.09</v>
      </c>
      <c r="H304" s="28">
        <f t="shared" si="10"/>
        <v>13751.65</v>
      </c>
      <c r="I304" s="30">
        <v>45702</v>
      </c>
      <c r="J304" s="26" t="s">
        <v>18</v>
      </c>
      <c r="K304" s="26" t="s">
        <v>16</v>
      </c>
      <c r="L304" s="31">
        <f t="shared" si="11"/>
        <v>12514.0015</v>
      </c>
      <c r="M304" s="31">
        <v>339.17</v>
      </c>
      <c r="N304" s="22">
        <f>_xlfn.XLOOKUP(Snitch_Fashion_Sales_cleaned!$J304,Table2[City],Table2[City_Key],"not found")</f>
        <v>2</v>
      </c>
      <c r="O304" s="21">
        <f>_xlfn.XLOOKUP(Snitch_Fashion_Sales_cleaned!$D304,Table4[Product_Name],Table4[Product_Key],"not found")</f>
        <v>21</v>
      </c>
      <c r="P304" s="25">
        <f>_xlfn.XLOOKUP(Snitch_Fashion_Sales_cleaned!$I304,Table3[Order_Date],Table3[Date_Key])</f>
        <v>154</v>
      </c>
    </row>
    <row r="305" spans="1:16" x14ac:dyDescent="0.3">
      <c r="A305" s="34">
        <v>1303</v>
      </c>
      <c r="B305" s="32" t="s">
        <v>351</v>
      </c>
      <c r="C305" s="32" t="s">
        <v>13</v>
      </c>
      <c r="D305" s="33" t="s">
        <v>46</v>
      </c>
      <c r="E305" s="34">
        <v>3</v>
      </c>
      <c r="F305" s="35">
        <v>1192.1600000000001</v>
      </c>
      <c r="G305" s="36">
        <v>0.51</v>
      </c>
      <c r="H305" s="35">
        <f t="shared" si="10"/>
        <v>3576.4800000000005</v>
      </c>
      <c r="I305" s="37">
        <v>45647</v>
      </c>
      <c r="J305" s="33" t="s">
        <v>43</v>
      </c>
      <c r="K305" s="33" t="s">
        <v>23</v>
      </c>
      <c r="L305" s="38">
        <f t="shared" si="11"/>
        <v>1752.4752000000003</v>
      </c>
      <c r="M305" s="38">
        <v>505.33</v>
      </c>
      <c r="N305" s="24">
        <f>_xlfn.XLOOKUP(Snitch_Fashion_Sales_cleaned!$J305,Table2[City],Table2[City_Key],"not found")</f>
        <v>6</v>
      </c>
      <c r="O305" s="23">
        <f>_xlfn.XLOOKUP(Snitch_Fashion_Sales_cleaned!$D305,Table4[Product_Name],Table4[Product_Key],"not found")</f>
        <v>10</v>
      </c>
      <c r="P305" s="32">
        <f>_xlfn.XLOOKUP(Snitch_Fashion_Sales_cleaned!$I305,Table3[Order_Date],Table3[Date_Key])</f>
        <v>5</v>
      </c>
    </row>
    <row r="306" spans="1:16" x14ac:dyDescent="0.3">
      <c r="A306" s="27">
        <v>1047</v>
      </c>
      <c r="B306" s="25" t="s">
        <v>352</v>
      </c>
      <c r="C306" s="25" t="s">
        <v>36</v>
      </c>
      <c r="D306" s="26" t="s">
        <v>55</v>
      </c>
      <c r="E306" s="27">
        <v>3</v>
      </c>
      <c r="F306" s="28">
        <v>3218.39</v>
      </c>
      <c r="G306" s="29">
        <v>0.51</v>
      </c>
      <c r="H306" s="28">
        <f t="shared" si="10"/>
        <v>9655.17</v>
      </c>
      <c r="I306" s="30">
        <v>45810</v>
      </c>
      <c r="J306" s="26" t="s">
        <v>22</v>
      </c>
      <c r="K306" s="26" t="s">
        <v>23</v>
      </c>
      <c r="L306" s="31">
        <f t="shared" si="11"/>
        <v>4731.0333000000001</v>
      </c>
      <c r="M306" s="31">
        <v>-442.98</v>
      </c>
      <c r="N306" s="22">
        <f>_xlfn.XLOOKUP(Snitch_Fashion_Sales_cleaned!$J306,Table2[City],Table2[City_Key],"not found")</f>
        <v>3</v>
      </c>
      <c r="O306" s="21">
        <f>_xlfn.XLOOKUP(Snitch_Fashion_Sales_cleaned!$D306,Table4[Product_Name],Table4[Product_Key],"not found")</f>
        <v>12</v>
      </c>
      <c r="P306" s="25">
        <f>_xlfn.XLOOKUP(Snitch_Fashion_Sales_cleaned!$I306,Table3[Order_Date],Table3[Date_Key])</f>
        <v>180</v>
      </c>
    </row>
    <row r="307" spans="1:16" x14ac:dyDescent="0.3">
      <c r="A307" s="34">
        <v>1305</v>
      </c>
      <c r="B307" s="32" t="s">
        <v>353</v>
      </c>
      <c r="C307" s="32" t="s">
        <v>20</v>
      </c>
      <c r="D307" s="33" t="s">
        <v>76</v>
      </c>
      <c r="E307" s="34">
        <v>3</v>
      </c>
      <c r="F307" s="35">
        <v>2229.4899999999998</v>
      </c>
      <c r="G307" s="36">
        <v>0.51</v>
      </c>
      <c r="H307" s="35">
        <f t="shared" si="10"/>
        <v>6688.4699999999993</v>
      </c>
      <c r="I307" s="37">
        <v>45157</v>
      </c>
      <c r="J307" s="33" t="s">
        <v>15</v>
      </c>
      <c r="K307" s="33" t="s">
        <v>23</v>
      </c>
      <c r="L307" s="38">
        <f t="shared" si="11"/>
        <v>3277.3502999999996</v>
      </c>
      <c r="M307" s="38">
        <v>2861.3</v>
      </c>
      <c r="N307" s="24">
        <f>_xlfn.XLOOKUP(Snitch_Fashion_Sales_cleaned!$J307,Table2[City],Table2[City_Key],"not found")</f>
        <v>1</v>
      </c>
      <c r="O307" s="23">
        <f>_xlfn.XLOOKUP(Snitch_Fashion_Sales_cleaned!$D307,Table4[Product_Name],Table4[Product_Key],"not found")</f>
        <v>16</v>
      </c>
      <c r="P307" s="32">
        <f>_xlfn.XLOOKUP(Snitch_Fashion_Sales_cleaned!$I307,Table3[Order_Date],Table3[Date_Key])</f>
        <v>181</v>
      </c>
    </row>
    <row r="308" spans="1:16" x14ac:dyDescent="0.3">
      <c r="A308" s="27">
        <v>1306</v>
      </c>
      <c r="B308" s="25" t="s">
        <v>354</v>
      </c>
      <c r="C308" s="25" t="s">
        <v>28</v>
      </c>
      <c r="D308" s="26" t="s">
        <v>29</v>
      </c>
      <c r="E308" s="27">
        <v>4</v>
      </c>
      <c r="F308" s="28">
        <v>2515.415</v>
      </c>
      <c r="G308" s="29">
        <v>0.51</v>
      </c>
      <c r="H308" s="28">
        <f t="shared" si="10"/>
        <v>10061.66</v>
      </c>
      <c r="I308" s="30">
        <v>45647</v>
      </c>
      <c r="J308" s="26" t="s">
        <v>18</v>
      </c>
      <c r="K308" s="26" t="s">
        <v>23</v>
      </c>
      <c r="L308" s="31">
        <f t="shared" si="11"/>
        <v>4930.2133999999996</v>
      </c>
      <c r="M308" s="31">
        <v>99.1</v>
      </c>
      <c r="N308" s="22">
        <f>_xlfn.XLOOKUP(Snitch_Fashion_Sales_cleaned!$J308,Table2[City],Table2[City_Key],"not found")</f>
        <v>2</v>
      </c>
      <c r="O308" s="21">
        <f>_xlfn.XLOOKUP(Snitch_Fashion_Sales_cleaned!$D308,Table4[Product_Name],Table4[Product_Key],"not found")</f>
        <v>4</v>
      </c>
      <c r="P308" s="25">
        <f>_xlfn.XLOOKUP(Snitch_Fashion_Sales_cleaned!$I308,Table3[Order_Date],Table3[Date_Key])</f>
        <v>5</v>
      </c>
    </row>
    <row r="309" spans="1:16" x14ac:dyDescent="0.3">
      <c r="A309" s="34">
        <v>1307</v>
      </c>
      <c r="B309" s="32" t="s">
        <v>355</v>
      </c>
      <c r="C309" s="32" t="s">
        <v>36</v>
      </c>
      <c r="D309" s="33" t="s">
        <v>55</v>
      </c>
      <c r="E309" s="34">
        <v>2</v>
      </c>
      <c r="F309" s="35">
        <v>2648.43</v>
      </c>
      <c r="G309" s="36">
        <v>0.51</v>
      </c>
      <c r="H309" s="35">
        <f t="shared" si="10"/>
        <v>5296.86</v>
      </c>
      <c r="I309" s="37">
        <v>45512</v>
      </c>
      <c r="J309" s="33" t="s">
        <v>18</v>
      </c>
      <c r="K309" s="33" t="s">
        <v>23</v>
      </c>
      <c r="L309" s="38">
        <f t="shared" si="11"/>
        <v>2595.4613999999997</v>
      </c>
      <c r="M309" s="38">
        <v>642</v>
      </c>
      <c r="N309" s="24">
        <f>_xlfn.XLOOKUP(Snitch_Fashion_Sales_cleaned!$J309,Table2[City],Table2[City_Key],"not found")</f>
        <v>2</v>
      </c>
      <c r="O309" s="23">
        <f>_xlfn.XLOOKUP(Snitch_Fashion_Sales_cleaned!$D309,Table4[Product_Name],Table4[Product_Key],"not found")</f>
        <v>12</v>
      </c>
      <c r="P309" s="32">
        <f>_xlfn.XLOOKUP(Snitch_Fashion_Sales_cleaned!$I309,Table3[Order_Date],Table3[Date_Key])</f>
        <v>119</v>
      </c>
    </row>
    <row r="310" spans="1:16" x14ac:dyDescent="0.3">
      <c r="A310" s="27">
        <v>1308</v>
      </c>
      <c r="B310" s="25" t="s">
        <v>356</v>
      </c>
      <c r="C310" s="25" t="s">
        <v>36</v>
      </c>
      <c r="D310" s="26" t="s">
        <v>87</v>
      </c>
      <c r="E310" s="27">
        <v>2</v>
      </c>
      <c r="F310" s="28">
        <v>4203.62</v>
      </c>
      <c r="G310" s="29">
        <v>0.51</v>
      </c>
      <c r="H310" s="28">
        <f t="shared" si="10"/>
        <v>8407.24</v>
      </c>
      <c r="I310" s="30">
        <v>45755</v>
      </c>
      <c r="J310" s="26" t="s">
        <v>22</v>
      </c>
      <c r="K310" s="26" t="s">
        <v>23</v>
      </c>
      <c r="L310" s="31">
        <f t="shared" si="11"/>
        <v>4119.5475999999999</v>
      </c>
      <c r="M310" s="31">
        <v>464.65</v>
      </c>
      <c r="N310" s="22">
        <f>_xlfn.XLOOKUP(Snitch_Fashion_Sales_cleaned!$J310,Table2[City],Table2[City_Key],"not found")</f>
        <v>3</v>
      </c>
      <c r="O310" s="21">
        <f>_xlfn.XLOOKUP(Snitch_Fashion_Sales_cleaned!$D310,Table4[Product_Name],Table4[Product_Key],"not found")</f>
        <v>20</v>
      </c>
      <c r="P310" s="25">
        <f>_xlfn.XLOOKUP(Snitch_Fashion_Sales_cleaned!$I310,Table3[Order_Date],Table3[Date_Key])</f>
        <v>182</v>
      </c>
    </row>
    <row r="311" spans="1:16" x14ac:dyDescent="0.3">
      <c r="A311" s="34">
        <v>1309</v>
      </c>
      <c r="B311" s="32" t="s">
        <v>357</v>
      </c>
      <c r="C311" s="32" t="s">
        <v>28</v>
      </c>
      <c r="D311" s="33" t="s">
        <v>137</v>
      </c>
      <c r="E311" s="34">
        <v>3.5</v>
      </c>
      <c r="F311" s="35">
        <v>2338.04</v>
      </c>
      <c r="G311" s="36">
        <v>0.51</v>
      </c>
      <c r="H311" s="35">
        <f t="shared" si="10"/>
        <v>8183.1399999999994</v>
      </c>
      <c r="I311" s="37">
        <v>45719</v>
      </c>
      <c r="J311" s="33" t="s">
        <v>43</v>
      </c>
      <c r="K311" s="33" t="s">
        <v>23</v>
      </c>
      <c r="L311" s="38">
        <f t="shared" si="11"/>
        <v>4009.7385999999997</v>
      </c>
      <c r="M311" s="38">
        <v>481.45</v>
      </c>
      <c r="N311" s="24">
        <f>_xlfn.XLOOKUP(Snitch_Fashion_Sales_cleaned!$J311,Table2[City],Table2[City_Key],"not found")</f>
        <v>6</v>
      </c>
      <c r="O311" s="23">
        <f>_xlfn.XLOOKUP(Snitch_Fashion_Sales_cleaned!$D311,Table4[Product_Name],Table4[Product_Key],"not found")</f>
        <v>24</v>
      </c>
      <c r="P311" s="32">
        <f>_xlfn.XLOOKUP(Snitch_Fashion_Sales_cleaned!$I311,Table3[Order_Date],Table3[Date_Key])</f>
        <v>92</v>
      </c>
    </row>
    <row r="312" spans="1:16" x14ac:dyDescent="0.3">
      <c r="A312" s="27">
        <v>1310</v>
      </c>
      <c r="B312" s="25" t="s">
        <v>358</v>
      </c>
      <c r="C312" s="25" t="s">
        <v>36</v>
      </c>
      <c r="D312" s="26" t="s">
        <v>55</v>
      </c>
      <c r="E312" s="27">
        <v>3</v>
      </c>
      <c r="F312" s="28">
        <v>2731.6350000000002</v>
      </c>
      <c r="G312" s="29">
        <v>0.51</v>
      </c>
      <c r="H312" s="28">
        <f t="shared" si="10"/>
        <v>8194.9050000000007</v>
      </c>
      <c r="I312" s="30">
        <v>45720</v>
      </c>
      <c r="J312" s="26" t="s">
        <v>43</v>
      </c>
      <c r="K312" s="26" t="s">
        <v>23</v>
      </c>
      <c r="L312" s="31">
        <f t="shared" si="11"/>
        <v>4015.5034500000002</v>
      </c>
      <c r="M312" s="31">
        <v>1516.35</v>
      </c>
      <c r="N312" s="22">
        <f>_xlfn.XLOOKUP(Snitch_Fashion_Sales_cleaned!$J312,Table2[City],Table2[City_Key],"not found")</f>
        <v>6</v>
      </c>
      <c r="O312" s="21">
        <f>_xlfn.XLOOKUP(Snitch_Fashion_Sales_cleaned!$D312,Table4[Product_Name],Table4[Product_Key],"not found")</f>
        <v>12</v>
      </c>
      <c r="P312" s="25">
        <f>_xlfn.XLOOKUP(Snitch_Fashion_Sales_cleaned!$I312,Table3[Order_Date],Table3[Date_Key])</f>
        <v>68</v>
      </c>
    </row>
    <row r="313" spans="1:16" x14ac:dyDescent="0.3">
      <c r="A313" s="34">
        <v>1311</v>
      </c>
      <c r="B313" s="32" t="s">
        <v>359</v>
      </c>
      <c r="C313" s="32" t="s">
        <v>20</v>
      </c>
      <c r="D313" s="33" t="s">
        <v>76</v>
      </c>
      <c r="E313" s="34">
        <v>3</v>
      </c>
      <c r="F313" s="35">
        <v>2229.4899999999998</v>
      </c>
      <c r="G313" s="36">
        <v>0.13</v>
      </c>
      <c r="H313" s="35">
        <f t="shared" si="10"/>
        <v>6688.4699999999993</v>
      </c>
      <c r="I313" s="37">
        <v>45272</v>
      </c>
      <c r="J313" s="33" t="s">
        <v>22</v>
      </c>
      <c r="K313" s="33" t="s">
        <v>23</v>
      </c>
      <c r="L313" s="38">
        <f t="shared" si="11"/>
        <v>5818.9688999999998</v>
      </c>
      <c r="M313" s="38">
        <v>-109.19</v>
      </c>
      <c r="N313" s="24">
        <f>_xlfn.XLOOKUP(Snitch_Fashion_Sales_cleaned!$J313,Table2[City],Table2[City_Key],"not found")</f>
        <v>3</v>
      </c>
      <c r="O313" s="23">
        <f>_xlfn.XLOOKUP(Snitch_Fashion_Sales_cleaned!$D313,Table4[Product_Name],Table4[Product_Key],"not found")</f>
        <v>16</v>
      </c>
      <c r="P313" s="32">
        <f>_xlfn.XLOOKUP(Snitch_Fashion_Sales_cleaned!$I313,Table3[Order_Date],Table3[Date_Key])</f>
        <v>165</v>
      </c>
    </row>
    <row r="314" spans="1:16" x14ac:dyDescent="0.3">
      <c r="A314" s="27">
        <v>1312</v>
      </c>
      <c r="B314" s="25" t="s">
        <v>360</v>
      </c>
      <c r="C314" s="25" t="s">
        <v>28</v>
      </c>
      <c r="D314" s="26" t="s">
        <v>39</v>
      </c>
      <c r="E314" s="27">
        <v>3</v>
      </c>
      <c r="F314" s="28">
        <v>2577.6350000000002</v>
      </c>
      <c r="G314" s="29">
        <v>0.51</v>
      </c>
      <c r="H314" s="28">
        <f t="shared" si="10"/>
        <v>7732.9050000000007</v>
      </c>
      <c r="I314" s="30">
        <v>45806</v>
      </c>
      <c r="J314" s="26" t="s">
        <v>43</v>
      </c>
      <c r="K314" s="26" t="s">
        <v>23</v>
      </c>
      <c r="L314" s="31">
        <f t="shared" si="11"/>
        <v>3789.12345</v>
      </c>
      <c r="M314" s="31">
        <v>-646.16</v>
      </c>
      <c r="N314" s="22">
        <f>_xlfn.XLOOKUP(Snitch_Fashion_Sales_cleaned!$J314,Table2[City],Table2[City_Key],"not found")</f>
        <v>6</v>
      </c>
      <c r="O314" s="21">
        <f>_xlfn.XLOOKUP(Snitch_Fashion_Sales_cleaned!$D314,Table4[Product_Name],Table4[Product_Key],"not found")</f>
        <v>8</v>
      </c>
      <c r="P314" s="25">
        <f>_xlfn.XLOOKUP(Snitch_Fashion_Sales_cleaned!$I314,Table3[Order_Date],Table3[Date_Key])</f>
        <v>183</v>
      </c>
    </row>
    <row r="315" spans="1:16" x14ac:dyDescent="0.3">
      <c r="A315" s="34">
        <v>1313</v>
      </c>
      <c r="B315" s="32" t="s">
        <v>361</v>
      </c>
      <c r="C315" s="32" t="s">
        <v>28</v>
      </c>
      <c r="D315" s="33" t="s">
        <v>116</v>
      </c>
      <c r="E315" s="34">
        <v>4</v>
      </c>
      <c r="F315" s="35">
        <v>4763.45</v>
      </c>
      <c r="G315" s="36">
        <v>0.96</v>
      </c>
      <c r="H315" s="35">
        <f t="shared" si="10"/>
        <v>19053.8</v>
      </c>
      <c r="I315" s="37">
        <v>45284</v>
      </c>
      <c r="J315" s="33" t="s">
        <v>43</v>
      </c>
      <c r="K315" s="33" t="s">
        <v>16</v>
      </c>
      <c r="L315" s="38">
        <f t="shared" si="11"/>
        <v>762.15200000000061</v>
      </c>
      <c r="M315" s="38">
        <v>-581.35</v>
      </c>
      <c r="N315" s="24">
        <f>_xlfn.XLOOKUP(Snitch_Fashion_Sales_cleaned!$J315,Table2[City],Table2[City_Key],"not found")</f>
        <v>6</v>
      </c>
      <c r="O315" s="23">
        <f>_xlfn.XLOOKUP(Snitch_Fashion_Sales_cleaned!$D315,Table4[Product_Name],Table4[Product_Key],"not found")</f>
        <v>22</v>
      </c>
      <c r="P315" s="32">
        <f>_xlfn.XLOOKUP(Snitch_Fashion_Sales_cleaned!$I315,Table3[Order_Date],Table3[Date_Key])</f>
        <v>184</v>
      </c>
    </row>
    <row r="316" spans="1:16" x14ac:dyDescent="0.3">
      <c r="A316" s="27">
        <v>1314</v>
      </c>
      <c r="B316" s="25" t="s">
        <v>362</v>
      </c>
      <c r="C316" s="25" t="s">
        <v>25</v>
      </c>
      <c r="D316" s="26" t="s">
        <v>62</v>
      </c>
      <c r="E316" s="27">
        <v>4</v>
      </c>
      <c r="F316" s="28">
        <v>2538.0450000000001</v>
      </c>
      <c r="G316" s="29">
        <v>0.51</v>
      </c>
      <c r="H316" s="28">
        <f t="shared" si="10"/>
        <v>10152.18</v>
      </c>
      <c r="I316" s="30">
        <v>45626</v>
      </c>
      <c r="J316" s="26" t="s">
        <v>52</v>
      </c>
      <c r="K316" s="26" t="s">
        <v>16</v>
      </c>
      <c r="L316" s="31">
        <f t="shared" si="11"/>
        <v>4974.5681999999997</v>
      </c>
      <c r="M316" s="31">
        <v>1148.06</v>
      </c>
      <c r="N316" s="22">
        <f>_xlfn.XLOOKUP(Snitch_Fashion_Sales_cleaned!$J316,Table2[City],Table2[City_Key],"not found")</f>
        <v>5</v>
      </c>
      <c r="O316" s="21">
        <f>_xlfn.XLOOKUP(Snitch_Fashion_Sales_cleaned!$D316,Table4[Product_Name],Table4[Product_Key],"not found")</f>
        <v>14</v>
      </c>
      <c r="P316" s="25">
        <f>_xlfn.XLOOKUP(Snitch_Fashion_Sales_cleaned!$I316,Table3[Order_Date],Table3[Date_Key])</f>
        <v>185</v>
      </c>
    </row>
    <row r="317" spans="1:16" x14ac:dyDescent="0.3">
      <c r="A317" s="34">
        <v>1315</v>
      </c>
      <c r="B317" s="32" t="s">
        <v>363</v>
      </c>
      <c r="C317" s="32" t="s">
        <v>13</v>
      </c>
      <c r="D317" s="33" t="s">
        <v>34</v>
      </c>
      <c r="E317" s="34">
        <v>3</v>
      </c>
      <c r="F317" s="35">
        <v>515.04</v>
      </c>
      <c r="G317" s="36">
        <v>0.51</v>
      </c>
      <c r="H317" s="35">
        <f t="shared" si="10"/>
        <v>1545.12</v>
      </c>
      <c r="I317" s="37">
        <v>45473</v>
      </c>
      <c r="J317" s="33" t="s">
        <v>2540</v>
      </c>
      <c r="K317" s="33" t="s">
        <v>23</v>
      </c>
      <c r="L317" s="38">
        <f t="shared" si="11"/>
        <v>757.10879999999997</v>
      </c>
      <c r="M317" s="38">
        <v>-279.01</v>
      </c>
      <c r="N317" s="24">
        <f>_xlfn.XLOOKUP(Snitch_Fashion_Sales_cleaned!$J317,Table2[City],Table2[City_Key],"not found")</f>
        <v>4</v>
      </c>
      <c r="O317" s="23">
        <f>_xlfn.XLOOKUP(Snitch_Fashion_Sales_cleaned!$D317,Table4[Product_Name],Table4[Product_Key],"not found")</f>
        <v>6</v>
      </c>
      <c r="P317" s="32">
        <f>_xlfn.XLOOKUP(Snitch_Fashion_Sales_cleaned!$I317,Table3[Order_Date],Table3[Date_Key])</f>
        <v>186</v>
      </c>
    </row>
    <row r="318" spans="1:16" x14ac:dyDescent="0.3">
      <c r="A318" s="27">
        <v>1316</v>
      </c>
      <c r="B318" s="25" t="s">
        <v>364</v>
      </c>
      <c r="C318" s="25" t="s">
        <v>31</v>
      </c>
      <c r="D318" s="26" t="s">
        <v>32</v>
      </c>
      <c r="E318" s="27">
        <v>4</v>
      </c>
      <c r="F318" s="28">
        <v>1345.98</v>
      </c>
      <c r="G318" s="29">
        <v>0.51</v>
      </c>
      <c r="H318" s="28">
        <f t="shared" si="10"/>
        <v>5383.92</v>
      </c>
      <c r="I318" s="30">
        <v>45769</v>
      </c>
      <c r="J318" s="26" t="s">
        <v>43</v>
      </c>
      <c r="K318" s="26" t="s">
        <v>23</v>
      </c>
      <c r="L318" s="31">
        <f t="shared" si="11"/>
        <v>2638.1208000000001</v>
      </c>
      <c r="M318" s="31">
        <v>-177.6</v>
      </c>
      <c r="N318" s="22">
        <f>_xlfn.XLOOKUP(Snitch_Fashion_Sales_cleaned!$J318,Table2[City],Table2[City_Key],"not found")</f>
        <v>6</v>
      </c>
      <c r="O318" s="21">
        <f>_xlfn.XLOOKUP(Snitch_Fashion_Sales_cleaned!$D318,Table4[Product_Name],Table4[Product_Key],"not found")</f>
        <v>5</v>
      </c>
      <c r="P318" s="25">
        <f>_xlfn.XLOOKUP(Snitch_Fashion_Sales_cleaned!$I318,Table3[Order_Date],Table3[Date_Key])</f>
        <v>187</v>
      </c>
    </row>
    <row r="319" spans="1:16" x14ac:dyDescent="0.3">
      <c r="A319" s="34">
        <v>1317</v>
      </c>
      <c r="B319" s="32" t="s">
        <v>365</v>
      </c>
      <c r="C319" s="32" t="s">
        <v>28</v>
      </c>
      <c r="D319" s="33" t="s">
        <v>116</v>
      </c>
      <c r="E319" s="34">
        <v>4</v>
      </c>
      <c r="F319" s="35">
        <v>2785.79</v>
      </c>
      <c r="G319" s="36">
        <v>0.51</v>
      </c>
      <c r="H319" s="35">
        <f t="shared" si="10"/>
        <v>11143.16</v>
      </c>
      <c r="I319" s="37">
        <v>45508</v>
      </c>
      <c r="J319" s="33" t="s">
        <v>22</v>
      </c>
      <c r="K319" s="33" t="s">
        <v>23</v>
      </c>
      <c r="L319" s="38">
        <f t="shared" si="11"/>
        <v>5460.1484</v>
      </c>
      <c r="M319" s="38">
        <v>-476.45</v>
      </c>
      <c r="N319" s="24">
        <f>_xlfn.XLOOKUP(Snitch_Fashion_Sales_cleaned!$J319,Table2[City],Table2[City_Key],"not found")</f>
        <v>3</v>
      </c>
      <c r="O319" s="23">
        <f>_xlfn.XLOOKUP(Snitch_Fashion_Sales_cleaned!$D319,Table4[Product_Name],Table4[Product_Key],"not found")</f>
        <v>22</v>
      </c>
      <c r="P319" s="32">
        <f>_xlfn.XLOOKUP(Snitch_Fashion_Sales_cleaned!$I319,Table3[Order_Date],Table3[Date_Key])</f>
        <v>188</v>
      </c>
    </row>
    <row r="320" spans="1:16" x14ac:dyDescent="0.3">
      <c r="A320" s="27">
        <v>1318</v>
      </c>
      <c r="B320" s="25" t="s">
        <v>366</v>
      </c>
      <c r="C320" s="25" t="s">
        <v>28</v>
      </c>
      <c r="D320" s="26" t="s">
        <v>29</v>
      </c>
      <c r="E320" s="27">
        <v>3</v>
      </c>
      <c r="F320" s="28">
        <v>2515.415</v>
      </c>
      <c r="G320" s="29">
        <v>0.51</v>
      </c>
      <c r="H320" s="28">
        <f t="shared" si="10"/>
        <v>7546.2449999999999</v>
      </c>
      <c r="I320" s="30">
        <v>45647</v>
      </c>
      <c r="J320" s="26" t="s">
        <v>43</v>
      </c>
      <c r="K320" s="26" t="s">
        <v>16</v>
      </c>
      <c r="L320" s="31">
        <f t="shared" si="11"/>
        <v>3697.66005</v>
      </c>
      <c r="M320" s="31">
        <v>1830.14</v>
      </c>
      <c r="N320" s="22">
        <f>_xlfn.XLOOKUP(Snitch_Fashion_Sales_cleaned!$J320,Table2[City],Table2[City_Key],"not found")</f>
        <v>6</v>
      </c>
      <c r="O320" s="21">
        <f>_xlfn.XLOOKUP(Snitch_Fashion_Sales_cleaned!$D320,Table4[Product_Name],Table4[Product_Key],"not found")</f>
        <v>4</v>
      </c>
      <c r="P320" s="25">
        <f>_xlfn.XLOOKUP(Snitch_Fashion_Sales_cleaned!$I320,Table3[Order_Date],Table3[Date_Key])</f>
        <v>5</v>
      </c>
    </row>
    <row r="321" spans="1:16" x14ac:dyDescent="0.3">
      <c r="A321" s="34">
        <v>1319</v>
      </c>
      <c r="B321" s="32" t="s">
        <v>367</v>
      </c>
      <c r="C321" s="32" t="s">
        <v>36</v>
      </c>
      <c r="D321" s="33" t="s">
        <v>87</v>
      </c>
      <c r="E321" s="34">
        <v>4</v>
      </c>
      <c r="F321" s="35">
        <v>2889.5349999999999</v>
      </c>
      <c r="G321" s="36">
        <v>0.51</v>
      </c>
      <c r="H321" s="35">
        <f t="shared" si="10"/>
        <v>11558.14</v>
      </c>
      <c r="I321" s="37">
        <v>45358</v>
      </c>
      <c r="J321" s="33" t="s">
        <v>18</v>
      </c>
      <c r="K321" s="33" t="s">
        <v>23</v>
      </c>
      <c r="L321" s="38">
        <f t="shared" si="11"/>
        <v>5663.4885999999997</v>
      </c>
      <c r="M321" s="38">
        <v>-66.17</v>
      </c>
      <c r="N321" s="24">
        <f>_xlfn.XLOOKUP(Snitch_Fashion_Sales_cleaned!$J321,Table2[City],Table2[City_Key],"not found")</f>
        <v>2</v>
      </c>
      <c r="O321" s="23">
        <f>_xlfn.XLOOKUP(Snitch_Fashion_Sales_cleaned!$D321,Table4[Product_Name],Table4[Product_Key],"not found")</f>
        <v>20</v>
      </c>
      <c r="P321" s="32">
        <f>_xlfn.XLOOKUP(Snitch_Fashion_Sales_cleaned!$I321,Table3[Order_Date],Table3[Date_Key])</f>
        <v>189</v>
      </c>
    </row>
    <row r="322" spans="1:16" x14ac:dyDescent="0.3">
      <c r="A322" s="27">
        <v>1320</v>
      </c>
      <c r="B322" s="25" t="s">
        <v>368</v>
      </c>
      <c r="C322" s="25" t="s">
        <v>28</v>
      </c>
      <c r="D322" s="26" t="s">
        <v>29</v>
      </c>
      <c r="E322" s="27">
        <v>4</v>
      </c>
      <c r="F322" s="28">
        <v>2515.415</v>
      </c>
      <c r="G322" s="29">
        <v>0.51</v>
      </c>
      <c r="H322" s="28">
        <f t="shared" si="10"/>
        <v>10061.66</v>
      </c>
      <c r="I322" s="30">
        <v>45647</v>
      </c>
      <c r="J322" s="26" t="s">
        <v>15</v>
      </c>
      <c r="K322" s="26" t="s">
        <v>23</v>
      </c>
      <c r="L322" s="31">
        <f t="shared" si="11"/>
        <v>4930.2133999999996</v>
      </c>
      <c r="M322" s="31">
        <v>2011.4</v>
      </c>
      <c r="N322" s="22">
        <f>_xlfn.XLOOKUP(Snitch_Fashion_Sales_cleaned!$J322,Table2[City],Table2[City_Key],"not found")</f>
        <v>1</v>
      </c>
      <c r="O322" s="21">
        <f>_xlfn.XLOOKUP(Snitch_Fashion_Sales_cleaned!$D322,Table4[Product_Name],Table4[Product_Key],"not found")</f>
        <v>4</v>
      </c>
      <c r="P322" s="25">
        <f>_xlfn.XLOOKUP(Snitch_Fashion_Sales_cleaned!$I322,Table3[Order_Date],Table3[Date_Key])</f>
        <v>5</v>
      </c>
    </row>
    <row r="323" spans="1:16" x14ac:dyDescent="0.3">
      <c r="A323" s="34">
        <v>1321</v>
      </c>
      <c r="B323" s="32" t="s">
        <v>369</v>
      </c>
      <c r="C323" s="32" t="s">
        <v>20</v>
      </c>
      <c r="D323" s="33" t="s">
        <v>118</v>
      </c>
      <c r="E323" s="34">
        <v>3</v>
      </c>
      <c r="F323" s="35">
        <v>2752.99</v>
      </c>
      <c r="G323" s="36">
        <v>0.51</v>
      </c>
      <c r="H323" s="35">
        <f t="shared" si="10"/>
        <v>8258.9699999999993</v>
      </c>
      <c r="I323" s="37">
        <v>45561</v>
      </c>
      <c r="J323" s="33" t="s">
        <v>15</v>
      </c>
      <c r="K323" s="33" t="s">
        <v>23</v>
      </c>
      <c r="L323" s="38">
        <f t="shared" si="11"/>
        <v>4046.8952999999997</v>
      </c>
      <c r="M323" s="38">
        <v>632.23</v>
      </c>
      <c r="N323" s="24">
        <f>_xlfn.XLOOKUP(Snitch_Fashion_Sales_cleaned!$J323,Table2[City],Table2[City_Key],"not found")</f>
        <v>1</v>
      </c>
      <c r="O323" s="23">
        <f>_xlfn.XLOOKUP(Snitch_Fashion_Sales_cleaned!$D323,Table4[Product_Name],Table4[Product_Key],"not found")</f>
        <v>23</v>
      </c>
      <c r="P323" s="32">
        <f>_xlfn.XLOOKUP(Snitch_Fashion_Sales_cleaned!$I323,Table3[Order_Date],Table3[Date_Key])</f>
        <v>190</v>
      </c>
    </row>
    <row r="324" spans="1:16" x14ac:dyDescent="0.3">
      <c r="A324" s="27">
        <v>1322</v>
      </c>
      <c r="B324" s="25" t="s">
        <v>370</v>
      </c>
      <c r="C324" s="25" t="s">
        <v>31</v>
      </c>
      <c r="D324" s="26" t="s">
        <v>68</v>
      </c>
      <c r="E324" s="27">
        <v>4</v>
      </c>
      <c r="F324" s="28">
        <v>2387.61</v>
      </c>
      <c r="G324" s="29">
        <v>0.51</v>
      </c>
      <c r="H324" s="28">
        <f t="shared" si="10"/>
        <v>9550.44</v>
      </c>
      <c r="I324" s="30">
        <v>45628</v>
      </c>
      <c r="J324" s="26" t="s">
        <v>15</v>
      </c>
      <c r="K324" s="26" t="s">
        <v>16</v>
      </c>
      <c r="L324" s="31">
        <f t="shared" si="11"/>
        <v>4679.7156000000004</v>
      </c>
      <c r="M324" s="31">
        <v>822.46</v>
      </c>
      <c r="N324" s="22">
        <f>_xlfn.XLOOKUP(Snitch_Fashion_Sales_cleaned!$J324,Table2[City],Table2[City_Key],"not found")</f>
        <v>1</v>
      </c>
      <c r="O324" s="21">
        <f>_xlfn.XLOOKUP(Snitch_Fashion_Sales_cleaned!$D324,Table4[Product_Name],Table4[Product_Key],"not found")</f>
        <v>15</v>
      </c>
      <c r="P324" s="25">
        <f>_xlfn.XLOOKUP(Snitch_Fashion_Sales_cleaned!$I324,Table3[Order_Date],Table3[Date_Key])</f>
        <v>147</v>
      </c>
    </row>
    <row r="325" spans="1:16" x14ac:dyDescent="0.3">
      <c r="A325" s="34">
        <v>1323</v>
      </c>
      <c r="B325" s="32" t="s">
        <v>371</v>
      </c>
      <c r="C325" s="32" t="s">
        <v>20</v>
      </c>
      <c r="D325" s="33" t="s">
        <v>21</v>
      </c>
      <c r="E325" s="34">
        <v>4</v>
      </c>
      <c r="F325" s="35">
        <v>2579.8000000000002</v>
      </c>
      <c r="G325" s="36">
        <v>0.51</v>
      </c>
      <c r="H325" s="35">
        <f t="shared" si="10"/>
        <v>10319.200000000001</v>
      </c>
      <c r="I325" s="37">
        <v>45412</v>
      </c>
      <c r="J325" s="33" t="s">
        <v>43</v>
      </c>
      <c r="K325" s="33" t="s">
        <v>23</v>
      </c>
      <c r="L325" s="38">
        <f t="shared" si="11"/>
        <v>5056.4080000000004</v>
      </c>
      <c r="M325" s="38">
        <v>-96.6</v>
      </c>
      <c r="N325" s="24">
        <f>_xlfn.XLOOKUP(Snitch_Fashion_Sales_cleaned!$J325,Table2[City],Table2[City_Key],"not found")</f>
        <v>6</v>
      </c>
      <c r="O325" s="23">
        <f>_xlfn.XLOOKUP(Snitch_Fashion_Sales_cleaned!$D325,Table4[Product_Name],Table4[Product_Key],"not found")</f>
        <v>2</v>
      </c>
      <c r="P325" s="32">
        <f>_xlfn.XLOOKUP(Snitch_Fashion_Sales_cleaned!$I325,Table3[Order_Date],Table3[Date_Key])</f>
        <v>191</v>
      </c>
    </row>
    <row r="326" spans="1:16" x14ac:dyDescent="0.3">
      <c r="A326" s="27">
        <v>1324</v>
      </c>
      <c r="B326" s="25" t="s">
        <v>372</v>
      </c>
      <c r="C326" s="25" t="s">
        <v>20</v>
      </c>
      <c r="D326" s="26" t="s">
        <v>76</v>
      </c>
      <c r="E326" s="27">
        <v>3</v>
      </c>
      <c r="F326" s="28">
        <v>2229.4899999999998</v>
      </c>
      <c r="G326" s="29">
        <v>0.51</v>
      </c>
      <c r="H326" s="28">
        <f t="shared" ref="H326:H389" si="12">E326*F326</f>
        <v>6688.4699999999993</v>
      </c>
      <c r="I326" s="30">
        <v>45638</v>
      </c>
      <c r="J326" s="26" t="s">
        <v>22</v>
      </c>
      <c r="K326" s="26" t="s">
        <v>16</v>
      </c>
      <c r="L326" s="31">
        <f t="shared" ref="L326:L389" si="13">H326*(1-G326)</f>
        <v>3277.3502999999996</v>
      </c>
      <c r="M326" s="31">
        <v>-610.52</v>
      </c>
      <c r="N326" s="22">
        <f>_xlfn.XLOOKUP(Snitch_Fashion_Sales_cleaned!$J326,Table2[City],Table2[City_Key],"not found")</f>
        <v>3</v>
      </c>
      <c r="O326" s="21">
        <f>_xlfn.XLOOKUP(Snitch_Fashion_Sales_cleaned!$D326,Table4[Product_Name],Table4[Product_Key],"not found")</f>
        <v>16</v>
      </c>
      <c r="P326" s="25">
        <f>_xlfn.XLOOKUP(Snitch_Fashion_Sales_cleaned!$I326,Table3[Order_Date],Table3[Date_Key])</f>
        <v>192</v>
      </c>
    </row>
    <row r="327" spans="1:16" x14ac:dyDescent="0.3">
      <c r="A327" s="34">
        <v>1325</v>
      </c>
      <c r="B327" s="32" t="s">
        <v>373</v>
      </c>
      <c r="C327" s="32" t="s">
        <v>13</v>
      </c>
      <c r="D327" s="33" t="s">
        <v>98</v>
      </c>
      <c r="E327" s="34">
        <v>5</v>
      </c>
      <c r="F327" s="35">
        <v>1315.93</v>
      </c>
      <c r="G327" s="36">
        <v>0.51</v>
      </c>
      <c r="H327" s="35">
        <f t="shared" si="12"/>
        <v>6579.6500000000005</v>
      </c>
      <c r="I327" s="37">
        <v>45844</v>
      </c>
      <c r="J327" s="33" t="s">
        <v>2540</v>
      </c>
      <c r="K327" s="33" t="s">
        <v>23</v>
      </c>
      <c r="L327" s="38">
        <f t="shared" si="13"/>
        <v>3224.0285000000003</v>
      </c>
      <c r="M327" s="38">
        <v>1435.03</v>
      </c>
      <c r="N327" s="24">
        <f>_xlfn.XLOOKUP(Snitch_Fashion_Sales_cleaned!$J327,Table2[City],Table2[City_Key],"not found")</f>
        <v>4</v>
      </c>
      <c r="O327" s="23">
        <f>_xlfn.XLOOKUP(Snitch_Fashion_Sales_cleaned!$D327,Table4[Product_Name],Table4[Product_Key],"not found")</f>
        <v>21</v>
      </c>
      <c r="P327" s="32">
        <f>_xlfn.XLOOKUP(Snitch_Fashion_Sales_cleaned!$I327,Table3[Order_Date],Table3[Date_Key])</f>
        <v>103</v>
      </c>
    </row>
    <row r="328" spans="1:16" x14ac:dyDescent="0.3">
      <c r="A328" s="27">
        <v>1326</v>
      </c>
      <c r="B328" s="25" t="s">
        <v>374</v>
      </c>
      <c r="C328" s="25" t="s">
        <v>36</v>
      </c>
      <c r="D328" s="26" t="s">
        <v>37</v>
      </c>
      <c r="E328" s="27">
        <v>4</v>
      </c>
      <c r="F328" s="28">
        <v>4104.3599999999997</v>
      </c>
      <c r="G328" s="29">
        <v>0.51</v>
      </c>
      <c r="H328" s="28">
        <f t="shared" si="12"/>
        <v>16417.439999999999</v>
      </c>
      <c r="I328" s="30">
        <v>45648</v>
      </c>
      <c r="J328" s="26" t="s">
        <v>22</v>
      </c>
      <c r="K328" s="26" t="s">
        <v>23</v>
      </c>
      <c r="L328" s="31">
        <f t="shared" si="13"/>
        <v>8044.5455999999995</v>
      </c>
      <c r="M328" s="31">
        <v>1404.45</v>
      </c>
      <c r="N328" s="22">
        <f>_xlfn.XLOOKUP(Snitch_Fashion_Sales_cleaned!$J328,Table2[City],Table2[City_Key],"not found")</f>
        <v>3</v>
      </c>
      <c r="O328" s="21">
        <f>_xlfn.XLOOKUP(Snitch_Fashion_Sales_cleaned!$D328,Table4[Product_Name],Table4[Product_Key],"not found")</f>
        <v>7</v>
      </c>
      <c r="P328" s="25">
        <f>_xlfn.XLOOKUP(Snitch_Fashion_Sales_cleaned!$I328,Table3[Order_Date],Table3[Date_Key])</f>
        <v>193</v>
      </c>
    </row>
    <row r="329" spans="1:16" x14ac:dyDescent="0.3">
      <c r="A329" s="34">
        <v>1327</v>
      </c>
      <c r="B329" s="32" t="s">
        <v>375</v>
      </c>
      <c r="C329" s="32" t="s">
        <v>25</v>
      </c>
      <c r="D329" s="33" t="s">
        <v>62</v>
      </c>
      <c r="E329" s="34">
        <v>4</v>
      </c>
      <c r="F329" s="35">
        <v>2964.44</v>
      </c>
      <c r="G329" s="36">
        <v>0.51</v>
      </c>
      <c r="H329" s="35">
        <f t="shared" si="12"/>
        <v>11857.76</v>
      </c>
      <c r="I329" s="37">
        <v>45144</v>
      </c>
      <c r="J329" s="33" t="s">
        <v>22</v>
      </c>
      <c r="K329" s="33" t="s">
        <v>23</v>
      </c>
      <c r="L329" s="38">
        <f t="shared" si="13"/>
        <v>5810.3023999999996</v>
      </c>
      <c r="M329" s="38">
        <v>2021.54</v>
      </c>
      <c r="N329" s="24">
        <f>_xlfn.XLOOKUP(Snitch_Fashion_Sales_cleaned!$J329,Table2[City],Table2[City_Key],"not found")</f>
        <v>3</v>
      </c>
      <c r="O329" s="23">
        <f>_xlfn.XLOOKUP(Snitch_Fashion_Sales_cleaned!$D329,Table4[Product_Name],Table4[Product_Key],"not found")</f>
        <v>14</v>
      </c>
      <c r="P329" s="32">
        <f>_xlfn.XLOOKUP(Snitch_Fashion_Sales_cleaned!$I329,Table3[Order_Date],Table3[Date_Key])</f>
        <v>194</v>
      </c>
    </row>
    <row r="330" spans="1:16" x14ac:dyDescent="0.3">
      <c r="A330" s="27">
        <v>1328</v>
      </c>
      <c r="B330" s="25" t="s">
        <v>376</v>
      </c>
      <c r="C330" s="25" t="s">
        <v>25</v>
      </c>
      <c r="D330" s="26" t="s">
        <v>82</v>
      </c>
      <c r="E330" s="27">
        <v>4</v>
      </c>
      <c r="F330" s="28">
        <v>3250.24</v>
      </c>
      <c r="G330" s="29">
        <v>0.56000000000000005</v>
      </c>
      <c r="H330" s="28">
        <f t="shared" si="12"/>
        <v>13000.96</v>
      </c>
      <c r="I330" s="30">
        <v>45804</v>
      </c>
      <c r="J330" s="26" t="s">
        <v>43</v>
      </c>
      <c r="K330" s="26" t="s">
        <v>23</v>
      </c>
      <c r="L330" s="31">
        <f t="shared" si="13"/>
        <v>5720.4223999999986</v>
      </c>
      <c r="M330" s="31">
        <v>2269.54</v>
      </c>
      <c r="N330" s="22">
        <f>_xlfn.XLOOKUP(Snitch_Fashion_Sales_cleaned!$J330,Table2[City],Table2[City_Key],"not found")</f>
        <v>6</v>
      </c>
      <c r="O330" s="21">
        <f>_xlfn.XLOOKUP(Snitch_Fashion_Sales_cleaned!$D330,Table4[Product_Name],Table4[Product_Key],"not found")</f>
        <v>18</v>
      </c>
      <c r="P330" s="25">
        <f>_xlfn.XLOOKUP(Snitch_Fashion_Sales_cleaned!$I330,Table3[Order_Date],Table3[Date_Key])</f>
        <v>9</v>
      </c>
    </row>
    <row r="331" spans="1:16" x14ac:dyDescent="0.3">
      <c r="A331" s="34">
        <v>1329</v>
      </c>
      <c r="B331" s="32" t="s">
        <v>377</v>
      </c>
      <c r="C331" s="32" t="s">
        <v>31</v>
      </c>
      <c r="D331" s="33" t="s">
        <v>78</v>
      </c>
      <c r="E331" s="34">
        <v>1</v>
      </c>
      <c r="F331" s="35">
        <v>2587.7800000000002</v>
      </c>
      <c r="G331" s="36">
        <v>0.51</v>
      </c>
      <c r="H331" s="35">
        <f t="shared" si="12"/>
        <v>2587.7800000000002</v>
      </c>
      <c r="I331" s="37">
        <v>45285</v>
      </c>
      <c r="J331" s="33" t="s">
        <v>52</v>
      </c>
      <c r="K331" s="33" t="s">
        <v>16</v>
      </c>
      <c r="L331" s="38">
        <f t="shared" si="13"/>
        <v>1268.0122000000001</v>
      </c>
      <c r="M331" s="38">
        <v>317.00305000000003</v>
      </c>
      <c r="N331" s="24">
        <f>_xlfn.XLOOKUP(Snitch_Fashion_Sales_cleaned!$J331,Table2[City],Table2[City_Key],"not found")</f>
        <v>5</v>
      </c>
      <c r="O331" s="23">
        <f>_xlfn.XLOOKUP(Snitch_Fashion_Sales_cleaned!$D331,Table4[Product_Name],Table4[Product_Key],"not found")</f>
        <v>17</v>
      </c>
      <c r="P331" s="32">
        <f>_xlfn.XLOOKUP(Snitch_Fashion_Sales_cleaned!$I331,Table3[Order_Date],Table3[Date_Key])</f>
        <v>195</v>
      </c>
    </row>
    <row r="332" spans="1:16" x14ac:dyDescent="0.3">
      <c r="A332" s="27">
        <v>1330</v>
      </c>
      <c r="B332" s="25" t="s">
        <v>378</v>
      </c>
      <c r="C332" s="25" t="s">
        <v>36</v>
      </c>
      <c r="D332" s="26" t="s">
        <v>55</v>
      </c>
      <c r="E332" s="27">
        <v>3</v>
      </c>
      <c r="F332" s="28">
        <v>2731.6350000000002</v>
      </c>
      <c r="G332" s="29">
        <v>0.51</v>
      </c>
      <c r="H332" s="28">
        <f t="shared" si="12"/>
        <v>8194.9050000000007</v>
      </c>
      <c r="I332" s="30">
        <v>45656</v>
      </c>
      <c r="J332" s="26" t="s">
        <v>18</v>
      </c>
      <c r="K332" s="26" t="s">
        <v>16</v>
      </c>
      <c r="L332" s="31">
        <f t="shared" si="13"/>
        <v>4015.5034500000002</v>
      </c>
      <c r="M332" s="31">
        <v>-587.38</v>
      </c>
      <c r="N332" s="22">
        <f>_xlfn.XLOOKUP(Snitch_Fashion_Sales_cleaned!$J332,Table2[City],Table2[City_Key],"not found")</f>
        <v>2</v>
      </c>
      <c r="O332" s="21">
        <f>_xlfn.XLOOKUP(Snitch_Fashion_Sales_cleaned!$D332,Table4[Product_Name],Table4[Product_Key],"not found")</f>
        <v>12</v>
      </c>
      <c r="P332" s="25">
        <f>_xlfn.XLOOKUP(Snitch_Fashion_Sales_cleaned!$I332,Table3[Order_Date],Table3[Date_Key])</f>
        <v>67</v>
      </c>
    </row>
    <row r="333" spans="1:16" x14ac:dyDescent="0.3">
      <c r="A333" s="34">
        <v>1331</v>
      </c>
      <c r="B333" s="32" t="s">
        <v>379</v>
      </c>
      <c r="C333" s="32" t="s">
        <v>28</v>
      </c>
      <c r="D333" s="33" t="s">
        <v>29</v>
      </c>
      <c r="E333" s="34">
        <v>6</v>
      </c>
      <c r="F333" s="35">
        <v>2515.415</v>
      </c>
      <c r="G333" s="36">
        <v>0.51</v>
      </c>
      <c r="H333" s="35">
        <f t="shared" si="12"/>
        <v>15092.49</v>
      </c>
      <c r="I333" s="37">
        <v>45682</v>
      </c>
      <c r="J333" s="33" t="s">
        <v>2540</v>
      </c>
      <c r="K333" s="33" t="s">
        <v>23</v>
      </c>
      <c r="L333" s="38">
        <f t="shared" si="13"/>
        <v>7395.3200999999999</v>
      </c>
      <c r="M333" s="38">
        <v>1301.18</v>
      </c>
      <c r="N333" s="24">
        <f>_xlfn.XLOOKUP(Snitch_Fashion_Sales_cleaned!$J333,Table2[City],Table2[City_Key],"not found")</f>
        <v>4</v>
      </c>
      <c r="O333" s="23">
        <f>_xlfn.XLOOKUP(Snitch_Fashion_Sales_cleaned!$D333,Table4[Product_Name],Table4[Product_Key],"not found")</f>
        <v>4</v>
      </c>
      <c r="P333" s="32">
        <f>_xlfn.XLOOKUP(Snitch_Fashion_Sales_cleaned!$I333,Table3[Order_Date],Table3[Date_Key])</f>
        <v>21</v>
      </c>
    </row>
    <row r="334" spans="1:16" x14ac:dyDescent="0.3">
      <c r="A334" s="27">
        <v>1332</v>
      </c>
      <c r="B334" s="25" t="s">
        <v>380</v>
      </c>
      <c r="C334" s="25" t="s">
        <v>31</v>
      </c>
      <c r="D334" s="26" t="s">
        <v>78</v>
      </c>
      <c r="E334" s="27">
        <v>4</v>
      </c>
      <c r="F334" s="28">
        <v>2599.75</v>
      </c>
      <c r="G334" s="29">
        <v>0</v>
      </c>
      <c r="H334" s="28">
        <f t="shared" si="12"/>
        <v>10399</v>
      </c>
      <c r="I334" s="30">
        <v>45788</v>
      </c>
      <c r="J334" s="26" t="s">
        <v>22</v>
      </c>
      <c r="K334" s="26" t="s">
        <v>16</v>
      </c>
      <c r="L334" s="31">
        <f t="shared" si="13"/>
        <v>10399</v>
      </c>
      <c r="M334" s="31">
        <v>2301.09</v>
      </c>
      <c r="N334" s="22">
        <f>_xlfn.XLOOKUP(Snitch_Fashion_Sales_cleaned!$J334,Table2[City],Table2[City_Key],"not found")</f>
        <v>3</v>
      </c>
      <c r="O334" s="21">
        <f>_xlfn.XLOOKUP(Snitch_Fashion_Sales_cleaned!$D334,Table4[Product_Name],Table4[Product_Key],"not found")</f>
        <v>17</v>
      </c>
      <c r="P334" s="25">
        <f>_xlfn.XLOOKUP(Snitch_Fashion_Sales_cleaned!$I334,Table3[Order_Date],Table3[Date_Key])</f>
        <v>196</v>
      </c>
    </row>
    <row r="335" spans="1:16" x14ac:dyDescent="0.3">
      <c r="A335" s="34">
        <v>1028</v>
      </c>
      <c r="B335" s="32" t="s">
        <v>381</v>
      </c>
      <c r="C335" s="32" t="s">
        <v>28</v>
      </c>
      <c r="D335" s="33" t="s">
        <v>116</v>
      </c>
      <c r="E335" s="34">
        <v>4</v>
      </c>
      <c r="F335" s="35">
        <v>2785.79</v>
      </c>
      <c r="G335" s="36">
        <v>0.51</v>
      </c>
      <c r="H335" s="35">
        <f t="shared" si="12"/>
        <v>11143.16</v>
      </c>
      <c r="I335" s="37">
        <v>45240</v>
      </c>
      <c r="J335" s="33" t="s">
        <v>18</v>
      </c>
      <c r="K335" s="33" t="s">
        <v>23</v>
      </c>
      <c r="L335" s="38">
        <f t="shared" si="13"/>
        <v>5460.1484</v>
      </c>
      <c r="M335" s="38">
        <v>2502.73</v>
      </c>
      <c r="N335" s="24">
        <f>_xlfn.XLOOKUP(Snitch_Fashion_Sales_cleaned!$J335,Table2[City],Table2[City_Key],"not found")</f>
        <v>2</v>
      </c>
      <c r="O335" s="23">
        <f>_xlfn.XLOOKUP(Snitch_Fashion_Sales_cleaned!$D335,Table4[Product_Name],Table4[Product_Key],"not found")</f>
        <v>22</v>
      </c>
      <c r="P335" s="32">
        <f>_xlfn.XLOOKUP(Snitch_Fashion_Sales_cleaned!$I335,Table3[Order_Date],Table3[Date_Key])</f>
        <v>197</v>
      </c>
    </row>
    <row r="336" spans="1:16" x14ac:dyDescent="0.3">
      <c r="A336" s="27">
        <v>1334</v>
      </c>
      <c r="B336" s="25" t="s">
        <v>382</v>
      </c>
      <c r="C336" s="25" t="s">
        <v>36</v>
      </c>
      <c r="D336" s="26" t="s">
        <v>55</v>
      </c>
      <c r="E336" s="27">
        <v>6</v>
      </c>
      <c r="F336" s="28">
        <v>1454.69</v>
      </c>
      <c r="G336" s="29">
        <v>0.51</v>
      </c>
      <c r="H336" s="28">
        <f t="shared" si="12"/>
        <v>8728.14</v>
      </c>
      <c r="I336" s="30">
        <v>45814</v>
      </c>
      <c r="J336" s="26" t="s">
        <v>15</v>
      </c>
      <c r="K336" s="26" t="s">
        <v>23</v>
      </c>
      <c r="L336" s="31">
        <f t="shared" si="13"/>
        <v>4276.7885999999999</v>
      </c>
      <c r="M336" s="31">
        <v>652.87</v>
      </c>
      <c r="N336" s="22">
        <f>_xlfn.XLOOKUP(Snitch_Fashion_Sales_cleaned!$J336,Table2[City],Table2[City_Key],"not found")</f>
        <v>1</v>
      </c>
      <c r="O336" s="21">
        <f>_xlfn.XLOOKUP(Snitch_Fashion_Sales_cleaned!$D336,Table4[Product_Name],Table4[Product_Key],"not found")</f>
        <v>12</v>
      </c>
      <c r="P336" s="25">
        <f>_xlfn.XLOOKUP(Snitch_Fashion_Sales_cleaned!$I336,Table3[Order_Date],Table3[Date_Key])</f>
        <v>198</v>
      </c>
    </row>
    <row r="337" spans="1:16" x14ac:dyDescent="0.3">
      <c r="A337" s="34">
        <v>1335</v>
      </c>
      <c r="B337" s="32" t="s">
        <v>383</v>
      </c>
      <c r="C337" s="32" t="s">
        <v>25</v>
      </c>
      <c r="D337" s="33" t="s">
        <v>62</v>
      </c>
      <c r="E337" s="34">
        <v>5</v>
      </c>
      <c r="F337" s="35">
        <v>2538.0450000000001</v>
      </c>
      <c r="G337" s="36">
        <v>0.51</v>
      </c>
      <c r="H337" s="35">
        <f t="shared" si="12"/>
        <v>12690.225</v>
      </c>
      <c r="I337" s="37">
        <v>45772</v>
      </c>
      <c r="J337" s="33" t="s">
        <v>52</v>
      </c>
      <c r="K337" s="33" t="s">
        <v>16</v>
      </c>
      <c r="L337" s="38">
        <f t="shared" si="13"/>
        <v>6218.2102500000001</v>
      </c>
      <c r="M337" s="38">
        <v>-815.88</v>
      </c>
      <c r="N337" s="24">
        <f>_xlfn.XLOOKUP(Snitch_Fashion_Sales_cleaned!$J337,Table2[City],Table2[City_Key],"not found")</f>
        <v>5</v>
      </c>
      <c r="O337" s="23">
        <f>_xlfn.XLOOKUP(Snitch_Fashion_Sales_cleaned!$D337,Table4[Product_Name],Table4[Product_Key],"not found")</f>
        <v>14</v>
      </c>
      <c r="P337" s="32">
        <f>_xlfn.XLOOKUP(Snitch_Fashion_Sales_cleaned!$I337,Table3[Order_Date],Table3[Date_Key])</f>
        <v>140</v>
      </c>
    </row>
    <row r="338" spans="1:16" x14ac:dyDescent="0.3">
      <c r="A338" s="27">
        <v>1336</v>
      </c>
      <c r="B338" s="25" t="s">
        <v>384</v>
      </c>
      <c r="C338" s="25" t="s">
        <v>20</v>
      </c>
      <c r="D338" s="26" t="s">
        <v>84</v>
      </c>
      <c r="E338" s="27">
        <v>3</v>
      </c>
      <c r="F338" s="28">
        <v>2537.59</v>
      </c>
      <c r="G338" s="29">
        <v>0.51</v>
      </c>
      <c r="H338" s="28">
        <f t="shared" si="12"/>
        <v>7612.77</v>
      </c>
      <c r="I338" s="30">
        <v>45647</v>
      </c>
      <c r="J338" s="26" t="s">
        <v>15</v>
      </c>
      <c r="K338" s="26" t="s">
        <v>23</v>
      </c>
      <c r="L338" s="31">
        <f t="shared" si="13"/>
        <v>3730.2573000000002</v>
      </c>
      <c r="M338" s="31">
        <v>2000.91</v>
      </c>
      <c r="N338" s="22">
        <f>_xlfn.XLOOKUP(Snitch_Fashion_Sales_cleaned!$J338,Table2[City],Table2[City_Key],"not found")</f>
        <v>1</v>
      </c>
      <c r="O338" s="21">
        <f>_xlfn.XLOOKUP(Snitch_Fashion_Sales_cleaned!$D338,Table4[Product_Name],Table4[Product_Key],"not found")</f>
        <v>19</v>
      </c>
      <c r="P338" s="25">
        <f>_xlfn.XLOOKUP(Snitch_Fashion_Sales_cleaned!$I338,Table3[Order_Date],Table3[Date_Key])</f>
        <v>5</v>
      </c>
    </row>
    <row r="339" spans="1:16" x14ac:dyDescent="0.3">
      <c r="A339" s="34">
        <v>1337</v>
      </c>
      <c r="B339" s="32" t="s">
        <v>385</v>
      </c>
      <c r="C339" s="32" t="s">
        <v>20</v>
      </c>
      <c r="D339" s="33" t="s">
        <v>84</v>
      </c>
      <c r="E339" s="34">
        <v>6</v>
      </c>
      <c r="F339" s="35">
        <v>2286.6799999999998</v>
      </c>
      <c r="G339" s="36">
        <v>0.51</v>
      </c>
      <c r="H339" s="35">
        <f t="shared" si="12"/>
        <v>13720.079999999998</v>
      </c>
      <c r="I339" s="37">
        <v>45595</v>
      </c>
      <c r="J339" s="33" t="s">
        <v>52</v>
      </c>
      <c r="K339" s="33" t="s">
        <v>16</v>
      </c>
      <c r="L339" s="38">
        <f t="shared" si="13"/>
        <v>6722.8391999999985</v>
      </c>
      <c r="M339" s="38">
        <v>716.16</v>
      </c>
      <c r="N339" s="24">
        <f>_xlfn.XLOOKUP(Snitch_Fashion_Sales_cleaned!$J339,Table2[City],Table2[City_Key],"not found")</f>
        <v>5</v>
      </c>
      <c r="O339" s="23">
        <f>_xlfn.XLOOKUP(Snitch_Fashion_Sales_cleaned!$D339,Table4[Product_Name],Table4[Product_Key],"not found")</f>
        <v>19</v>
      </c>
      <c r="P339" s="32">
        <f>_xlfn.XLOOKUP(Snitch_Fashion_Sales_cleaned!$I339,Table3[Order_Date],Table3[Date_Key])</f>
        <v>135</v>
      </c>
    </row>
    <row r="340" spans="1:16" x14ac:dyDescent="0.3">
      <c r="A340" s="27">
        <v>1338</v>
      </c>
      <c r="B340" s="25" t="s">
        <v>386</v>
      </c>
      <c r="C340" s="25" t="s">
        <v>31</v>
      </c>
      <c r="D340" s="26" t="s">
        <v>78</v>
      </c>
      <c r="E340" s="27">
        <v>4</v>
      </c>
      <c r="F340" s="28">
        <v>2599.75</v>
      </c>
      <c r="G340" s="29">
        <v>0.51</v>
      </c>
      <c r="H340" s="28">
        <f t="shared" si="12"/>
        <v>10399</v>
      </c>
      <c r="I340" s="30">
        <v>45617</v>
      </c>
      <c r="J340" s="26" t="s">
        <v>18</v>
      </c>
      <c r="K340" s="26" t="s">
        <v>23</v>
      </c>
      <c r="L340" s="31">
        <f t="shared" si="13"/>
        <v>5095.51</v>
      </c>
      <c r="M340" s="31">
        <v>415.06</v>
      </c>
      <c r="N340" s="22">
        <f>_xlfn.XLOOKUP(Snitch_Fashion_Sales_cleaned!$J340,Table2[City],Table2[City_Key],"not found")</f>
        <v>2</v>
      </c>
      <c r="O340" s="21">
        <f>_xlfn.XLOOKUP(Snitch_Fashion_Sales_cleaned!$D340,Table4[Product_Name],Table4[Product_Key],"not found")</f>
        <v>17</v>
      </c>
      <c r="P340" s="25">
        <f>_xlfn.XLOOKUP(Snitch_Fashion_Sales_cleaned!$I340,Table3[Order_Date],Table3[Date_Key])</f>
        <v>199</v>
      </c>
    </row>
    <row r="341" spans="1:16" x14ac:dyDescent="0.3">
      <c r="A341" s="34">
        <v>1339</v>
      </c>
      <c r="B341" s="32" t="s">
        <v>387</v>
      </c>
      <c r="C341" s="32" t="s">
        <v>36</v>
      </c>
      <c r="D341" s="33" t="s">
        <v>55</v>
      </c>
      <c r="E341" s="34">
        <v>3</v>
      </c>
      <c r="F341" s="35">
        <v>4507.5</v>
      </c>
      <c r="G341" s="36">
        <v>0.51</v>
      </c>
      <c r="H341" s="35">
        <f t="shared" si="12"/>
        <v>13522.5</v>
      </c>
      <c r="I341" s="37">
        <v>45839</v>
      </c>
      <c r="J341" s="33" t="s">
        <v>2540</v>
      </c>
      <c r="K341" s="33" t="s">
        <v>23</v>
      </c>
      <c r="L341" s="38">
        <f t="shared" si="13"/>
        <v>6626.0249999999996</v>
      </c>
      <c r="M341" s="38">
        <v>2552.65</v>
      </c>
      <c r="N341" s="24">
        <f>_xlfn.XLOOKUP(Snitch_Fashion_Sales_cleaned!$J341,Table2[City],Table2[City_Key],"not found")</f>
        <v>4</v>
      </c>
      <c r="O341" s="23">
        <f>_xlfn.XLOOKUP(Snitch_Fashion_Sales_cleaned!$D341,Table4[Product_Name],Table4[Product_Key],"not found")</f>
        <v>12</v>
      </c>
      <c r="P341" s="32">
        <f>_xlfn.XLOOKUP(Snitch_Fashion_Sales_cleaned!$I341,Table3[Order_Date],Table3[Date_Key])</f>
        <v>200</v>
      </c>
    </row>
    <row r="342" spans="1:16" x14ac:dyDescent="0.3">
      <c r="A342" s="27">
        <v>1340</v>
      </c>
      <c r="B342" s="25" t="s">
        <v>388</v>
      </c>
      <c r="C342" s="25" t="s">
        <v>13</v>
      </c>
      <c r="D342" s="26" t="s">
        <v>46</v>
      </c>
      <c r="E342" s="27">
        <v>4</v>
      </c>
      <c r="F342" s="28">
        <v>2891.64</v>
      </c>
      <c r="G342" s="29">
        <v>0.06</v>
      </c>
      <c r="H342" s="28">
        <f t="shared" si="12"/>
        <v>11566.56</v>
      </c>
      <c r="I342" s="30">
        <v>45826</v>
      </c>
      <c r="J342" s="26" t="s">
        <v>22</v>
      </c>
      <c r="K342" s="26" t="s">
        <v>23</v>
      </c>
      <c r="L342" s="31">
        <f t="shared" si="13"/>
        <v>10872.5664</v>
      </c>
      <c r="M342" s="31">
        <v>1282.27</v>
      </c>
      <c r="N342" s="22">
        <f>_xlfn.XLOOKUP(Snitch_Fashion_Sales_cleaned!$J342,Table2[City],Table2[City_Key],"not found")</f>
        <v>3</v>
      </c>
      <c r="O342" s="21">
        <f>_xlfn.XLOOKUP(Snitch_Fashion_Sales_cleaned!$D342,Table4[Product_Name],Table4[Product_Key],"not found")</f>
        <v>10</v>
      </c>
      <c r="P342" s="25">
        <f>_xlfn.XLOOKUP(Snitch_Fashion_Sales_cleaned!$I342,Table3[Order_Date],Table3[Date_Key])</f>
        <v>4</v>
      </c>
    </row>
    <row r="343" spans="1:16" x14ac:dyDescent="0.3">
      <c r="A343" s="34">
        <v>1341</v>
      </c>
      <c r="B343" s="32" t="s">
        <v>389</v>
      </c>
      <c r="C343" s="32" t="s">
        <v>25</v>
      </c>
      <c r="D343" s="33" t="s">
        <v>62</v>
      </c>
      <c r="E343" s="34">
        <v>4</v>
      </c>
      <c r="F343" s="35">
        <v>3074.06</v>
      </c>
      <c r="G343" s="36">
        <v>0.51</v>
      </c>
      <c r="H343" s="35">
        <f t="shared" si="12"/>
        <v>12296.24</v>
      </c>
      <c r="I343" s="37">
        <v>45771</v>
      </c>
      <c r="J343" s="33" t="s">
        <v>18</v>
      </c>
      <c r="K343" s="33" t="s">
        <v>23</v>
      </c>
      <c r="L343" s="38">
        <f t="shared" si="13"/>
        <v>6025.1575999999995</v>
      </c>
      <c r="M343" s="38">
        <v>2634.42</v>
      </c>
      <c r="N343" s="24">
        <f>_xlfn.XLOOKUP(Snitch_Fashion_Sales_cleaned!$J343,Table2[City],Table2[City_Key],"not found")</f>
        <v>2</v>
      </c>
      <c r="O343" s="23">
        <f>_xlfn.XLOOKUP(Snitch_Fashion_Sales_cleaned!$D343,Table4[Product_Name],Table4[Product_Key],"not found")</f>
        <v>14</v>
      </c>
      <c r="P343" s="32">
        <f>_xlfn.XLOOKUP(Snitch_Fashion_Sales_cleaned!$I343,Table3[Order_Date],Table3[Date_Key])</f>
        <v>201</v>
      </c>
    </row>
    <row r="344" spans="1:16" x14ac:dyDescent="0.3">
      <c r="A344" s="27">
        <v>1342</v>
      </c>
      <c r="B344" s="25" t="s">
        <v>390</v>
      </c>
      <c r="C344" s="25" t="s">
        <v>36</v>
      </c>
      <c r="D344" s="26" t="s">
        <v>59</v>
      </c>
      <c r="E344" s="27">
        <v>3</v>
      </c>
      <c r="F344" s="28">
        <v>4707.2</v>
      </c>
      <c r="G344" s="29">
        <v>0.51</v>
      </c>
      <c r="H344" s="28">
        <f t="shared" si="12"/>
        <v>14121.599999999999</v>
      </c>
      <c r="I344" s="30">
        <v>45647</v>
      </c>
      <c r="J344" s="26" t="s">
        <v>43</v>
      </c>
      <c r="K344" s="26" t="s">
        <v>23</v>
      </c>
      <c r="L344" s="31">
        <f t="shared" si="13"/>
        <v>6919.5839999999989</v>
      </c>
      <c r="M344" s="31">
        <v>1395.82</v>
      </c>
      <c r="N344" s="22">
        <f>_xlfn.XLOOKUP(Snitch_Fashion_Sales_cleaned!$J344,Table2[City],Table2[City_Key],"not found")</f>
        <v>6</v>
      </c>
      <c r="O344" s="21">
        <f>_xlfn.XLOOKUP(Snitch_Fashion_Sales_cleaned!$D344,Table4[Product_Name],Table4[Product_Key],"not found")</f>
        <v>13</v>
      </c>
      <c r="P344" s="25">
        <f>_xlfn.XLOOKUP(Snitch_Fashion_Sales_cleaned!$I344,Table3[Order_Date],Table3[Date_Key])</f>
        <v>5</v>
      </c>
    </row>
    <row r="345" spans="1:16" x14ac:dyDescent="0.3">
      <c r="A345" s="34">
        <v>1343</v>
      </c>
      <c r="B345" s="32" t="s">
        <v>391</v>
      </c>
      <c r="C345" s="32" t="s">
        <v>13</v>
      </c>
      <c r="D345" s="33" t="s">
        <v>98</v>
      </c>
      <c r="E345" s="34">
        <v>5</v>
      </c>
      <c r="F345" s="35">
        <v>4012.48</v>
      </c>
      <c r="G345" s="36">
        <v>0.51</v>
      </c>
      <c r="H345" s="35">
        <f t="shared" si="12"/>
        <v>20062.400000000001</v>
      </c>
      <c r="I345" s="37">
        <v>45859</v>
      </c>
      <c r="J345" s="33" t="s">
        <v>22</v>
      </c>
      <c r="K345" s="33" t="s">
        <v>16</v>
      </c>
      <c r="L345" s="38">
        <f t="shared" si="13"/>
        <v>9830.5760000000009</v>
      </c>
      <c r="M345" s="38">
        <v>730.98</v>
      </c>
      <c r="N345" s="24">
        <f>_xlfn.XLOOKUP(Snitch_Fashion_Sales_cleaned!$J345,Table2[City],Table2[City_Key],"not found")</f>
        <v>3</v>
      </c>
      <c r="O345" s="23">
        <f>_xlfn.XLOOKUP(Snitch_Fashion_Sales_cleaned!$D345,Table4[Product_Name],Table4[Product_Key],"not found")</f>
        <v>21</v>
      </c>
      <c r="P345" s="32">
        <f>_xlfn.XLOOKUP(Snitch_Fashion_Sales_cleaned!$I345,Table3[Order_Date],Table3[Date_Key])</f>
        <v>38</v>
      </c>
    </row>
    <row r="346" spans="1:16" x14ac:dyDescent="0.3">
      <c r="A346" s="27">
        <v>1344</v>
      </c>
      <c r="B346" s="25" t="s">
        <v>392</v>
      </c>
      <c r="C346" s="25" t="s">
        <v>13</v>
      </c>
      <c r="D346" s="26" t="s">
        <v>46</v>
      </c>
      <c r="E346" s="27">
        <v>4</v>
      </c>
      <c r="F346" s="28">
        <v>3386.91</v>
      </c>
      <c r="G346" s="29">
        <v>0.51</v>
      </c>
      <c r="H346" s="28">
        <f t="shared" si="12"/>
        <v>13547.64</v>
      </c>
      <c r="I346" s="30">
        <v>45647</v>
      </c>
      <c r="J346" s="26" t="s">
        <v>22</v>
      </c>
      <c r="K346" s="26" t="s">
        <v>16</v>
      </c>
      <c r="L346" s="31">
        <f t="shared" si="13"/>
        <v>6638.3435999999992</v>
      </c>
      <c r="M346" s="31">
        <v>2006.17</v>
      </c>
      <c r="N346" s="22">
        <f>_xlfn.XLOOKUP(Snitch_Fashion_Sales_cleaned!$J346,Table2[City],Table2[City_Key],"not found")</f>
        <v>3</v>
      </c>
      <c r="O346" s="21">
        <f>_xlfn.XLOOKUP(Snitch_Fashion_Sales_cleaned!$D346,Table4[Product_Name],Table4[Product_Key],"not found")</f>
        <v>10</v>
      </c>
      <c r="P346" s="25">
        <f>_xlfn.XLOOKUP(Snitch_Fashion_Sales_cleaned!$I346,Table3[Order_Date],Table3[Date_Key])</f>
        <v>5</v>
      </c>
    </row>
    <row r="347" spans="1:16" x14ac:dyDescent="0.3">
      <c r="A347" s="34">
        <v>1040</v>
      </c>
      <c r="B347" s="32" t="s">
        <v>393</v>
      </c>
      <c r="C347" s="32" t="s">
        <v>31</v>
      </c>
      <c r="D347" s="33" t="s">
        <v>68</v>
      </c>
      <c r="E347" s="34">
        <v>2</v>
      </c>
      <c r="F347" s="35">
        <v>2765.79</v>
      </c>
      <c r="G347" s="36">
        <v>0.18</v>
      </c>
      <c r="H347" s="35">
        <f t="shared" si="12"/>
        <v>5531.58</v>
      </c>
      <c r="I347" s="37">
        <v>45647</v>
      </c>
      <c r="J347" s="33" t="s">
        <v>2540</v>
      </c>
      <c r="K347" s="33" t="s">
        <v>23</v>
      </c>
      <c r="L347" s="38">
        <f t="shared" si="13"/>
        <v>4535.8955999999998</v>
      </c>
      <c r="M347" s="38">
        <v>2721.4</v>
      </c>
      <c r="N347" s="24">
        <f>_xlfn.XLOOKUP(Snitch_Fashion_Sales_cleaned!$J347,Table2[City],Table2[City_Key],"not found")</f>
        <v>4</v>
      </c>
      <c r="O347" s="23">
        <f>_xlfn.XLOOKUP(Snitch_Fashion_Sales_cleaned!$D347,Table4[Product_Name],Table4[Product_Key],"not found")</f>
        <v>15</v>
      </c>
      <c r="P347" s="32">
        <f>_xlfn.XLOOKUP(Snitch_Fashion_Sales_cleaned!$I347,Table3[Order_Date],Table3[Date_Key])</f>
        <v>5</v>
      </c>
    </row>
    <row r="348" spans="1:16" x14ac:dyDescent="0.3">
      <c r="A348" s="27">
        <v>1346</v>
      </c>
      <c r="B348" s="25" t="s">
        <v>394</v>
      </c>
      <c r="C348" s="25" t="s">
        <v>25</v>
      </c>
      <c r="D348" s="26" t="s">
        <v>62</v>
      </c>
      <c r="E348" s="27">
        <v>4</v>
      </c>
      <c r="F348" s="28">
        <v>1622.65</v>
      </c>
      <c r="G348" s="29">
        <v>0.51</v>
      </c>
      <c r="H348" s="28">
        <f t="shared" si="12"/>
        <v>6490.6</v>
      </c>
      <c r="I348" s="30">
        <v>45647</v>
      </c>
      <c r="J348" s="26" t="s">
        <v>22</v>
      </c>
      <c r="K348" s="26" t="s">
        <v>16</v>
      </c>
      <c r="L348" s="31">
        <f t="shared" si="13"/>
        <v>3180.3940000000002</v>
      </c>
      <c r="M348" s="31">
        <v>-891.76</v>
      </c>
      <c r="N348" s="22">
        <f>_xlfn.XLOOKUP(Snitch_Fashion_Sales_cleaned!$J348,Table2[City],Table2[City_Key],"not found")</f>
        <v>3</v>
      </c>
      <c r="O348" s="21">
        <f>_xlfn.XLOOKUP(Snitch_Fashion_Sales_cleaned!$D348,Table4[Product_Name],Table4[Product_Key],"not found")</f>
        <v>14</v>
      </c>
      <c r="P348" s="25">
        <f>_xlfn.XLOOKUP(Snitch_Fashion_Sales_cleaned!$I348,Table3[Order_Date],Table3[Date_Key])</f>
        <v>5</v>
      </c>
    </row>
    <row r="349" spans="1:16" x14ac:dyDescent="0.3">
      <c r="A349" s="34">
        <v>1005</v>
      </c>
      <c r="B349" s="32" t="s">
        <v>395</v>
      </c>
      <c r="C349" s="32" t="s">
        <v>13</v>
      </c>
      <c r="D349" s="33" t="s">
        <v>46</v>
      </c>
      <c r="E349" s="34">
        <v>6</v>
      </c>
      <c r="F349" s="35">
        <v>2228.4499999999998</v>
      </c>
      <c r="G349" s="36">
        <v>0.51</v>
      </c>
      <c r="H349" s="35">
        <f t="shared" si="12"/>
        <v>13370.699999999999</v>
      </c>
      <c r="I349" s="37">
        <v>45694</v>
      </c>
      <c r="J349" s="33" t="s">
        <v>2540</v>
      </c>
      <c r="K349" s="33" t="s">
        <v>16</v>
      </c>
      <c r="L349" s="38">
        <f t="shared" si="13"/>
        <v>6551.6429999999991</v>
      </c>
      <c r="M349" s="38">
        <v>2728.03</v>
      </c>
      <c r="N349" s="24">
        <f>_xlfn.XLOOKUP(Snitch_Fashion_Sales_cleaned!$J349,Table2[City],Table2[City_Key],"not found")</f>
        <v>4</v>
      </c>
      <c r="O349" s="23">
        <f>_xlfn.XLOOKUP(Snitch_Fashion_Sales_cleaned!$D349,Table4[Product_Name],Table4[Product_Key],"not found")</f>
        <v>10</v>
      </c>
      <c r="P349" s="32">
        <f>_xlfn.XLOOKUP(Snitch_Fashion_Sales_cleaned!$I349,Table3[Order_Date],Table3[Date_Key])</f>
        <v>175</v>
      </c>
    </row>
    <row r="350" spans="1:16" x14ac:dyDescent="0.3">
      <c r="A350" s="27">
        <v>1348</v>
      </c>
      <c r="B350" s="25" t="s">
        <v>396</v>
      </c>
      <c r="C350" s="25" t="s">
        <v>31</v>
      </c>
      <c r="D350" s="26" t="s">
        <v>68</v>
      </c>
      <c r="E350" s="27">
        <v>2</v>
      </c>
      <c r="F350" s="28">
        <v>1219.2</v>
      </c>
      <c r="G350" s="29">
        <v>0.51</v>
      </c>
      <c r="H350" s="28">
        <f t="shared" si="12"/>
        <v>2438.4</v>
      </c>
      <c r="I350" s="30">
        <v>45604</v>
      </c>
      <c r="J350" s="26" t="s">
        <v>52</v>
      </c>
      <c r="K350" s="26" t="s">
        <v>23</v>
      </c>
      <c r="L350" s="31">
        <f t="shared" si="13"/>
        <v>1194.816</v>
      </c>
      <c r="M350" s="31">
        <v>298.70400000000001</v>
      </c>
      <c r="N350" s="22">
        <f>_xlfn.XLOOKUP(Snitch_Fashion_Sales_cleaned!$J350,Table2[City],Table2[City_Key],"not found")</f>
        <v>5</v>
      </c>
      <c r="O350" s="21">
        <f>_xlfn.XLOOKUP(Snitch_Fashion_Sales_cleaned!$D350,Table4[Product_Name],Table4[Product_Key],"not found")</f>
        <v>15</v>
      </c>
      <c r="P350" s="25">
        <f>_xlfn.XLOOKUP(Snitch_Fashion_Sales_cleaned!$I350,Table3[Order_Date],Table3[Date_Key])</f>
        <v>101</v>
      </c>
    </row>
    <row r="351" spans="1:16" x14ac:dyDescent="0.3">
      <c r="A351" s="34">
        <v>1349</v>
      </c>
      <c r="B351" s="32" t="s">
        <v>397</v>
      </c>
      <c r="C351" s="32" t="s">
        <v>20</v>
      </c>
      <c r="D351" s="33" t="s">
        <v>118</v>
      </c>
      <c r="E351" s="34">
        <v>3.5</v>
      </c>
      <c r="F351" s="35">
        <v>2752.99</v>
      </c>
      <c r="G351" s="36">
        <v>0.82</v>
      </c>
      <c r="H351" s="35">
        <f t="shared" si="12"/>
        <v>9635.4650000000001</v>
      </c>
      <c r="I351" s="37">
        <v>45705</v>
      </c>
      <c r="J351" s="33" t="s">
        <v>43</v>
      </c>
      <c r="K351" s="33" t="s">
        <v>23</v>
      </c>
      <c r="L351" s="38">
        <f t="shared" si="13"/>
        <v>1734.3837000000005</v>
      </c>
      <c r="M351" s="38">
        <v>433.59592500000014</v>
      </c>
      <c r="N351" s="24">
        <f>_xlfn.XLOOKUP(Snitch_Fashion_Sales_cleaned!$J351,Table2[City],Table2[City_Key],"not found")</f>
        <v>6</v>
      </c>
      <c r="O351" s="23">
        <f>_xlfn.XLOOKUP(Snitch_Fashion_Sales_cleaned!$D351,Table4[Product_Name],Table4[Product_Key],"not found")</f>
        <v>23</v>
      </c>
      <c r="P351" s="32">
        <f>_xlfn.XLOOKUP(Snitch_Fashion_Sales_cleaned!$I351,Table3[Order_Date],Table3[Date_Key])</f>
        <v>202</v>
      </c>
    </row>
    <row r="352" spans="1:16" x14ac:dyDescent="0.3">
      <c r="A352" s="27">
        <v>1008</v>
      </c>
      <c r="B352" s="25" t="s">
        <v>398</v>
      </c>
      <c r="C352" s="25" t="s">
        <v>31</v>
      </c>
      <c r="D352" s="26" t="s">
        <v>68</v>
      </c>
      <c r="E352" s="27">
        <v>2</v>
      </c>
      <c r="F352" s="28">
        <v>2319.84</v>
      </c>
      <c r="G352" s="29">
        <v>0.51</v>
      </c>
      <c r="H352" s="28">
        <f t="shared" si="12"/>
        <v>4639.68</v>
      </c>
      <c r="I352" s="30">
        <v>45647</v>
      </c>
      <c r="J352" s="26" t="s">
        <v>2540</v>
      </c>
      <c r="K352" s="26" t="s">
        <v>23</v>
      </c>
      <c r="L352" s="31">
        <f t="shared" si="13"/>
        <v>2273.4432000000002</v>
      </c>
      <c r="M352" s="31">
        <v>1669.55</v>
      </c>
      <c r="N352" s="22">
        <f>_xlfn.XLOOKUP(Snitch_Fashion_Sales_cleaned!$J352,Table2[City],Table2[City_Key],"not found")</f>
        <v>4</v>
      </c>
      <c r="O352" s="21">
        <f>_xlfn.XLOOKUP(Snitch_Fashion_Sales_cleaned!$D352,Table4[Product_Name],Table4[Product_Key],"not found")</f>
        <v>15</v>
      </c>
      <c r="P352" s="25">
        <f>_xlfn.XLOOKUP(Snitch_Fashion_Sales_cleaned!$I352,Table3[Order_Date],Table3[Date_Key])</f>
        <v>5</v>
      </c>
    </row>
    <row r="353" spans="1:16" x14ac:dyDescent="0.3">
      <c r="A353" s="34">
        <v>1351</v>
      </c>
      <c r="B353" s="32" t="s">
        <v>399</v>
      </c>
      <c r="C353" s="32" t="s">
        <v>25</v>
      </c>
      <c r="D353" s="33" t="s">
        <v>62</v>
      </c>
      <c r="E353" s="34">
        <v>4</v>
      </c>
      <c r="F353" s="35">
        <v>2538.0450000000001</v>
      </c>
      <c r="G353" s="36">
        <v>0.51</v>
      </c>
      <c r="H353" s="35">
        <f t="shared" si="12"/>
        <v>10152.18</v>
      </c>
      <c r="I353" s="37">
        <v>45546</v>
      </c>
      <c r="J353" s="33" t="s">
        <v>52</v>
      </c>
      <c r="K353" s="33" t="s">
        <v>16</v>
      </c>
      <c r="L353" s="38">
        <f t="shared" si="13"/>
        <v>4974.5681999999997</v>
      </c>
      <c r="M353" s="38">
        <v>2621.66</v>
      </c>
      <c r="N353" s="24">
        <f>_xlfn.XLOOKUP(Snitch_Fashion_Sales_cleaned!$J353,Table2[City],Table2[City_Key],"not found")</f>
        <v>5</v>
      </c>
      <c r="O353" s="23">
        <f>_xlfn.XLOOKUP(Snitch_Fashion_Sales_cleaned!$D353,Table4[Product_Name],Table4[Product_Key],"not found")</f>
        <v>14</v>
      </c>
      <c r="P353" s="32">
        <f>_xlfn.XLOOKUP(Snitch_Fashion_Sales_cleaned!$I353,Table3[Order_Date],Table3[Date_Key])</f>
        <v>203</v>
      </c>
    </row>
    <row r="354" spans="1:16" x14ac:dyDescent="0.3">
      <c r="A354" s="27">
        <v>1034</v>
      </c>
      <c r="B354" s="25" t="s">
        <v>400</v>
      </c>
      <c r="C354" s="25" t="s">
        <v>31</v>
      </c>
      <c r="D354" s="26" t="s">
        <v>78</v>
      </c>
      <c r="E354" s="27">
        <v>4</v>
      </c>
      <c r="F354" s="28">
        <v>3991.4</v>
      </c>
      <c r="G354" s="29">
        <v>0.51</v>
      </c>
      <c r="H354" s="28">
        <f t="shared" si="12"/>
        <v>15965.6</v>
      </c>
      <c r="I354" s="30">
        <v>45693</v>
      </c>
      <c r="J354" s="26" t="s">
        <v>43</v>
      </c>
      <c r="K354" s="26" t="s">
        <v>23</v>
      </c>
      <c r="L354" s="31">
        <f t="shared" si="13"/>
        <v>7823.1440000000002</v>
      </c>
      <c r="M354" s="31">
        <v>-555.4</v>
      </c>
      <c r="N354" s="22">
        <f>_xlfn.XLOOKUP(Snitch_Fashion_Sales_cleaned!$J354,Table2[City],Table2[City_Key],"not found")</f>
        <v>6</v>
      </c>
      <c r="O354" s="21">
        <f>_xlfn.XLOOKUP(Snitch_Fashion_Sales_cleaned!$D354,Table4[Product_Name],Table4[Product_Key],"not found")</f>
        <v>17</v>
      </c>
      <c r="P354" s="25">
        <f>_xlfn.XLOOKUP(Snitch_Fashion_Sales_cleaned!$I354,Table3[Order_Date],Table3[Date_Key])</f>
        <v>204</v>
      </c>
    </row>
    <row r="355" spans="1:16" x14ac:dyDescent="0.3">
      <c r="A355" s="34">
        <v>1042</v>
      </c>
      <c r="B355" s="32" t="s">
        <v>401</v>
      </c>
      <c r="C355" s="32" t="s">
        <v>13</v>
      </c>
      <c r="D355" s="33" t="s">
        <v>46</v>
      </c>
      <c r="E355" s="34">
        <v>4</v>
      </c>
      <c r="F355" s="35">
        <v>2891.64</v>
      </c>
      <c r="G355" s="36">
        <v>0.84</v>
      </c>
      <c r="H355" s="35">
        <f t="shared" si="12"/>
        <v>11566.56</v>
      </c>
      <c r="I355" s="37">
        <v>45816</v>
      </c>
      <c r="J355" s="33" t="s">
        <v>2540</v>
      </c>
      <c r="K355" s="33" t="s">
        <v>23</v>
      </c>
      <c r="L355" s="38">
        <f t="shared" si="13"/>
        <v>1850.6496000000002</v>
      </c>
      <c r="M355" s="38">
        <v>1558.99</v>
      </c>
      <c r="N355" s="24">
        <f>_xlfn.XLOOKUP(Snitch_Fashion_Sales_cleaned!$J355,Table2[City],Table2[City_Key],"not found")</f>
        <v>4</v>
      </c>
      <c r="O355" s="23">
        <f>_xlfn.XLOOKUP(Snitch_Fashion_Sales_cleaned!$D355,Table4[Product_Name],Table4[Product_Key],"not found")</f>
        <v>10</v>
      </c>
      <c r="P355" s="32">
        <f>_xlfn.XLOOKUP(Snitch_Fashion_Sales_cleaned!$I355,Table3[Order_Date],Table3[Date_Key])</f>
        <v>205</v>
      </c>
    </row>
    <row r="356" spans="1:16" x14ac:dyDescent="0.3">
      <c r="A356" s="27">
        <v>1354</v>
      </c>
      <c r="B356" s="25" t="s">
        <v>402</v>
      </c>
      <c r="C356" s="25" t="s">
        <v>13</v>
      </c>
      <c r="D356" s="26" t="s">
        <v>46</v>
      </c>
      <c r="E356" s="27">
        <v>1</v>
      </c>
      <c r="F356" s="28">
        <v>2891.64</v>
      </c>
      <c r="G356" s="29">
        <v>0.51</v>
      </c>
      <c r="H356" s="28">
        <f t="shared" si="12"/>
        <v>2891.64</v>
      </c>
      <c r="I356" s="30">
        <v>45789</v>
      </c>
      <c r="J356" s="26" t="s">
        <v>18</v>
      </c>
      <c r="K356" s="26" t="s">
        <v>23</v>
      </c>
      <c r="L356" s="31">
        <f t="shared" si="13"/>
        <v>1416.9035999999999</v>
      </c>
      <c r="M356" s="31">
        <v>-678.38</v>
      </c>
      <c r="N356" s="22">
        <f>_xlfn.XLOOKUP(Snitch_Fashion_Sales_cleaned!$J356,Table2[City],Table2[City_Key],"not found")</f>
        <v>2</v>
      </c>
      <c r="O356" s="21">
        <f>_xlfn.XLOOKUP(Snitch_Fashion_Sales_cleaned!$D356,Table4[Product_Name],Table4[Product_Key],"not found")</f>
        <v>10</v>
      </c>
      <c r="P356" s="25">
        <f>_xlfn.XLOOKUP(Snitch_Fashion_Sales_cleaned!$I356,Table3[Order_Date],Table3[Date_Key])</f>
        <v>206</v>
      </c>
    </row>
    <row r="357" spans="1:16" x14ac:dyDescent="0.3">
      <c r="A357" s="34">
        <v>1355</v>
      </c>
      <c r="B357" s="32" t="s">
        <v>403</v>
      </c>
      <c r="C357" s="32" t="s">
        <v>36</v>
      </c>
      <c r="D357" s="33" t="s">
        <v>87</v>
      </c>
      <c r="E357" s="34">
        <v>1</v>
      </c>
      <c r="F357" s="35">
        <v>1054.69</v>
      </c>
      <c r="G357" s="36">
        <v>0.18</v>
      </c>
      <c r="H357" s="35">
        <f t="shared" si="12"/>
        <v>1054.69</v>
      </c>
      <c r="I357" s="37">
        <v>45585</v>
      </c>
      <c r="J357" s="33" t="s">
        <v>22</v>
      </c>
      <c r="K357" s="33" t="s">
        <v>23</v>
      </c>
      <c r="L357" s="38">
        <f t="shared" si="13"/>
        <v>864.84580000000005</v>
      </c>
      <c r="M357" s="38">
        <v>698.05</v>
      </c>
      <c r="N357" s="24">
        <f>_xlfn.XLOOKUP(Snitch_Fashion_Sales_cleaned!$J357,Table2[City],Table2[City_Key],"not found")</f>
        <v>3</v>
      </c>
      <c r="O357" s="23">
        <f>_xlfn.XLOOKUP(Snitch_Fashion_Sales_cleaned!$D357,Table4[Product_Name],Table4[Product_Key],"not found")</f>
        <v>20</v>
      </c>
      <c r="P357" s="32">
        <f>_xlfn.XLOOKUP(Snitch_Fashion_Sales_cleaned!$I357,Table3[Order_Date],Table3[Date_Key])</f>
        <v>144</v>
      </c>
    </row>
    <row r="358" spans="1:16" x14ac:dyDescent="0.3">
      <c r="A358" s="27">
        <v>1356</v>
      </c>
      <c r="B358" s="25" t="s">
        <v>404</v>
      </c>
      <c r="C358" s="25" t="s">
        <v>20</v>
      </c>
      <c r="D358" s="26" t="s">
        <v>84</v>
      </c>
      <c r="E358" s="27">
        <v>3</v>
      </c>
      <c r="F358" s="28">
        <v>2418.5500000000002</v>
      </c>
      <c r="G358" s="29">
        <v>0.88</v>
      </c>
      <c r="H358" s="28">
        <f t="shared" si="12"/>
        <v>7255.6500000000005</v>
      </c>
      <c r="I358" s="30">
        <v>45758</v>
      </c>
      <c r="J358" s="26" t="s">
        <v>18</v>
      </c>
      <c r="K358" s="26" t="s">
        <v>16</v>
      </c>
      <c r="L358" s="31">
        <f t="shared" si="13"/>
        <v>870.678</v>
      </c>
      <c r="M358" s="31">
        <v>428.96</v>
      </c>
      <c r="N358" s="22">
        <f>_xlfn.XLOOKUP(Snitch_Fashion_Sales_cleaned!$J358,Table2[City],Table2[City_Key],"not found")</f>
        <v>2</v>
      </c>
      <c r="O358" s="21">
        <f>_xlfn.XLOOKUP(Snitch_Fashion_Sales_cleaned!$D358,Table4[Product_Name],Table4[Product_Key],"not found")</f>
        <v>19</v>
      </c>
      <c r="P358" s="25">
        <f>_xlfn.XLOOKUP(Snitch_Fashion_Sales_cleaned!$I358,Table3[Order_Date],Table3[Date_Key])</f>
        <v>207</v>
      </c>
    </row>
    <row r="359" spans="1:16" x14ac:dyDescent="0.3">
      <c r="A359" s="34">
        <v>1357</v>
      </c>
      <c r="B359" s="32" t="s">
        <v>405</v>
      </c>
      <c r="C359" s="32" t="s">
        <v>20</v>
      </c>
      <c r="D359" s="33" t="s">
        <v>21</v>
      </c>
      <c r="E359" s="34">
        <v>4</v>
      </c>
      <c r="F359" s="35">
        <v>1128.57</v>
      </c>
      <c r="G359" s="36">
        <v>0.39</v>
      </c>
      <c r="H359" s="35">
        <f t="shared" si="12"/>
        <v>4514.28</v>
      </c>
      <c r="I359" s="37">
        <v>45678</v>
      </c>
      <c r="J359" s="33" t="s">
        <v>52</v>
      </c>
      <c r="K359" s="33" t="s">
        <v>23</v>
      </c>
      <c r="L359" s="38">
        <f t="shared" si="13"/>
        <v>2753.7107999999998</v>
      </c>
      <c r="M359" s="38">
        <v>684.88</v>
      </c>
      <c r="N359" s="24">
        <f>_xlfn.XLOOKUP(Snitch_Fashion_Sales_cleaned!$J359,Table2[City],Table2[City_Key],"not found")</f>
        <v>5</v>
      </c>
      <c r="O359" s="23">
        <f>_xlfn.XLOOKUP(Snitch_Fashion_Sales_cleaned!$D359,Table4[Product_Name],Table4[Product_Key],"not found")</f>
        <v>2</v>
      </c>
      <c r="P359" s="32">
        <f>_xlfn.XLOOKUP(Snitch_Fashion_Sales_cleaned!$I359,Table3[Order_Date],Table3[Date_Key])</f>
        <v>208</v>
      </c>
    </row>
    <row r="360" spans="1:16" x14ac:dyDescent="0.3">
      <c r="A360" s="27">
        <v>1358</v>
      </c>
      <c r="B360" s="25" t="s">
        <v>406</v>
      </c>
      <c r="C360" s="25" t="s">
        <v>28</v>
      </c>
      <c r="D360" s="26" t="s">
        <v>39</v>
      </c>
      <c r="E360" s="27">
        <v>3</v>
      </c>
      <c r="F360" s="28">
        <v>2577.6350000000002</v>
      </c>
      <c r="G360" s="29">
        <v>0.51</v>
      </c>
      <c r="H360" s="28">
        <f t="shared" si="12"/>
        <v>7732.9050000000007</v>
      </c>
      <c r="I360" s="30">
        <v>45704</v>
      </c>
      <c r="J360" s="26" t="s">
        <v>2540</v>
      </c>
      <c r="K360" s="26" t="s">
        <v>16</v>
      </c>
      <c r="L360" s="31">
        <f t="shared" si="13"/>
        <v>3789.12345</v>
      </c>
      <c r="M360" s="31">
        <v>1347.26</v>
      </c>
      <c r="N360" s="22">
        <f>_xlfn.XLOOKUP(Snitch_Fashion_Sales_cleaned!$J360,Table2[City],Table2[City_Key],"not found")</f>
        <v>4</v>
      </c>
      <c r="O360" s="21">
        <f>_xlfn.XLOOKUP(Snitch_Fashion_Sales_cleaned!$D360,Table4[Product_Name],Table4[Product_Key],"not found")</f>
        <v>8</v>
      </c>
      <c r="P360" s="25">
        <f>_xlfn.XLOOKUP(Snitch_Fashion_Sales_cleaned!$I360,Table3[Order_Date],Table3[Date_Key])</f>
        <v>209</v>
      </c>
    </row>
    <row r="361" spans="1:16" x14ac:dyDescent="0.3">
      <c r="A361" s="34">
        <v>1359</v>
      </c>
      <c r="B361" s="32" t="s">
        <v>407</v>
      </c>
      <c r="C361" s="32" t="s">
        <v>31</v>
      </c>
      <c r="D361" s="33" t="s">
        <v>32</v>
      </c>
      <c r="E361" s="34">
        <v>4</v>
      </c>
      <c r="F361" s="35">
        <v>4625.84</v>
      </c>
      <c r="G361" s="36">
        <v>0.51</v>
      </c>
      <c r="H361" s="35">
        <f t="shared" si="12"/>
        <v>18503.36</v>
      </c>
      <c r="I361" s="37">
        <v>45647</v>
      </c>
      <c r="J361" s="33" t="s">
        <v>22</v>
      </c>
      <c r="K361" s="33" t="s">
        <v>23</v>
      </c>
      <c r="L361" s="38">
        <f t="shared" si="13"/>
        <v>9066.6463999999996</v>
      </c>
      <c r="M361" s="38">
        <v>1663.88</v>
      </c>
      <c r="N361" s="24">
        <f>_xlfn.XLOOKUP(Snitch_Fashion_Sales_cleaned!$J361,Table2[City],Table2[City_Key],"not found")</f>
        <v>3</v>
      </c>
      <c r="O361" s="23">
        <f>_xlfn.XLOOKUP(Snitch_Fashion_Sales_cleaned!$D361,Table4[Product_Name],Table4[Product_Key],"not found")</f>
        <v>5</v>
      </c>
      <c r="P361" s="32">
        <f>_xlfn.XLOOKUP(Snitch_Fashion_Sales_cleaned!$I361,Table3[Order_Date],Table3[Date_Key])</f>
        <v>5</v>
      </c>
    </row>
    <row r="362" spans="1:16" x14ac:dyDescent="0.3">
      <c r="A362" s="27">
        <v>1360</v>
      </c>
      <c r="B362" s="25" t="s">
        <v>408</v>
      </c>
      <c r="C362" s="25" t="s">
        <v>13</v>
      </c>
      <c r="D362" s="26" t="s">
        <v>34</v>
      </c>
      <c r="E362" s="27">
        <v>3</v>
      </c>
      <c r="F362" s="28">
        <v>3008.6549999999997</v>
      </c>
      <c r="G362" s="29">
        <v>0.51</v>
      </c>
      <c r="H362" s="28">
        <f t="shared" si="12"/>
        <v>9025.9650000000001</v>
      </c>
      <c r="I362" s="30">
        <v>45692</v>
      </c>
      <c r="J362" s="26" t="s">
        <v>15</v>
      </c>
      <c r="K362" s="26" t="s">
        <v>23</v>
      </c>
      <c r="L362" s="31">
        <f t="shared" si="13"/>
        <v>4422.7228500000001</v>
      </c>
      <c r="M362" s="31">
        <v>1316.73</v>
      </c>
      <c r="N362" s="22">
        <f>_xlfn.XLOOKUP(Snitch_Fashion_Sales_cleaned!$J362,Table2[City],Table2[City_Key],"not found")</f>
        <v>1</v>
      </c>
      <c r="O362" s="21">
        <f>_xlfn.XLOOKUP(Snitch_Fashion_Sales_cleaned!$D362,Table4[Product_Name],Table4[Product_Key],"not found")</f>
        <v>6</v>
      </c>
      <c r="P362" s="25">
        <f>_xlfn.XLOOKUP(Snitch_Fashion_Sales_cleaned!$I362,Table3[Order_Date],Table3[Date_Key])</f>
        <v>152</v>
      </c>
    </row>
    <row r="363" spans="1:16" x14ac:dyDescent="0.3">
      <c r="A363" s="34">
        <v>1361</v>
      </c>
      <c r="B363" s="32" t="s">
        <v>409</v>
      </c>
      <c r="C363" s="32" t="s">
        <v>31</v>
      </c>
      <c r="D363" s="33" t="s">
        <v>68</v>
      </c>
      <c r="E363" s="34">
        <v>4</v>
      </c>
      <c r="F363" s="35">
        <v>2765.79</v>
      </c>
      <c r="G363" s="36">
        <v>0.51</v>
      </c>
      <c r="H363" s="35">
        <f t="shared" si="12"/>
        <v>11063.16</v>
      </c>
      <c r="I363" s="37">
        <v>45660</v>
      </c>
      <c r="J363" s="33" t="s">
        <v>22</v>
      </c>
      <c r="K363" s="33" t="s">
        <v>16</v>
      </c>
      <c r="L363" s="38">
        <f t="shared" si="13"/>
        <v>5420.9484000000002</v>
      </c>
      <c r="M363" s="38">
        <v>528.79999999999995</v>
      </c>
      <c r="N363" s="24">
        <f>_xlfn.XLOOKUP(Snitch_Fashion_Sales_cleaned!$J363,Table2[City],Table2[City_Key],"not found")</f>
        <v>3</v>
      </c>
      <c r="O363" s="23">
        <f>_xlfn.XLOOKUP(Snitch_Fashion_Sales_cleaned!$D363,Table4[Product_Name],Table4[Product_Key],"not found")</f>
        <v>15</v>
      </c>
      <c r="P363" s="32">
        <f>_xlfn.XLOOKUP(Snitch_Fashion_Sales_cleaned!$I363,Table3[Order_Date],Table3[Date_Key])</f>
        <v>210</v>
      </c>
    </row>
    <row r="364" spans="1:16" x14ac:dyDescent="0.3">
      <c r="A364" s="27">
        <v>1362</v>
      </c>
      <c r="B364" s="25" t="s">
        <v>410</v>
      </c>
      <c r="C364" s="25" t="s">
        <v>31</v>
      </c>
      <c r="D364" s="26" t="s">
        <v>68</v>
      </c>
      <c r="E364" s="27">
        <v>4</v>
      </c>
      <c r="F364" s="28">
        <v>4953.0200000000004</v>
      </c>
      <c r="G364" s="29">
        <v>0.51</v>
      </c>
      <c r="H364" s="28">
        <f t="shared" si="12"/>
        <v>19812.080000000002</v>
      </c>
      <c r="I364" s="30">
        <v>45633</v>
      </c>
      <c r="J364" s="26" t="s">
        <v>18</v>
      </c>
      <c r="K364" s="26" t="s">
        <v>16</v>
      </c>
      <c r="L364" s="31">
        <f t="shared" si="13"/>
        <v>9707.9192000000003</v>
      </c>
      <c r="M364" s="31">
        <v>-499.33</v>
      </c>
      <c r="N364" s="22">
        <f>_xlfn.XLOOKUP(Snitch_Fashion_Sales_cleaned!$J364,Table2[City],Table2[City_Key],"not found")</f>
        <v>2</v>
      </c>
      <c r="O364" s="21">
        <f>_xlfn.XLOOKUP(Snitch_Fashion_Sales_cleaned!$D364,Table4[Product_Name],Table4[Product_Key],"not found")</f>
        <v>15</v>
      </c>
      <c r="P364" s="25">
        <f>_xlfn.XLOOKUP(Snitch_Fashion_Sales_cleaned!$I364,Table3[Order_Date],Table3[Date_Key])</f>
        <v>211</v>
      </c>
    </row>
    <row r="365" spans="1:16" x14ac:dyDescent="0.3">
      <c r="A365" s="34">
        <v>1363</v>
      </c>
      <c r="B365" s="32" t="s">
        <v>411</v>
      </c>
      <c r="C365" s="32" t="s">
        <v>36</v>
      </c>
      <c r="D365" s="33" t="s">
        <v>87</v>
      </c>
      <c r="E365" s="34">
        <v>6</v>
      </c>
      <c r="F365" s="35">
        <v>2889.5349999999999</v>
      </c>
      <c r="G365" s="36">
        <v>0.51</v>
      </c>
      <c r="H365" s="35">
        <f t="shared" si="12"/>
        <v>17337.21</v>
      </c>
      <c r="I365" s="37">
        <v>45647</v>
      </c>
      <c r="J365" s="33" t="s">
        <v>22</v>
      </c>
      <c r="K365" s="33" t="s">
        <v>23</v>
      </c>
      <c r="L365" s="38">
        <f t="shared" si="13"/>
        <v>8495.2328999999991</v>
      </c>
      <c r="M365" s="38">
        <v>2143.4</v>
      </c>
      <c r="N365" s="24">
        <f>_xlfn.XLOOKUP(Snitch_Fashion_Sales_cleaned!$J365,Table2[City],Table2[City_Key],"not found")</f>
        <v>3</v>
      </c>
      <c r="O365" s="23">
        <f>_xlfn.XLOOKUP(Snitch_Fashion_Sales_cleaned!$D365,Table4[Product_Name],Table4[Product_Key],"not found")</f>
        <v>20</v>
      </c>
      <c r="P365" s="32">
        <f>_xlfn.XLOOKUP(Snitch_Fashion_Sales_cleaned!$I365,Table3[Order_Date],Table3[Date_Key])</f>
        <v>5</v>
      </c>
    </row>
    <row r="366" spans="1:16" x14ac:dyDescent="0.3">
      <c r="A366" s="27">
        <v>1364</v>
      </c>
      <c r="B366" s="25" t="s">
        <v>412</v>
      </c>
      <c r="C366" s="25" t="s">
        <v>31</v>
      </c>
      <c r="D366" s="26" t="s">
        <v>68</v>
      </c>
      <c r="E366" s="27">
        <v>4</v>
      </c>
      <c r="F366" s="28">
        <v>2765.79</v>
      </c>
      <c r="G366" s="29">
        <v>0.01</v>
      </c>
      <c r="H366" s="28">
        <f t="shared" si="12"/>
        <v>11063.16</v>
      </c>
      <c r="I366" s="30">
        <v>45647</v>
      </c>
      <c r="J366" s="26" t="s">
        <v>18</v>
      </c>
      <c r="K366" s="26" t="s">
        <v>16</v>
      </c>
      <c r="L366" s="31">
        <f t="shared" si="13"/>
        <v>10952.528399999999</v>
      </c>
      <c r="M366" s="31">
        <v>1839.35</v>
      </c>
      <c r="N366" s="22">
        <f>_xlfn.XLOOKUP(Snitch_Fashion_Sales_cleaned!$J366,Table2[City],Table2[City_Key],"not found")</f>
        <v>2</v>
      </c>
      <c r="O366" s="21">
        <f>_xlfn.XLOOKUP(Snitch_Fashion_Sales_cleaned!$D366,Table4[Product_Name],Table4[Product_Key],"not found")</f>
        <v>15</v>
      </c>
      <c r="P366" s="25">
        <f>_xlfn.XLOOKUP(Snitch_Fashion_Sales_cleaned!$I366,Table3[Order_Date],Table3[Date_Key])</f>
        <v>5</v>
      </c>
    </row>
    <row r="367" spans="1:16" x14ac:dyDescent="0.3">
      <c r="A367" s="34">
        <v>1365</v>
      </c>
      <c r="B367" s="32" t="s">
        <v>413</v>
      </c>
      <c r="C367" s="32" t="s">
        <v>36</v>
      </c>
      <c r="D367" s="33" t="s">
        <v>55</v>
      </c>
      <c r="E367" s="34">
        <v>1</v>
      </c>
      <c r="F367" s="35">
        <v>776.52</v>
      </c>
      <c r="G367" s="36">
        <v>0.51</v>
      </c>
      <c r="H367" s="35">
        <f t="shared" si="12"/>
        <v>776.52</v>
      </c>
      <c r="I367" s="37">
        <v>45647</v>
      </c>
      <c r="J367" s="33" t="s">
        <v>15</v>
      </c>
      <c r="K367" s="33" t="s">
        <v>16</v>
      </c>
      <c r="L367" s="38">
        <f t="shared" si="13"/>
        <v>380.4948</v>
      </c>
      <c r="M367" s="38">
        <v>95.123699999999999</v>
      </c>
      <c r="N367" s="24">
        <f>_xlfn.XLOOKUP(Snitch_Fashion_Sales_cleaned!$J367,Table2[City],Table2[City_Key],"not found")</f>
        <v>1</v>
      </c>
      <c r="O367" s="23">
        <f>_xlfn.XLOOKUP(Snitch_Fashion_Sales_cleaned!$D367,Table4[Product_Name],Table4[Product_Key],"not found")</f>
        <v>12</v>
      </c>
      <c r="P367" s="32">
        <f>_xlfn.XLOOKUP(Snitch_Fashion_Sales_cleaned!$I367,Table3[Order_Date],Table3[Date_Key])</f>
        <v>5</v>
      </c>
    </row>
    <row r="368" spans="1:16" x14ac:dyDescent="0.3">
      <c r="A368" s="27">
        <v>1366</v>
      </c>
      <c r="B368" s="25" t="s">
        <v>414</v>
      </c>
      <c r="C368" s="25" t="s">
        <v>36</v>
      </c>
      <c r="D368" s="26" t="s">
        <v>87</v>
      </c>
      <c r="E368" s="27">
        <v>4</v>
      </c>
      <c r="F368" s="28">
        <v>1927.12</v>
      </c>
      <c r="G368" s="29">
        <v>0.44</v>
      </c>
      <c r="H368" s="28">
        <f t="shared" si="12"/>
        <v>7708.48</v>
      </c>
      <c r="I368" s="30">
        <v>45517</v>
      </c>
      <c r="J368" s="26" t="s">
        <v>2540</v>
      </c>
      <c r="K368" s="26" t="s">
        <v>16</v>
      </c>
      <c r="L368" s="31">
        <f t="shared" si="13"/>
        <v>4316.7488000000003</v>
      </c>
      <c r="M368" s="31">
        <v>928.57</v>
      </c>
      <c r="N368" s="22">
        <f>_xlfn.XLOOKUP(Snitch_Fashion_Sales_cleaned!$J368,Table2[City],Table2[City_Key],"not found")</f>
        <v>4</v>
      </c>
      <c r="O368" s="21">
        <f>_xlfn.XLOOKUP(Snitch_Fashion_Sales_cleaned!$D368,Table4[Product_Name],Table4[Product_Key],"not found")</f>
        <v>20</v>
      </c>
      <c r="P368" s="25">
        <f>_xlfn.XLOOKUP(Snitch_Fashion_Sales_cleaned!$I368,Table3[Order_Date],Table3[Date_Key])</f>
        <v>89</v>
      </c>
    </row>
    <row r="369" spans="1:16" x14ac:dyDescent="0.3">
      <c r="A369" s="34">
        <v>1367</v>
      </c>
      <c r="B369" s="32" t="s">
        <v>415</v>
      </c>
      <c r="C369" s="32" t="s">
        <v>28</v>
      </c>
      <c r="D369" s="33" t="s">
        <v>137</v>
      </c>
      <c r="E369" s="34">
        <v>3.5</v>
      </c>
      <c r="F369" s="35">
        <v>573.79999999999995</v>
      </c>
      <c r="G369" s="36">
        <v>0.51</v>
      </c>
      <c r="H369" s="35">
        <f t="shared" si="12"/>
        <v>2008.2999999999997</v>
      </c>
      <c r="I369" s="37">
        <v>45680</v>
      </c>
      <c r="J369" s="33" t="s">
        <v>18</v>
      </c>
      <c r="K369" s="33" t="s">
        <v>23</v>
      </c>
      <c r="L369" s="38">
        <f t="shared" si="13"/>
        <v>984.06699999999989</v>
      </c>
      <c r="M369" s="38">
        <v>246.01674999999997</v>
      </c>
      <c r="N369" s="24">
        <f>_xlfn.XLOOKUP(Snitch_Fashion_Sales_cleaned!$J369,Table2[City],Table2[City_Key],"not found")</f>
        <v>2</v>
      </c>
      <c r="O369" s="23">
        <f>_xlfn.XLOOKUP(Snitch_Fashion_Sales_cleaned!$D369,Table4[Product_Name],Table4[Product_Key],"not found")</f>
        <v>24</v>
      </c>
      <c r="P369" s="32">
        <f>_xlfn.XLOOKUP(Snitch_Fashion_Sales_cleaned!$I369,Table3[Order_Date],Table3[Date_Key])</f>
        <v>94</v>
      </c>
    </row>
    <row r="370" spans="1:16" x14ac:dyDescent="0.3">
      <c r="A370" s="27">
        <v>1368</v>
      </c>
      <c r="B370" s="25" t="s">
        <v>416</v>
      </c>
      <c r="C370" s="25" t="s">
        <v>31</v>
      </c>
      <c r="D370" s="26" t="s">
        <v>68</v>
      </c>
      <c r="E370" s="27">
        <v>4</v>
      </c>
      <c r="F370" s="28">
        <v>4032.95</v>
      </c>
      <c r="G370" s="29">
        <v>0.51</v>
      </c>
      <c r="H370" s="28">
        <f t="shared" si="12"/>
        <v>16131.8</v>
      </c>
      <c r="I370" s="30">
        <v>45647</v>
      </c>
      <c r="J370" s="26" t="s">
        <v>18</v>
      </c>
      <c r="K370" s="26" t="s">
        <v>16</v>
      </c>
      <c r="L370" s="31">
        <f t="shared" si="13"/>
        <v>7904.5819999999994</v>
      </c>
      <c r="M370" s="31">
        <v>-20.09</v>
      </c>
      <c r="N370" s="22">
        <f>_xlfn.XLOOKUP(Snitch_Fashion_Sales_cleaned!$J370,Table2[City],Table2[City_Key],"not found")</f>
        <v>2</v>
      </c>
      <c r="O370" s="21">
        <f>_xlfn.XLOOKUP(Snitch_Fashion_Sales_cleaned!$D370,Table4[Product_Name],Table4[Product_Key],"not found")</f>
        <v>15</v>
      </c>
      <c r="P370" s="25">
        <f>_xlfn.XLOOKUP(Snitch_Fashion_Sales_cleaned!$I370,Table3[Order_Date],Table3[Date_Key])</f>
        <v>5</v>
      </c>
    </row>
    <row r="371" spans="1:16" x14ac:dyDescent="0.3">
      <c r="A371" s="34">
        <v>1369</v>
      </c>
      <c r="B371" s="32" t="s">
        <v>417</v>
      </c>
      <c r="C371" s="32" t="s">
        <v>28</v>
      </c>
      <c r="D371" s="33" t="s">
        <v>137</v>
      </c>
      <c r="E371" s="34">
        <v>3.5</v>
      </c>
      <c r="F371" s="35">
        <v>2338.04</v>
      </c>
      <c r="G371" s="36">
        <v>0.51</v>
      </c>
      <c r="H371" s="35">
        <f t="shared" si="12"/>
        <v>8183.1399999999994</v>
      </c>
      <c r="I371" s="37">
        <v>45818</v>
      </c>
      <c r="J371" s="33" t="s">
        <v>52</v>
      </c>
      <c r="K371" s="33" t="s">
        <v>23</v>
      </c>
      <c r="L371" s="38">
        <f t="shared" si="13"/>
        <v>4009.7385999999997</v>
      </c>
      <c r="M371" s="38">
        <v>-844.78</v>
      </c>
      <c r="N371" s="24">
        <f>_xlfn.XLOOKUP(Snitch_Fashion_Sales_cleaned!$J371,Table2[City],Table2[City_Key],"not found")</f>
        <v>5</v>
      </c>
      <c r="O371" s="23">
        <f>_xlfn.XLOOKUP(Snitch_Fashion_Sales_cleaned!$D371,Table4[Product_Name],Table4[Product_Key],"not found")</f>
        <v>24</v>
      </c>
      <c r="P371" s="32">
        <f>_xlfn.XLOOKUP(Snitch_Fashion_Sales_cleaned!$I371,Table3[Order_Date],Table3[Date_Key])</f>
        <v>212</v>
      </c>
    </row>
    <row r="372" spans="1:16" x14ac:dyDescent="0.3">
      <c r="A372" s="27">
        <v>1370</v>
      </c>
      <c r="B372" s="25" t="s">
        <v>418</v>
      </c>
      <c r="C372" s="25" t="s">
        <v>36</v>
      </c>
      <c r="D372" s="26" t="s">
        <v>87</v>
      </c>
      <c r="E372" s="27">
        <v>4</v>
      </c>
      <c r="F372" s="28">
        <v>2345.4899999999998</v>
      </c>
      <c r="G372" s="29">
        <v>0.51</v>
      </c>
      <c r="H372" s="28">
        <f t="shared" si="12"/>
        <v>9381.9599999999991</v>
      </c>
      <c r="I372" s="30">
        <v>45620</v>
      </c>
      <c r="J372" s="26" t="s">
        <v>52</v>
      </c>
      <c r="K372" s="26" t="s">
        <v>23</v>
      </c>
      <c r="L372" s="31">
        <f t="shared" si="13"/>
        <v>4597.1603999999998</v>
      </c>
      <c r="M372" s="31">
        <v>212.66</v>
      </c>
      <c r="N372" s="22">
        <f>_xlfn.XLOOKUP(Snitch_Fashion_Sales_cleaned!$J372,Table2[City],Table2[City_Key],"not found")</f>
        <v>5</v>
      </c>
      <c r="O372" s="21">
        <f>_xlfn.XLOOKUP(Snitch_Fashion_Sales_cleaned!$D372,Table4[Product_Name],Table4[Product_Key],"not found")</f>
        <v>20</v>
      </c>
      <c r="P372" s="25">
        <f>_xlfn.XLOOKUP(Snitch_Fashion_Sales_cleaned!$I372,Table3[Order_Date],Table3[Date_Key])</f>
        <v>213</v>
      </c>
    </row>
    <row r="373" spans="1:16" x14ac:dyDescent="0.3">
      <c r="A373" s="34">
        <v>1371</v>
      </c>
      <c r="B373" s="32" t="s">
        <v>419</v>
      </c>
      <c r="C373" s="32" t="s">
        <v>13</v>
      </c>
      <c r="D373" s="33" t="s">
        <v>98</v>
      </c>
      <c r="E373" s="34">
        <v>5</v>
      </c>
      <c r="F373" s="35">
        <v>2750.33</v>
      </c>
      <c r="G373" s="36">
        <v>0.51</v>
      </c>
      <c r="H373" s="35">
        <f t="shared" si="12"/>
        <v>13751.65</v>
      </c>
      <c r="I373" s="37">
        <v>45647</v>
      </c>
      <c r="J373" s="33" t="s">
        <v>22</v>
      </c>
      <c r="K373" s="33" t="s">
        <v>23</v>
      </c>
      <c r="L373" s="38">
        <f t="shared" si="13"/>
        <v>6738.3085000000001</v>
      </c>
      <c r="M373" s="38">
        <v>72.959999999999994</v>
      </c>
      <c r="N373" s="24">
        <f>_xlfn.XLOOKUP(Snitch_Fashion_Sales_cleaned!$J373,Table2[City],Table2[City_Key],"not found")</f>
        <v>3</v>
      </c>
      <c r="O373" s="23">
        <f>_xlfn.XLOOKUP(Snitch_Fashion_Sales_cleaned!$D373,Table4[Product_Name],Table4[Product_Key],"not found")</f>
        <v>21</v>
      </c>
      <c r="P373" s="32">
        <f>_xlfn.XLOOKUP(Snitch_Fashion_Sales_cleaned!$I373,Table3[Order_Date],Table3[Date_Key])</f>
        <v>5</v>
      </c>
    </row>
    <row r="374" spans="1:16" x14ac:dyDescent="0.3">
      <c r="A374" s="27">
        <v>1372</v>
      </c>
      <c r="B374" s="25" t="s">
        <v>420</v>
      </c>
      <c r="C374" s="25" t="s">
        <v>28</v>
      </c>
      <c r="D374" s="26" t="s">
        <v>39</v>
      </c>
      <c r="E374" s="27">
        <v>1</v>
      </c>
      <c r="F374" s="28">
        <v>2577.6350000000002</v>
      </c>
      <c r="G374" s="29">
        <v>0.19</v>
      </c>
      <c r="H374" s="28">
        <f t="shared" si="12"/>
        <v>2577.6350000000002</v>
      </c>
      <c r="I374" s="30">
        <v>45652</v>
      </c>
      <c r="J374" s="26" t="s">
        <v>15</v>
      </c>
      <c r="K374" s="26" t="s">
        <v>23</v>
      </c>
      <c r="L374" s="31">
        <f t="shared" si="13"/>
        <v>2087.8843500000003</v>
      </c>
      <c r="M374" s="31">
        <v>418.89</v>
      </c>
      <c r="N374" s="22">
        <f>_xlfn.XLOOKUP(Snitch_Fashion_Sales_cleaned!$J374,Table2[City],Table2[City_Key],"not found")</f>
        <v>1</v>
      </c>
      <c r="O374" s="21">
        <f>_xlfn.XLOOKUP(Snitch_Fashion_Sales_cleaned!$D374,Table4[Product_Name],Table4[Product_Key],"not found")</f>
        <v>8</v>
      </c>
      <c r="P374" s="25">
        <f>_xlfn.XLOOKUP(Snitch_Fashion_Sales_cleaned!$I374,Table3[Order_Date],Table3[Date_Key])</f>
        <v>214</v>
      </c>
    </row>
    <row r="375" spans="1:16" x14ac:dyDescent="0.3">
      <c r="A375" s="34">
        <v>1373</v>
      </c>
      <c r="B375" s="32" t="s">
        <v>421</v>
      </c>
      <c r="C375" s="32" t="s">
        <v>20</v>
      </c>
      <c r="D375" s="33" t="s">
        <v>118</v>
      </c>
      <c r="E375" s="34">
        <v>3.5</v>
      </c>
      <c r="F375" s="35">
        <v>3523.43</v>
      </c>
      <c r="G375" s="36">
        <v>0.19</v>
      </c>
      <c r="H375" s="35">
        <f t="shared" si="12"/>
        <v>12332.004999999999</v>
      </c>
      <c r="I375" s="37">
        <v>45647</v>
      </c>
      <c r="J375" s="33" t="s">
        <v>15</v>
      </c>
      <c r="K375" s="33" t="s">
        <v>23</v>
      </c>
      <c r="L375" s="38">
        <f t="shared" si="13"/>
        <v>9988.9240499999996</v>
      </c>
      <c r="M375" s="38">
        <v>-892.76</v>
      </c>
      <c r="N375" s="24">
        <f>_xlfn.XLOOKUP(Snitch_Fashion_Sales_cleaned!$J375,Table2[City],Table2[City_Key],"not found")</f>
        <v>1</v>
      </c>
      <c r="O375" s="23">
        <f>_xlfn.XLOOKUP(Snitch_Fashion_Sales_cleaned!$D375,Table4[Product_Name],Table4[Product_Key],"not found")</f>
        <v>23</v>
      </c>
      <c r="P375" s="32">
        <f>_xlfn.XLOOKUP(Snitch_Fashion_Sales_cleaned!$I375,Table3[Order_Date],Table3[Date_Key])</f>
        <v>5</v>
      </c>
    </row>
    <row r="376" spans="1:16" x14ac:dyDescent="0.3">
      <c r="A376" s="27">
        <v>1374</v>
      </c>
      <c r="B376" s="25" t="s">
        <v>422</v>
      </c>
      <c r="C376" s="25" t="s">
        <v>31</v>
      </c>
      <c r="D376" s="26" t="s">
        <v>68</v>
      </c>
      <c r="E376" s="27">
        <v>1</v>
      </c>
      <c r="F376" s="28">
        <v>2765.79</v>
      </c>
      <c r="G376" s="29">
        <v>0.51</v>
      </c>
      <c r="H376" s="28">
        <f t="shared" si="12"/>
        <v>2765.79</v>
      </c>
      <c r="I376" s="30">
        <v>45335</v>
      </c>
      <c r="J376" s="26" t="s">
        <v>2540</v>
      </c>
      <c r="K376" s="26" t="s">
        <v>23</v>
      </c>
      <c r="L376" s="31">
        <f t="shared" si="13"/>
        <v>1355.2371000000001</v>
      </c>
      <c r="M376" s="31">
        <v>338.80927500000001</v>
      </c>
      <c r="N376" s="22">
        <f>_xlfn.XLOOKUP(Snitch_Fashion_Sales_cleaned!$J376,Table2[City],Table2[City_Key],"not found")</f>
        <v>4</v>
      </c>
      <c r="O376" s="21">
        <f>_xlfn.XLOOKUP(Snitch_Fashion_Sales_cleaned!$D376,Table4[Product_Name],Table4[Product_Key],"not found")</f>
        <v>15</v>
      </c>
      <c r="P376" s="25">
        <f>_xlfn.XLOOKUP(Snitch_Fashion_Sales_cleaned!$I376,Table3[Order_Date],Table3[Date_Key])</f>
        <v>215</v>
      </c>
    </row>
    <row r="377" spans="1:16" x14ac:dyDescent="0.3">
      <c r="A377" s="34">
        <v>1375</v>
      </c>
      <c r="B377" s="32" t="s">
        <v>423</v>
      </c>
      <c r="C377" s="32" t="s">
        <v>13</v>
      </c>
      <c r="D377" s="33" t="s">
        <v>46</v>
      </c>
      <c r="E377" s="34">
        <v>3</v>
      </c>
      <c r="F377" s="35">
        <v>420.42</v>
      </c>
      <c r="G377" s="36">
        <v>0.51</v>
      </c>
      <c r="H377" s="35">
        <f t="shared" si="12"/>
        <v>1261.26</v>
      </c>
      <c r="I377" s="37">
        <v>45647</v>
      </c>
      <c r="J377" s="33" t="s">
        <v>52</v>
      </c>
      <c r="K377" s="33" t="s">
        <v>23</v>
      </c>
      <c r="L377" s="38">
        <f t="shared" si="13"/>
        <v>618.01739999999995</v>
      </c>
      <c r="M377" s="38">
        <v>154.50434999999999</v>
      </c>
      <c r="N377" s="24">
        <f>_xlfn.XLOOKUP(Snitch_Fashion_Sales_cleaned!$J377,Table2[City],Table2[City_Key],"not found")</f>
        <v>5</v>
      </c>
      <c r="O377" s="23">
        <f>_xlfn.XLOOKUP(Snitch_Fashion_Sales_cleaned!$D377,Table4[Product_Name],Table4[Product_Key],"not found")</f>
        <v>10</v>
      </c>
      <c r="P377" s="32">
        <f>_xlfn.XLOOKUP(Snitch_Fashion_Sales_cleaned!$I377,Table3[Order_Date],Table3[Date_Key])</f>
        <v>5</v>
      </c>
    </row>
    <row r="378" spans="1:16" x14ac:dyDescent="0.3">
      <c r="A378" s="27">
        <v>1376</v>
      </c>
      <c r="B378" s="25" t="s">
        <v>424</v>
      </c>
      <c r="C378" s="25" t="s">
        <v>28</v>
      </c>
      <c r="D378" s="26" t="s">
        <v>137</v>
      </c>
      <c r="E378" s="27">
        <v>4</v>
      </c>
      <c r="F378" s="28">
        <v>1447.28</v>
      </c>
      <c r="G378" s="29">
        <v>0.51</v>
      </c>
      <c r="H378" s="28">
        <f t="shared" si="12"/>
        <v>5789.12</v>
      </c>
      <c r="I378" s="30">
        <v>45500</v>
      </c>
      <c r="J378" s="26" t="s">
        <v>52</v>
      </c>
      <c r="K378" s="26" t="s">
        <v>23</v>
      </c>
      <c r="L378" s="31">
        <f t="shared" si="13"/>
        <v>2836.6687999999999</v>
      </c>
      <c r="M378" s="31">
        <v>175.33</v>
      </c>
      <c r="N378" s="22">
        <f>_xlfn.XLOOKUP(Snitch_Fashion_Sales_cleaned!$J378,Table2[City],Table2[City_Key],"not found")</f>
        <v>5</v>
      </c>
      <c r="O378" s="21">
        <f>_xlfn.XLOOKUP(Snitch_Fashion_Sales_cleaned!$D378,Table4[Product_Name],Table4[Product_Key],"not found")</f>
        <v>24</v>
      </c>
      <c r="P378" s="25">
        <f>_xlfn.XLOOKUP(Snitch_Fashion_Sales_cleaned!$I378,Table3[Order_Date],Table3[Date_Key])</f>
        <v>216</v>
      </c>
    </row>
    <row r="379" spans="1:16" x14ac:dyDescent="0.3">
      <c r="A379" s="34">
        <v>1377</v>
      </c>
      <c r="B379" s="32" t="s">
        <v>425</v>
      </c>
      <c r="C379" s="32" t="s">
        <v>20</v>
      </c>
      <c r="D379" s="33" t="s">
        <v>84</v>
      </c>
      <c r="E379" s="34">
        <v>3</v>
      </c>
      <c r="F379" s="35">
        <v>2537.59</v>
      </c>
      <c r="G379" s="36">
        <v>0.65</v>
      </c>
      <c r="H379" s="35">
        <f t="shared" si="12"/>
        <v>7612.77</v>
      </c>
      <c r="I379" s="37">
        <v>45647</v>
      </c>
      <c r="J379" s="33" t="s">
        <v>2540</v>
      </c>
      <c r="K379" s="33" t="s">
        <v>23</v>
      </c>
      <c r="L379" s="38">
        <f t="shared" si="13"/>
        <v>2664.4695000000002</v>
      </c>
      <c r="M379" s="38">
        <v>2229.9499999999998</v>
      </c>
      <c r="N379" s="24">
        <f>_xlfn.XLOOKUP(Snitch_Fashion_Sales_cleaned!$J379,Table2[City],Table2[City_Key],"not found")</f>
        <v>4</v>
      </c>
      <c r="O379" s="23">
        <f>_xlfn.XLOOKUP(Snitch_Fashion_Sales_cleaned!$D379,Table4[Product_Name],Table4[Product_Key],"not found")</f>
        <v>19</v>
      </c>
      <c r="P379" s="32">
        <f>_xlfn.XLOOKUP(Snitch_Fashion_Sales_cleaned!$I379,Table3[Order_Date],Table3[Date_Key])</f>
        <v>5</v>
      </c>
    </row>
    <row r="380" spans="1:16" x14ac:dyDescent="0.3">
      <c r="A380" s="27">
        <v>1378</v>
      </c>
      <c r="B380" s="25" t="s">
        <v>426</v>
      </c>
      <c r="C380" s="25" t="s">
        <v>20</v>
      </c>
      <c r="D380" s="26" t="s">
        <v>21</v>
      </c>
      <c r="E380" s="27">
        <v>5</v>
      </c>
      <c r="F380" s="28">
        <v>4581.26</v>
      </c>
      <c r="G380" s="29">
        <v>0.51</v>
      </c>
      <c r="H380" s="28">
        <f t="shared" si="12"/>
        <v>22906.300000000003</v>
      </c>
      <c r="I380" s="30">
        <v>45679</v>
      </c>
      <c r="J380" s="26" t="s">
        <v>2540</v>
      </c>
      <c r="K380" s="26" t="s">
        <v>23</v>
      </c>
      <c r="L380" s="31">
        <f t="shared" si="13"/>
        <v>11224.087000000001</v>
      </c>
      <c r="M380" s="31">
        <v>-345.1</v>
      </c>
      <c r="N380" s="22">
        <f>_xlfn.XLOOKUP(Snitch_Fashion_Sales_cleaned!$J380,Table2[City],Table2[City_Key],"not found")</f>
        <v>4</v>
      </c>
      <c r="O380" s="21">
        <f>_xlfn.XLOOKUP(Snitch_Fashion_Sales_cleaned!$D380,Table4[Product_Name],Table4[Product_Key],"not found")</f>
        <v>2</v>
      </c>
      <c r="P380" s="25">
        <f>_xlfn.XLOOKUP(Snitch_Fashion_Sales_cleaned!$I380,Table3[Order_Date],Table3[Date_Key])</f>
        <v>217</v>
      </c>
    </row>
    <row r="381" spans="1:16" x14ac:dyDescent="0.3">
      <c r="A381" s="34">
        <v>1013</v>
      </c>
      <c r="B381" s="32" t="s">
        <v>427</v>
      </c>
      <c r="C381" s="32" t="s">
        <v>20</v>
      </c>
      <c r="D381" s="33" t="s">
        <v>21</v>
      </c>
      <c r="E381" s="34">
        <v>2</v>
      </c>
      <c r="F381" s="35">
        <v>2579.8000000000002</v>
      </c>
      <c r="G381" s="36">
        <v>0.51</v>
      </c>
      <c r="H381" s="35">
        <f t="shared" si="12"/>
        <v>5159.6000000000004</v>
      </c>
      <c r="I381" s="37">
        <v>45574</v>
      </c>
      <c r="J381" s="33" t="s">
        <v>15</v>
      </c>
      <c r="K381" s="33" t="s">
        <v>23</v>
      </c>
      <c r="L381" s="38">
        <f t="shared" si="13"/>
        <v>2528.2040000000002</v>
      </c>
      <c r="M381" s="38">
        <v>1647.38</v>
      </c>
      <c r="N381" s="24">
        <f>_xlfn.XLOOKUP(Snitch_Fashion_Sales_cleaned!$J381,Table2[City],Table2[City_Key],"not found")</f>
        <v>1</v>
      </c>
      <c r="O381" s="23">
        <f>_xlfn.XLOOKUP(Snitch_Fashion_Sales_cleaned!$D381,Table4[Product_Name],Table4[Product_Key],"not found")</f>
        <v>2</v>
      </c>
      <c r="P381" s="32">
        <f>_xlfn.XLOOKUP(Snitch_Fashion_Sales_cleaned!$I381,Table3[Order_Date],Table3[Date_Key])</f>
        <v>218</v>
      </c>
    </row>
    <row r="382" spans="1:16" x14ac:dyDescent="0.3">
      <c r="A382" s="27">
        <v>1380</v>
      </c>
      <c r="B382" s="25" t="s">
        <v>428</v>
      </c>
      <c r="C382" s="25" t="s">
        <v>36</v>
      </c>
      <c r="D382" s="26" t="s">
        <v>87</v>
      </c>
      <c r="E382" s="27">
        <v>2</v>
      </c>
      <c r="F382" s="28">
        <v>2889.5349999999999</v>
      </c>
      <c r="G382" s="29">
        <v>0.51</v>
      </c>
      <c r="H382" s="28">
        <f t="shared" si="12"/>
        <v>5779.07</v>
      </c>
      <c r="I382" s="30">
        <v>45647</v>
      </c>
      <c r="J382" s="26" t="s">
        <v>15</v>
      </c>
      <c r="K382" s="26" t="s">
        <v>23</v>
      </c>
      <c r="L382" s="31">
        <f t="shared" si="13"/>
        <v>2831.7442999999998</v>
      </c>
      <c r="M382" s="31">
        <v>-475.94</v>
      </c>
      <c r="N382" s="22">
        <f>_xlfn.XLOOKUP(Snitch_Fashion_Sales_cleaned!$J382,Table2[City],Table2[City_Key],"not found")</f>
        <v>1</v>
      </c>
      <c r="O382" s="21">
        <f>_xlfn.XLOOKUP(Snitch_Fashion_Sales_cleaned!$D382,Table4[Product_Name],Table4[Product_Key],"not found")</f>
        <v>20</v>
      </c>
      <c r="P382" s="25">
        <f>_xlfn.XLOOKUP(Snitch_Fashion_Sales_cleaned!$I382,Table3[Order_Date],Table3[Date_Key])</f>
        <v>5</v>
      </c>
    </row>
    <row r="383" spans="1:16" x14ac:dyDescent="0.3">
      <c r="A383" s="34">
        <v>1381</v>
      </c>
      <c r="B383" s="32" t="s">
        <v>429</v>
      </c>
      <c r="C383" s="32" t="s">
        <v>13</v>
      </c>
      <c r="D383" s="33" t="s">
        <v>98</v>
      </c>
      <c r="E383" s="34">
        <v>1</v>
      </c>
      <c r="F383" s="35">
        <v>2750.33</v>
      </c>
      <c r="G383" s="36">
        <v>0.51</v>
      </c>
      <c r="H383" s="35">
        <f t="shared" si="12"/>
        <v>2750.33</v>
      </c>
      <c r="I383" s="37">
        <v>45486</v>
      </c>
      <c r="J383" s="33" t="s">
        <v>2540</v>
      </c>
      <c r="K383" s="33" t="s">
        <v>16</v>
      </c>
      <c r="L383" s="38">
        <f t="shared" si="13"/>
        <v>1347.6616999999999</v>
      </c>
      <c r="M383" s="38">
        <v>-136.30000000000001</v>
      </c>
      <c r="N383" s="24">
        <f>_xlfn.XLOOKUP(Snitch_Fashion_Sales_cleaned!$J383,Table2[City],Table2[City_Key],"not found")</f>
        <v>4</v>
      </c>
      <c r="O383" s="23">
        <f>_xlfn.XLOOKUP(Snitch_Fashion_Sales_cleaned!$D383,Table4[Product_Name],Table4[Product_Key],"not found")</f>
        <v>21</v>
      </c>
      <c r="P383" s="32">
        <f>_xlfn.XLOOKUP(Snitch_Fashion_Sales_cleaned!$I383,Table3[Order_Date],Table3[Date_Key])</f>
        <v>219</v>
      </c>
    </row>
    <row r="384" spans="1:16" x14ac:dyDescent="0.3">
      <c r="A384" s="27">
        <v>1382</v>
      </c>
      <c r="B384" s="25" t="s">
        <v>430</v>
      </c>
      <c r="C384" s="25" t="s">
        <v>13</v>
      </c>
      <c r="D384" s="26" t="s">
        <v>34</v>
      </c>
      <c r="E384" s="27">
        <v>3</v>
      </c>
      <c r="F384" s="28">
        <v>3008.6549999999997</v>
      </c>
      <c r="G384" s="29">
        <v>0.51</v>
      </c>
      <c r="H384" s="28">
        <f t="shared" si="12"/>
        <v>9025.9650000000001</v>
      </c>
      <c r="I384" s="30">
        <v>45549</v>
      </c>
      <c r="J384" s="26" t="s">
        <v>2540</v>
      </c>
      <c r="K384" s="26" t="s">
        <v>23</v>
      </c>
      <c r="L384" s="31">
        <f t="shared" si="13"/>
        <v>4422.7228500000001</v>
      </c>
      <c r="M384" s="31">
        <v>-165.59</v>
      </c>
      <c r="N384" s="22">
        <f>_xlfn.XLOOKUP(Snitch_Fashion_Sales_cleaned!$J384,Table2[City],Table2[City_Key],"not found")</f>
        <v>4</v>
      </c>
      <c r="O384" s="21">
        <f>_xlfn.XLOOKUP(Snitch_Fashion_Sales_cleaned!$D384,Table4[Product_Name],Table4[Product_Key],"not found")</f>
        <v>6</v>
      </c>
      <c r="P384" s="25">
        <f>_xlfn.XLOOKUP(Snitch_Fashion_Sales_cleaned!$I384,Table3[Order_Date],Table3[Date_Key])</f>
        <v>220</v>
      </c>
    </row>
    <row r="385" spans="1:16" x14ac:dyDescent="0.3">
      <c r="A385" s="34">
        <v>1383</v>
      </c>
      <c r="B385" s="32" t="s">
        <v>431</v>
      </c>
      <c r="C385" s="32" t="s">
        <v>36</v>
      </c>
      <c r="D385" s="33" t="s">
        <v>55</v>
      </c>
      <c r="E385" s="34">
        <v>5</v>
      </c>
      <c r="F385" s="35">
        <v>2409.13</v>
      </c>
      <c r="G385" s="36">
        <v>0.51</v>
      </c>
      <c r="H385" s="35">
        <f t="shared" si="12"/>
        <v>12045.650000000001</v>
      </c>
      <c r="I385" s="37">
        <v>45841</v>
      </c>
      <c r="J385" s="33" t="s">
        <v>43</v>
      </c>
      <c r="K385" s="33" t="s">
        <v>16</v>
      </c>
      <c r="L385" s="38">
        <f t="shared" si="13"/>
        <v>5902.3685000000005</v>
      </c>
      <c r="M385" s="38">
        <v>127.63</v>
      </c>
      <c r="N385" s="24">
        <f>_xlfn.XLOOKUP(Snitch_Fashion_Sales_cleaned!$J385,Table2[City],Table2[City_Key],"not found")</f>
        <v>6</v>
      </c>
      <c r="O385" s="23">
        <f>_xlfn.XLOOKUP(Snitch_Fashion_Sales_cleaned!$D385,Table4[Product_Name],Table4[Product_Key],"not found")</f>
        <v>12</v>
      </c>
      <c r="P385" s="32">
        <f>_xlfn.XLOOKUP(Snitch_Fashion_Sales_cleaned!$I385,Table3[Order_Date],Table3[Date_Key])</f>
        <v>221</v>
      </c>
    </row>
    <row r="386" spans="1:16" x14ac:dyDescent="0.3">
      <c r="A386" s="27">
        <v>1048</v>
      </c>
      <c r="B386" s="25" t="s">
        <v>432</v>
      </c>
      <c r="C386" s="25" t="s">
        <v>25</v>
      </c>
      <c r="D386" s="26" t="s">
        <v>62</v>
      </c>
      <c r="E386" s="27">
        <v>2</v>
      </c>
      <c r="F386" s="28">
        <v>2538.0450000000001</v>
      </c>
      <c r="G386" s="29">
        <v>0.51</v>
      </c>
      <c r="H386" s="28">
        <f t="shared" si="12"/>
        <v>5076.09</v>
      </c>
      <c r="I386" s="30">
        <v>45657</v>
      </c>
      <c r="J386" s="26" t="s">
        <v>18</v>
      </c>
      <c r="K386" s="26" t="s">
        <v>23</v>
      </c>
      <c r="L386" s="31">
        <f t="shared" si="13"/>
        <v>2487.2840999999999</v>
      </c>
      <c r="M386" s="31">
        <v>2393.9899999999998</v>
      </c>
      <c r="N386" s="22">
        <f>_xlfn.XLOOKUP(Snitch_Fashion_Sales_cleaned!$J386,Table2[City],Table2[City_Key],"not found")</f>
        <v>2</v>
      </c>
      <c r="O386" s="21">
        <f>_xlfn.XLOOKUP(Snitch_Fashion_Sales_cleaned!$D386,Table4[Product_Name],Table4[Product_Key],"not found")</f>
        <v>14</v>
      </c>
      <c r="P386" s="25">
        <f>_xlfn.XLOOKUP(Snitch_Fashion_Sales_cleaned!$I386,Table3[Order_Date],Table3[Date_Key])</f>
        <v>82</v>
      </c>
    </row>
    <row r="387" spans="1:16" x14ac:dyDescent="0.3">
      <c r="A387" s="34">
        <v>1385</v>
      </c>
      <c r="B387" s="32" t="s">
        <v>433</v>
      </c>
      <c r="C387" s="32" t="s">
        <v>36</v>
      </c>
      <c r="D387" s="33" t="s">
        <v>59</v>
      </c>
      <c r="E387" s="34">
        <v>1</v>
      </c>
      <c r="F387" s="35">
        <v>2765.26</v>
      </c>
      <c r="G387" s="36">
        <v>0.51</v>
      </c>
      <c r="H387" s="35">
        <f t="shared" si="12"/>
        <v>2765.26</v>
      </c>
      <c r="I387" s="37">
        <v>45647</v>
      </c>
      <c r="J387" s="33" t="s">
        <v>2540</v>
      </c>
      <c r="K387" s="33" t="s">
        <v>16</v>
      </c>
      <c r="L387" s="38">
        <f t="shared" si="13"/>
        <v>1354.9774</v>
      </c>
      <c r="M387" s="38">
        <v>338.74435</v>
      </c>
      <c r="N387" s="24">
        <f>_xlfn.XLOOKUP(Snitch_Fashion_Sales_cleaned!$J387,Table2[City],Table2[City_Key],"not found")</f>
        <v>4</v>
      </c>
      <c r="O387" s="23">
        <f>_xlfn.XLOOKUP(Snitch_Fashion_Sales_cleaned!$D387,Table4[Product_Name],Table4[Product_Key],"not found")</f>
        <v>13</v>
      </c>
      <c r="P387" s="32">
        <f>_xlfn.XLOOKUP(Snitch_Fashion_Sales_cleaned!$I387,Table3[Order_Date],Table3[Date_Key])</f>
        <v>5</v>
      </c>
    </row>
    <row r="388" spans="1:16" x14ac:dyDescent="0.3">
      <c r="A388" s="27">
        <v>1386</v>
      </c>
      <c r="B388" s="25" t="s">
        <v>434</v>
      </c>
      <c r="C388" s="25" t="s">
        <v>25</v>
      </c>
      <c r="D388" s="26" t="s">
        <v>82</v>
      </c>
      <c r="E388" s="27">
        <v>5</v>
      </c>
      <c r="F388" s="28">
        <v>4439.8100000000004</v>
      </c>
      <c r="G388" s="29">
        <v>0.51</v>
      </c>
      <c r="H388" s="28">
        <f t="shared" si="12"/>
        <v>22199.050000000003</v>
      </c>
      <c r="I388" s="30">
        <v>45608</v>
      </c>
      <c r="J388" s="26" t="s">
        <v>15</v>
      </c>
      <c r="K388" s="26" t="s">
        <v>23</v>
      </c>
      <c r="L388" s="31">
        <f t="shared" si="13"/>
        <v>10877.534500000002</v>
      </c>
      <c r="M388" s="31">
        <v>1669.09</v>
      </c>
      <c r="N388" s="22">
        <f>_xlfn.XLOOKUP(Snitch_Fashion_Sales_cleaned!$J388,Table2[City],Table2[City_Key],"not found")</f>
        <v>1</v>
      </c>
      <c r="O388" s="21">
        <f>_xlfn.XLOOKUP(Snitch_Fashion_Sales_cleaned!$D388,Table4[Product_Name],Table4[Product_Key],"not found")</f>
        <v>18</v>
      </c>
      <c r="P388" s="25">
        <f>_xlfn.XLOOKUP(Snitch_Fashion_Sales_cleaned!$I388,Table3[Order_Date],Table3[Date_Key])</f>
        <v>126</v>
      </c>
    </row>
    <row r="389" spans="1:16" x14ac:dyDescent="0.3">
      <c r="A389" s="34">
        <v>1387</v>
      </c>
      <c r="B389" s="32" t="s">
        <v>435</v>
      </c>
      <c r="C389" s="32" t="s">
        <v>20</v>
      </c>
      <c r="D389" s="33" t="s">
        <v>21</v>
      </c>
      <c r="E389" s="34">
        <v>3</v>
      </c>
      <c r="F389" s="35">
        <v>2579.8000000000002</v>
      </c>
      <c r="G389" s="36">
        <v>0.51</v>
      </c>
      <c r="H389" s="35">
        <f t="shared" si="12"/>
        <v>7739.4000000000005</v>
      </c>
      <c r="I389" s="37">
        <v>45507</v>
      </c>
      <c r="J389" s="33" t="s">
        <v>43</v>
      </c>
      <c r="K389" s="33" t="s">
        <v>23</v>
      </c>
      <c r="L389" s="38">
        <f t="shared" si="13"/>
        <v>3792.306</v>
      </c>
      <c r="M389" s="38">
        <v>-505.47</v>
      </c>
      <c r="N389" s="24">
        <f>_xlfn.XLOOKUP(Snitch_Fashion_Sales_cleaned!$J389,Table2[City],Table2[City_Key],"not found")</f>
        <v>6</v>
      </c>
      <c r="O389" s="23">
        <f>_xlfn.XLOOKUP(Snitch_Fashion_Sales_cleaned!$D389,Table4[Product_Name],Table4[Product_Key],"not found")</f>
        <v>2</v>
      </c>
      <c r="P389" s="32">
        <f>_xlfn.XLOOKUP(Snitch_Fashion_Sales_cleaned!$I389,Table3[Order_Date],Table3[Date_Key])</f>
        <v>222</v>
      </c>
    </row>
    <row r="390" spans="1:16" x14ac:dyDescent="0.3">
      <c r="A390" s="27">
        <v>1388</v>
      </c>
      <c r="B390" s="25" t="s">
        <v>436</v>
      </c>
      <c r="C390" s="25" t="s">
        <v>36</v>
      </c>
      <c r="D390" s="26" t="s">
        <v>37</v>
      </c>
      <c r="E390" s="27">
        <v>4</v>
      </c>
      <c r="F390" s="28">
        <v>2975.64</v>
      </c>
      <c r="G390" s="29">
        <v>0.51</v>
      </c>
      <c r="H390" s="28">
        <f t="shared" ref="H390:H453" si="14">E390*F390</f>
        <v>11902.56</v>
      </c>
      <c r="I390" s="30">
        <v>45433</v>
      </c>
      <c r="J390" s="26" t="s">
        <v>15</v>
      </c>
      <c r="K390" s="26" t="s">
        <v>16</v>
      </c>
      <c r="L390" s="31">
        <f t="shared" ref="L390:L453" si="15">H390*(1-G390)</f>
        <v>5832.2543999999998</v>
      </c>
      <c r="M390" s="31">
        <v>475.79</v>
      </c>
      <c r="N390" s="22">
        <f>_xlfn.XLOOKUP(Snitch_Fashion_Sales_cleaned!$J390,Table2[City],Table2[City_Key],"not found")</f>
        <v>1</v>
      </c>
      <c r="O390" s="21">
        <f>_xlfn.XLOOKUP(Snitch_Fashion_Sales_cleaned!$D390,Table4[Product_Name],Table4[Product_Key],"not found")</f>
        <v>7</v>
      </c>
      <c r="P390" s="25">
        <f>_xlfn.XLOOKUP(Snitch_Fashion_Sales_cleaned!$I390,Table3[Order_Date],Table3[Date_Key])</f>
        <v>128</v>
      </c>
    </row>
    <row r="391" spans="1:16" x14ac:dyDescent="0.3">
      <c r="A391" s="34">
        <v>1389</v>
      </c>
      <c r="B391" s="32" t="s">
        <v>437</v>
      </c>
      <c r="C391" s="32" t="s">
        <v>36</v>
      </c>
      <c r="D391" s="33" t="s">
        <v>59</v>
      </c>
      <c r="E391" s="34">
        <v>2</v>
      </c>
      <c r="F391" s="35">
        <v>2742.38</v>
      </c>
      <c r="G391" s="36">
        <v>0.51</v>
      </c>
      <c r="H391" s="35">
        <f t="shared" si="14"/>
        <v>5484.76</v>
      </c>
      <c r="I391" s="37">
        <v>45132</v>
      </c>
      <c r="J391" s="33" t="s">
        <v>18</v>
      </c>
      <c r="K391" s="33" t="s">
        <v>23</v>
      </c>
      <c r="L391" s="38">
        <f t="shared" si="15"/>
        <v>2687.5324000000001</v>
      </c>
      <c r="M391" s="38">
        <v>1987.46</v>
      </c>
      <c r="N391" s="24">
        <f>_xlfn.XLOOKUP(Snitch_Fashion_Sales_cleaned!$J391,Table2[City],Table2[City_Key],"not found")</f>
        <v>2</v>
      </c>
      <c r="O391" s="23">
        <f>_xlfn.XLOOKUP(Snitch_Fashion_Sales_cleaned!$D391,Table4[Product_Name],Table4[Product_Key],"not found")</f>
        <v>13</v>
      </c>
      <c r="P391" s="32">
        <f>_xlfn.XLOOKUP(Snitch_Fashion_Sales_cleaned!$I391,Table3[Order_Date],Table3[Date_Key])</f>
        <v>223</v>
      </c>
    </row>
    <row r="392" spans="1:16" x14ac:dyDescent="0.3">
      <c r="A392" s="27">
        <v>1390</v>
      </c>
      <c r="B392" s="25" t="s">
        <v>438</v>
      </c>
      <c r="C392" s="25" t="s">
        <v>13</v>
      </c>
      <c r="D392" s="26" t="s">
        <v>14</v>
      </c>
      <c r="E392" s="27">
        <v>4</v>
      </c>
      <c r="F392" s="28">
        <v>2366.6149999999998</v>
      </c>
      <c r="G392" s="29">
        <v>0.51</v>
      </c>
      <c r="H392" s="28">
        <f t="shared" si="14"/>
        <v>9466.4599999999991</v>
      </c>
      <c r="I392" s="30">
        <v>45647</v>
      </c>
      <c r="J392" s="26" t="s">
        <v>43</v>
      </c>
      <c r="K392" s="26" t="s">
        <v>23</v>
      </c>
      <c r="L392" s="31">
        <f t="shared" si="15"/>
        <v>4638.5653999999995</v>
      </c>
      <c r="M392" s="31">
        <v>1789.75</v>
      </c>
      <c r="N392" s="22">
        <f>_xlfn.XLOOKUP(Snitch_Fashion_Sales_cleaned!$J392,Table2[City],Table2[City_Key],"not found")</f>
        <v>6</v>
      </c>
      <c r="O392" s="21">
        <f>_xlfn.XLOOKUP(Snitch_Fashion_Sales_cleaned!$D392,Table4[Product_Name],Table4[Product_Key],"not found")</f>
        <v>1</v>
      </c>
      <c r="P392" s="25">
        <f>_xlfn.XLOOKUP(Snitch_Fashion_Sales_cleaned!$I392,Table3[Order_Date],Table3[Date_Key])</f>
        <v>5</v>
      </c>
    </row>
    <row r="393" spans="1:16" x14ac:dyDescent="0.3">
      <c r="A393" s="34">
        <v>1391</v>
      </c>
      <c r="B393" s="32" t="s">
        <v>439</v>
      </c>
      <c r="C393" s="32" t="s">
        <v>25</v>
      </c>
      <c r="D393" s="33" t="s">
        <v>62</v>
      </c>
      <c r="E393" s="34">
        <v>4</v>
      </c>
      <c r="F393" s="35">
        <v>2213.79</v>
      </c>
      <c r="G393" s="36">
        <v>0.01</v>
      </c>
      <c r="H393" s="35">
        <f t="shared" si="14"/>
        <v>8855.16</v>
      </c>
      <c r="I393" s="37">
        <v>45738</v>
      </c>
      <c r="J393" s="33" t="s">
        <v>52</v>
      </c>
      <c r="K393" s="33" t="s">
        <v>23</v>
      </c>
      <c r="L393" s="38">
        <f t="shared" si="15"/>
        <v>8766.6083999999992</v>
      </c>
      <c r="M393" s="38">
        <v>418.24</v>
      </c>
      <c r="N393" s="24">
        <f>_xlfn.XLOOKUP(Snitch_Fashion_Sales_cleaned!$J393,Table2[City],Table2[City_Key],"not found")</f>
        <v>5</v>
      </c>
      <c r="O393" s="23">
        <f>_xlfn.XLOOKUP(Snitch_Fashion_Sales_cleaned!$D393,Table4[Product_Name],Table4[Product_Key],"not found")</f>
        <v>14</v>
      </c>
      <c r="P393" s="32">
        <f>_xlfn.XLOOKUP(Snitch_Fashion_Sales_cleaned!$I393,Table3[Order_Date],Table3[Date_Key])</f>
        <v>224</v>
      </c>
    </row>
    <row r="394" spans="1:16" x14ac:dyDescent="0.3">
      <c r="A394" s="27">
        <v>1014</v>
      </c>
      <c r="B394" s="25" t="s">
        <v>440</v>
      </c>
      <c r="C394" s="25" t="s">
        <v>13</v>
      </c>
      <c r="D394" s="26" t="s">
        <v>98</v>
      </c>
      <c r="E394" s="27">
        <v>5</v>
      </c>
      <c r="F394" s="28">
        <v>784.1</v>
      </c>
      <c r="G394" s="29">
        <v>0.51</v>
      </c>
      <c r="H394" s="28">
        <f t="shared" si="14"/>
        <v>3920.5</v>
      </c>
      <c r="I394" s="30">
        <v>45693</v>
      </c>
      <c r="J394" s="26" t="s">
        <v>15</v>
      </c>
      <c r="K394" s="26" t="s">
        <v>23</v>
      </c>
      <c r="L394" s="31">
        <f t="shared" si="15"/>
        <v>1921.0450000000001</v>
      </c>
      <c r="M394" s="31">
        <v>401.24</v>
      </c>
      <c r="N394" s="22">
        <f>_xlfn.XLOOKUP(Snitch_Fashion_Sales_cleaned!$J394,Table2[City],Table2[City_Key],"not found")</f>
        <v>1</v>
      </c>
      <c r="O394" s="21">
        <f>_xlfn.XLOOKUP(Snitch_Fashion_Sales_cleaned!$D394,Table4[Product_Name],Table4[Product_Key],"not found")</f>
        <v>21</v>
      </c>
      <c r="P394" s="25">
        <f>_xlfn.XLOOKUP(Snitch_Fashion_Sales_cleaned!$I394,Table3[Order_Date],Table3[Date_Key])</f>
        <v>204</v>
      </c>
    </row>
    <row r="395" spans="1:16" x14ac:dyDescent="0.3">
      <c r="A395" s="34">
        <v>1393</v>
      </c>
      <c r="B395" s="32" t="s">
        <v>441</v>
      </c>
      <c r="C395" s="32" t="s">
        <v>20</v>
      </c>
      <c r="D395" s="33" t="s">
        <v>76</v>
      </c>
      <c r="E395" s="34">
        <v>6</v>
      </c>
      <c r="F395" s="35">
        <v>2229.4899999999998</v>
      </c>
      <c r="G395" s="36">
        <v>0.51</v>
      </c>
      <c r="H395" s="35">
        <f t="shared" si="14"/>
        <v>13376.939999999999</v>
      </c>
      <c r="I395" s="37">
        <v>45647</v>
      </c>
      <c r="J395" s="33" t="s">
        <v>52</v>
      </c>
      <c r="K395" s="33" t="s">
        <v>16</v>
      </c>
      <c r="L395" s="38">
        <f t="shared" si="15"/>
        <v>6554.7005999999992</v>
      </c>
      <c r="M395" s="38">
        <v>2001.24</v>
      </c>
      <c r="N395" s="24">
        <f>_xlfn.XLOOKUP(Snitch_Fashion_Sales_cleaned!$J395,Table2[City],Table2[City_Key],"not found")</f>
        <v>5</v>
      </c>
      <c r="O395" s="23">
        <f>_xlfn.XLOOKUP(Snitch_Fashion_Sales_cleaned!$D395,Table4[Product_Name],Table4[Product_Key],"not found")</f>
        <v>16</v>
      </c>
      <c r="P395" s="32">
        <f>_xlfn.XLOOKUP(Snitch_Fashion_Sales_cleaned!$I395,Table3[Order_Date],Table3[Date_Key])</f>
        <v>5</v>
      </c>
    </row>
    <row r="396" spans="1:16" x14ac:dyDescent="0.3">
      <c r="A396" s="27">
        <v>1394</v>
      </c>
      <c r="B396" s="25" t="s">
        <v>442</v>
      </c>
      <c r="C396" s="25" t="s">
        <v>20</v>
      </c>
      <c r="D396" s="26" t="s">
        <v>76</v>
      </c>
      <c r="E396" s="27">
        <v>3</v>
      </c>
      <c r="F396" s="28">
        <v>1218.6500000000001</v>
      </c>
      <c r="G396" s="29">
        <v>0.51</v>
      </c>
      <c r="H396" s="28">
        <f t="shared" si="14"/>
        <v>3655.9500000000003</v>
      </c>
      <c r="I396" s="30">
        <v>45806</v>
      </c>
      <c r="J396" s="26" t="s">
        <v>52</v>
      </c>
      <c r="K396" s="26" t="s">
        <v>16</v>
      </c>
      <c r="L396" s="31">
        <f t="shared" si="15"/>
        <v>1791.4155000000001</v>
      </c>
      <c r="M396" s="31">
        <v>447.85387500000002</v>
      </c>
      <c r="N396" s="22">
        <f>_xlfn.XLOOKUP(Snitch_Fashion_Sales_cleaned!$J396,Table2[City],Table2[City_Key],"not found")</f>
        <v>5</v>
      </c>
      <c r="O396" s="21">
        <f>_xlfn.XLOOKUP(Snitch_Fashion_Sales_cleaned!$D396,Table4[Product_Name],Table4[Product_Key],"not found")</f>
        <v>16</v>
      </c>
      <c r="P396" s="25">
        <f>_xlfn.XLOOKUP(Snitch_Fashion_Sales_cleaned!$I396,Table3[Order_Date],Table3[Date_Key])</f>
        <v>183</v>
      </c>
    </row>
    <row r="397" spans="1:16" x14ac:dyDescent="0.3">
      <c r="A397" s="34">
        <v>1395</v>
      </c>
      <c r="B397" s="32" t="s">
        <v>443</v>
      </c>
      <c r="C397" s="32" t="s">
        <v>36</v>
      </c>
      <c r="D397" s="33" t="s">
        <v>59</v>
      </c>
      <c r="E397" s="34">
        <v>3</v>
      </c>
      <c r="F397" s="35">
        <v>2765.26</v>
      </c>
      <c r="G397" s="36">
        <v>0.51</v>
      </c>
      <c r="H397" s="35">
        <f t="shared" si="14"/>
        <v>8295.7800000000007</v>
      </c>
      <c r="I397" s="37">
        <v>45393</v>
      </c>
      <c r="J397" s="33" t="s">
        <v>22</v>
      </c>
      <c r="K397" s="33" t="s">
        <v>23</v>
      </c>
      <c r="L397" s="38">
        <f t="shared" si="15"/>
        <v>4064.9322000000002</v>
      </c>
      <c r="M397" s="38">
        <v>-357.08</v>
      </c>
      <c r="N397" s="24">
        <f>_xlfn.XLOOKUP(Snitch_Fashion_Sales_cleaned!$J397,Table2[City],Table2[City_Key],"not found")</f>
        <v>3</v>
      </c>
      <c r="O397" s="23">
        <f>_xlfn.XLOOKUP(Snitch_Fashion_Sales_cleaned!$D397,Table4[Product_Name],Table4[Product_Key],"not found")</f>
        <v>13</v>
      </c>
      <c r="P397" s="32">
        <f>_xlfn.XLOOKUP(Snitch_Fashion_Sales_cleaned!$I397,Table3[Order_Date],Table3[Date_Key])</f>
        <v>81</v>
      </c>
    </row>
    <row r="398" spans="1:16" x14ac:dyDescent="0.3">
      <c r="A398" s="27">
        <v>1396</v>
      </c>
      <c r="B398" s="25" t="s">
        <v>444</v>
      </c>
      <c r="C398" s="25" t="s">
        <v>13</v>
      </c>
      <c r="D398" s="26" t="s">
        <v>46</v>
      </c>
      <c r="E398" s="27">
        <v>2</v>
      </c>
      <c r="F398" s="28">
        <v>3663.65</v>
      </c>
      <c r="G398" s="29">
        <v>0.26</v>
      </c>
      <c r="H398" s="28">
        <f t="shared" si="14"/>
        <v>7327.3</v>
      </c>
      <c r="I398" s="30">
        <v>45647</v>
      </c>
      <c r="J398" s="26" t="s">
        <v>18</v>
      </c>
      <c r="K398" s="26" t="s">
        <v>23</v>
      </c>
      <c r="L398" s="31">
        <f t="shared" si="15"/>
        <v>5422.2020000000002</v>
      </c>
      <c r="M398" s="31">
        <v>1553.44</v>
      </c>
      <c r="N398" s="22">
        <f>_xlfn.XLOOKUP(Snitch_Fashion_Sales_cleaned!$J398,Table2[City],Table2[City_Key],"not found")</f>
        <v>2</v>
      </c>
      <c r="O398" s="21">
        <f>_xlfn.XLOOKUP(Snitch_Fashion_Sales_cleaned!$D398,Table4[Product_Name],Table4[Product_Key],"not found")</f>
        <v>10</v>
      </c>
      <c r="P398" s="25">
        <f>_xlfn.XLOOKUP(Snitch_Fashion_Sales_cleaned!$I398,Table3[Order_Date],Table3[Date_Key])</f>
        <v>5</v>
      </c>
    </row>
    <row r="399" spans="1:16" x14ac:dyDescent="0.3">
      <c r="A399" s="34">
        <v>1397</v>
      </c>
      <c r="B399" s="32" t="s">
        <v>445</v>
      </c>
      <c r="C399" s="32" t="s">
        <v>20</v>
      </c>
      <c r="D399" s="33" t="s">
        <v>118</v>
      </c>
      <c r="E399" s="34">
        <v>3.5</v>
      </c>
      <c r="F399" s="35">
        <v>2752.99</v>
      </c>
      <c r="G399" s="36">
        <v>0.51</v>
      </c>
      <c r="H399" s="35">
        <f t="shared" si="14"/>
        <v>9635.4650000000001</v>
      </c>
      <c r="I399" s="37">
        <v>45723</v>
      </c>
      <c r="J399" s="33" t="s">
        <v>2540</v>
      </c>
      <c r="K399" s="33" t="s">
        <v>16</v>
      </c>
      <c r="L399" s="38">
        <f t="shared" si="15"/>
        <v>4721.3778499999999</v>
      </c>
      <c r="M399" s="38">
        <v>1239.6199999999999</v>
      </c>
      <c r="N399" s="24">
        <f>_xlfn.XLOOKUP(Snitch_Fashion_Sales_cleaned!$J399,Table2[City],Table2[City_Key],"not found")</f>
        <v>4</v>
      </c>
      <c r="O399" s="23">
        <f>_xlfn.XLOOKUP(Snitch_Fashion_Sales_cleaned!$D399,Table4[Product_Name],Table4[Product_Key],"not found")</f>
        <v>23</v>
      </c>
      <c r="P399" s="32">
        <f>_xlfn.XLOOKUP(Snitch_Fashion_Sales_cleaned!$I399,Table3[Order_Date],Table3[Date_Key])</f>
        <v>28</v>
      </c>
    </row>
    <row r="400" spans="1:16" x14ac:dyDescent="0.3">
      <c r="A400" s="27">
        <v>1398</v>
      </c>
      <c r="B400" s="25" t="s">
        <v>446</v>
      </c>
      <c r="C400" s="25" t="s">
        <v>36</v>
      </c>
      <c r="D400" s="26" t="s">
        <v>37</v>
      </c>
      <c r="E400" s="27">
        <v>4</v>
      </c>
      <c r="F400" s="28">
        <v>2975.64</v>
      </c>
      <c r="G400" s="29">
        <v>0.51</v>
      </c>
      <c r="H400" s="28">
        <f t="shared" si="14"/>
        <v>11902.56</v>
      </c>
      <c r="I400" s="30">
        <v>45744</v>
      </c>
      <c r="J400" s="26" t="s">
        <v>52</v>
      </c>
      <c r="K400" s="26" t="s">
        <v>23</v>
      </c>
      <c r="L400" s="31">
        <f t="shared" si="15"/>
        <v>5832.2543999999998</v>
      </c>
      <c r="M400" s="31">
        <v>-43.7</v>
      </c>
      <c r="N400" s="22">
        <f>_xlfn.XLOOKUP(Snitch_Fashion_Sales_cleaned!$J400,Table2[City],Table2[City_Key],"not found")</f>
        <v>5</v>
      </c>
      <c r="O400" s="21">
        <f>_xlfn.XLOOKUP(Snitch_Fashion_Sales_cleaned!$D400,Table4[Product_Name],Table4[Product_Key],"not found")</f>
        <v>7</v>
      </c>
      <c r="P400" s="25">
        <f>_xlfn.XLOOKUP(Snitch_Fashion_Sales_cleaned!$I400,Table3[Order_Date],Table3[Date_Key])</f>
        <v>225</v>
      </c>
    </row>
    <row r="401" spans="1:16" x14ac:dyDescent="0.3">
      <c r="A401" s="34">
        <v>1399</v>
      </c>
      <c r="B401" s="32" t="s">
        <v>447</v>
      </c>
      <c r="C401" s="32" t="s">
        <v>20</v>
      </c>
      <c r="D401" s="33" t="s">
        <v>84</v>
      </c>
      <c r="E401" s="34">
        <v>4</v>
      </c>
      <c r="F401" s="35">
        <v>2537.59</v>
      </c>
      <c r="G401" s="36">
        <v>0.35</v>
      </c>
      <c r="H401" s="35">
        <f t="shared" si="14"/>
        <v>10150.36</v>
      </c>
      <c r="I401" s="37">
        <v>45596</v>
      </c>
      <c r="J401" s="33" t="s">
        <v>15</v>
      </c>
      <c r="K401" s="33" t="s">
        <v>16</v>
      </c>
      <c r="L401" s="38">
        <f t="shared" si="15"/>
        <v>6597.7340000000004</v>
      </c>
      <c r="M401" s="38">
        <v>-444.08</v>
      </c>
      <c r="N401" s="24">
        <f>_xlfn.XLOOKUP(Snitch_Fashion_Sales_cleaned!$J401,Table2[City],Table2[City_Key],"not found")</f>
        <v>1</v>
      </c>
      <c r="O401" s="23">
        <f>_xlfn.XLOOKUP(Snitch_Fashion_Sales_cleaned!$D401,Table4[Product_Name],Table4[Product_Key],"not found")</f>
        <v>19</v>
      </c>
      <c r="P401" s="32">
        <f>_xlfn.XLOOKUP(Snitch_Fashion_Sales_cleaned!$I401,Table3[Order_Date],Table3[Date_Key])</f>
        <v>226</v>
      </c>
    </row>
    <row r="402" spans="1:16" x14ac:dyDescent="0.3">
      <c r="A402" s="27">
        <v>1400</v>
      </c>
      <c r="B402" s="25" t="s">
        <v>448</v>
      </c>
      <c r="C402" s="25" t="s">
        <v>31</v>
      </c>
      <c r="D402" s="26" t="s">
        <v>68</v>
      </c>
      <c r="E402" s="27">
        <v>4</v>
      </c>
      <c r="F402" s="28">
        <v>2765.79</v>
      </c>
      <c r="G402" s="29">
        <v>0.51</v>
      </c>
      <c r="H402" s="28">
        <f t="shared" si="14"/>
        <v>11063.16</v>
      </c>
      <c r="I402" s="30">
        <v>45715</v>
      </c>
      <c r="J402" s="26" t="s">
        <v>15</v>
      </c>
      <c r="K402" s="26" t="s">
        <v>23</v>
      </c>
      <c r="L402" s="31">
        <f t="shared" si="15"/>
        <v>5420.9484000000002</v>
      </c>
      <c r="M402" s="31">
        <v>1385.55</v>
      </c>
      <c r="N402" s="22">
        <f>_xlfn.XLOOKUP(Snitch_Fashion_Sales_cleaned!$J402,Table2[City],Table2[City_Key],"not found")</f>
        <v>1</v>
      </c>
      <c r="O402" s="21">
        <f>_xlfn.XLOOKUP(Snitch_Fashion_Sales_cleaned!$D402,Table4[Product_Name],Table4[Product_Key],"not found")</f>
        <v>15</v>
      </c>
      <c r="P402" s="25">
        <f>_xlfn.XLOOKUP(Snitch_Fashion_Sales_cleaned!$I402,Table3[Order_Date],Table3[Date_Key])</f>
        <v>1</v>
      </c>
    </row>
    <row r="403" spans="1:16" x14ac:dyDescent="0.3">
      <c r="A403" s="34">
        <v>1401</v>
      </c>
      <c r="B403" s="32" t="s">
        <v>449</v>
      </c>
      <c r="C403" s="32" t="s">
        <v>31</v>
      </c>
      <c r="D403" s="33" t="s">
        <v>68</v>
      </c>
      <c r="E403" s="34">
        <v>4</v>
      </c>
      <c r="F403" s="35">
        <v>2765.79</v>
      </c>
      <c r="G403" s="36">
        <v>0.51</v>
      </c>
      <c r="H403" s="35">
        <f t="shared" si="14"/>
        <v>11063.16</v>
      </c>
      <c r="I403" s="37">
        <v>45570</v>
      </c>
      <c r="J403" s="33" t="s">
        <v>52</v>
      </c>
      <c r="K403" s="33" t="s">
        <v>23</v>
      </c>
      <c r="L403" s="38">
        <f t="shared" si="15"/>
        <v>5420.9484000000002</v>
      </c>
      <c r="M403" s="38">
        <v>-751.05</v>
      </c>
      <c r="N403" s="24">
        <f>_xlfn.XLOOKUP(Snitch_Fashion_Sales_cleaned!$J403,Table2[City],Table2[City_Key],"not found")</f>
        <v>5</v>
      </c>
      <c r="O403" s="23">
        <f>_xlfn.XLOOKUP(Snitch_Fashion_Sales_cleaned!$D403,Table4[Product_Name],Table4[Product_Key],"not found")</f>
        <v>15</v>
      </c>
      <c r="P403" s="32">
        <f>_xlfn.XLOOKUP(Snitch_Fashion_Sales_cleaned!$I403,Table3[Order_Date],Table3[Date_Key])</f>
        <v>95</v>
      </c>
    </row>
    <row r="404" spans="1:16" x14ac:dyDescent="0.3">
      <c r="A404" s="27">
        <v>1402</v>
      </c>
      <c r="B404" s="25" t="s">
        <v>450</v>
      </c>
      <c r="C404" s="25" t="s">
        <v>28</v>
      </c>
      <c r="D404" s="26" t="s">
        <v>116</v>
      </c>
      <c r="E404" s="27">
        <v>4</v>
      </c>
      <c r="F404" s="28">
        <v>603.51</v>
      </c>
      <c r="G404" s="29">
        <v>0.51</v>
      </c>
      <c r="H404" s="28">
        <f t="shared" si="14"/>
        <v>2414.04</v>
      </c>
      <c r="I404" s="30">
        <v>45673</v>
      </c>
      <c r="J404" s="26" t="s">
        <v>52</v>
      </c>
      <c r="K404" s="26" t="s">
        <v>16</v>
      </c>
      <c r="L404" s="31">
        <f t="shared" si="15"/>
        <v>1182.8796</v>
      </c>
      <c r="M404" s="31">
        <v>982.01</v>
      </c>
      <c r="N404" s="22">
        <f>_xlfn.XLOOKUP(Snitch_Fashion_Sales_cleaned!$J404,Table2[City],Table2[City_Key],"not found")</f>
        <v>5</v>
      </c>
      <c r="O404" s="21">
        <f>_xlfn.XLOOKUP(Snitch_Fashion_Sales_cleaned!$D404,Table4[Product_Name],Table4[Product_Key],"not found")</f>
        <v>22</v>
      </c>
      <c r="P404" s="25">
        <f>_xlfn.XLOOKUP(Snitch_Fashion_Sales_cleaned!$I404,Table3[Order_Date],Table3[Date_Key])</f>
        <v>228</v>
      </c>
    </row>
    <row r="405" spans="1:16" x14ac:dyDescent="0.3">
      <c r="A405" s="34">
        <v>1403</v>
      </c>
      <c r="B405" s="32" t="s">
        <v>451</v>
      </c>
      <c r="C405" s="32" t="s">
        <v>31</v>
      </c>
      <c r="D405" s="33" t="s">
        <v>32</v>
      </c>
      <c r="E405" s="34">
        <v>4</v>
      </c>
      <c r="F405" s="35">
        <v>2001.5500000000002</v>
      </c>
      <c r="G405" s="36">
        <v>0.51</v>
      </c>
      <c r="H405" s="35">
        <f t="shared" si="14"/>
        <v>8006.2000000000007</v>
      </c>
      <c r="I405" s="37">
        <v>45828</v>
      </c>
      <c r="J405" s="33" t="s">
        <v>52</v>
      </c>
      <c r="K405" s="33" t="s">
        <v>23</v>
      </c>
      <c r="L405" s="38">
        <f t="shared" si="15"/>
        <v>3923.0380000000005</v>
      </c>
      <c r="M405" s="38">
        <v>2210.0700000000002</v>
      </c>
      <c r="N405" s="24">
        <f>_xlfn.XLOOKUP(Snitch_Fashion_Sales_cleaned!$J405,Table2[City],Table2[City_Key],"not found")</f>
        <v>5</v>
      </c>
      <c r="O405" s="23">
        <f>_xlfn.XLOOKUP(Snitch_Fashion_Sales_cleaned!$D405,Table4[Product_Name],Table4[Product_Key],"not found")</f>
        <v>5</v>
      </c>
      <c r="P405" s="32">
        <f>_xlfn.XLOOKUP(Snitch_Fashion_Sales_cleaned!$I405,Table3[Order_Date],Table3[Date_Key])</f>
        <v>229</v>
      </c>
    </row>
    <row r="406" spans="1:16" x14ac:dyDescent="0.3">
      <c r="A406" s="27">
        <v>1404</v>
      </c>
      <c r="B406" s="25" t="s">
        <v>452</v>
      </c>
      <c r="C406" s="25" t="s">
        <v>28</v>
      </c>
      <c r="D406" s="26" t="s">
        <v>116</v>
      </c>
      <c r="E406" s="27">
        <v>4</v>
      </c>
      <c r="F406" s="28">
        <v>3074.59</v>
      </c>
      <c r="G406" s="29">
        <v>0.51</v>
      </c>
      <c r="H406" s="28">
        <f t="shared" si="14"/>
        <v>12298.36</v>
      </c>
      <c r="I406" s="30">
        <v>45647</v>
      </c>
      <c r="J406" s="26" t="s">
        <v>2540</v>
      </c>
      <c r="K406" s="26" t="s">
        <v>16</v>
      </c>
      <c r="L406" s="31">
        <f t="shared" si="15"/>
        <v>6026.1963999999998</v>
      </c>
      <c r="M406" s="31">
        <v>1979.07</v>
      </c>
      <c r="N406" s="22">
        <f>_xlfn.XLOOKUP(Snitch_Fashion_Sales_cleaned!$J406,Table2[City],Table2[City_Key],"not found")</f>
        <v>4</v>
      </c>
      <c r="O406" s="21">
        <f>_xlfn.XLOOKUP(Snitch_Fashion_Sales_cleaned!$D406,Table4[Product_Name],Table4[Product_Key],"not found")</f>
        <v>22</v>
      </c>
      <c r="P406" s="25">
        <f>_xlfn.XLOOKUP(Snitch_Fashion_Sales_cleaned!$I406,Table3[Order_Date],Table3[Date_Key])</f>
        <v>5</v>
      </c>
    </row>
    <row r="407" spans="1:16" x14ac:dyDescent="0.3">
      <c r="A407" s="34">
        <v>1405</v>
      </c>
      <c r="B407" s="32" t="s">
        <v>453</v>
      </c>
      <c r="C407" s="32" t="s">
        <v>36</v>
      </c>
      <c r="D407" s="33" t="s">
        <v>55</v>
      </c>
      <c r="E407" s="34">
        <v>3</v>
      </c>
      <c r="F407" s="35">
        <v>2731.6350000000002</v>
      </c>
      <c r="G407" s="36">
        <v>0.56000000000000005</v>
      </c>
      <c r="H407" s="35">
        <f t="shared" si="14"/>
        <v>8194.9050000000007</v>
      </c>
      <c r="I407" s="37">
        <v>45417</v>
      </c>
      <c r="J407" s="33" t="s">
        <v>22</v>
      </c>
      <c r="K407" s="33" t="s">
        <v>16</v>
      </c>
      <c r="L407" s="38">
        <f t="shared" si="15"/>
        <v>3605.7581999999998</v>
      </c>
      <c r="M407" s="38">
        <v>2345.6799999999998</v>
      </c>
      <c r="N407" s="24">
        <f>_xlfn.XLOOKUP(Snitch_Fashion_Sales_cleaned!$J407,Table2[City],Table2[City_Key],"not found")</f>
        <v>3</v>
      </c>
      <c r="O407" s="23">
        <f>_xlfn.XLOOKUP(Snitch_Fashion_Sales_cleaned!$D407,Table4[Product_Name],Table4[Product_Key],"not found")</f>
        <v>12</v>
      </c>
      <c r="P407" s="32">
        <f>_xlfn.XLOOKUP(Snitch_Fashion_Sales_cleaned!$I407,Table3[Order_Date],Table3[Date_Key])</f>
        <v>16</v>
      </c>
    </row>
    <row r="408" spans="1:16" x14ac:dyDescent="0.3">
      <c r="A408" s="27">
        <v>1406</v>
      </c>
      <c r="B408" s="25" t="s">
        <v>454</v>
      </c>
      <c r="C408" s="25" t="s">
        <v>36</v>
      </c>
      <c r="D408" s="26" t="s">
        <v>55</v>
      </c>
      <c r="E408" s="27">
        <v>3</v>
      </c>
      <c r="F408" s="28">
        <v>2731.6350000000002</v>
      </c>
      <c r="G408" s="29">
        <v>0.51</v>
      </c>
      <c r="H408" s="28">
        <f t="shared" si="14"/>
        <v>8194.9050000000007</v>
      </c>
      <c r="I408" s="30">
        <v>45675</v>
      </c>
      <c r="J408" s="26" t="s">
        <v>2540</v>
      </c>
      <c r="K408" s="26" t="s">
        <v>23</v>
      </c>
      <c r="L408" s="31">
        <f t="shared" si="15"/>
        <v>4015.5034500000002</v>
      </c>
      <c r="M408" s="31">
        <v>-863.17</v>
      </c>
      <c r="N408" s="22">
        <f>_xlfn.XLOOKUP(Snitch_Fashion_Sales_cleaned!$J408,Table2[City],Table2[City_Key],"not found")</f>
        <v>4</v>
      </c>
      <c r="O408" s="21">
        <f>_xlfn.XLOOKUP(Snitch_Fashion_Sales_cleaned!$D408,Table4[Product_Name],Table4[Product_Key],"not found")</f>
        <v>12</v>
      </c>
      <c r="P408" s="25">
        <f>_xlfn.XLOOKUP(Snitch_Fashion_Sales_cleaned!$I408,Table3[Order_Date],Table3[Date_Key])</f>
        <v>64</v>
      </c>
    </row>
    <row r="409" spans="1:16" x14ac:dyDescent="0.3">
      <c r="A409" s="34">
        <v>1407</v>
      </c>
      <c r="B409" s="32" t="s">
        <v>455</v>
      </c>
      <c r="C409" s="32" t="s">
        <v>31</v>
      </c>
      <c r="D409" s="33" t="s">
        <v>78</v>
      </c>
      <c r="E409" s="34">
        <v>4</v>
      </c>
      <c r="F409" s="35">
        <v>4977.8100000000004</v>
      </c>
      <c r="G409" s="36">
        <v>0.51</v>
      </c>
      <c r="H409" s="35">
        <f t="shared" si="14"/>
        <v>19911.240000000002</v>
      </c>
      <c r="I409" s="37">
        <v>45823</v>
      </c>
      <c r="J409" s="33" t="s">
        <v>18</v>
      </c>
      <c r="K409" s="33" t="s">
        <v>23</v>
      </c>
      <c r="L409" s="38">
        <f t="shared" si="15"/>
        <v>9756.5076000000008</v>
      </c>
      <c r="M409" s="38">
        <v>2041.12</v>
      </c>
      <c r="N409" s="24">
        <f>_xlfn.XLOOKUP(Snitch_Fashion_Sales_cleaned!$J409,Table2[City],Table2[City_Key],"not found")</f>
        <v>2</v>
      </c>
      <c r="O409" s="23">
        <f>_xlfn.XLOOKUP(Snitch_Fashion_Sales_cleaned!$D409,Table4[Product_Name],Table4[Product_Key],"not found")</f>
        <v>17</v>
      </c>
      <c r="P409" s="32">
        <f>_xlfn.XLOOKUP(Snitch_Fashion_Sales_cleaned!$I409,Table3[Order_Date],Table3[Date_Key])</f>
        <v>230</v>
      </c>
    </row>
    <row r="410" spans="1:16" x14ac:dyDescent="0.3">
      <c r="A410" s="27">
        <v>1408</v>
      </c>
      <c r="B410" s="25" t="s">
        <v>456</v>
      </c>
      <c r="C410" s="25" t="s">
        <v>25</v>
      </c>
      <c r="D410" s="26" t="s">
        <v>82</v>
      </c>
      <c r="E410" s="27">
        <v>3</v>
      </c>
      <c r="F410" s="28">
        <v>2385.5749999999998</v>
      </c>
      <c r="G410" s="29">
        <v>0.51</v>
      </c>
      <c r="H410" s="28">
        <f t="shared" si="14"/>
        <v>7156.7249999999995</v>
      </c>
      <c r="I410" s="30">
        <v>45539</v>
      </c>
      <c r="J410" s="26" t="s">
        <v>22</v>
      </c>
      <c r="K410" s="26" t="s">
        <v>23</v>
      </c>
      <c r="L410" s="31">
        <f t="shared" si="15"/>
        <v>3506.7952499999997</v>
      </c>
      <c r="M410" s="31">
        <v>2305.3200000000002</v>
      </c>
      <c r="N410" s="22">
        <f>_xlfn.XLOOKUP(Snitch_Fashion_Sales_cleaned!$J410,Table2[City],Table2[City_Key],"not found")</f>
        <v>3</v>
      </c>
      <c r="O410" s="21">
        <f>_xlfn.XLOOKUP(Snitch_Fashion_Sales_cleaned!$D410,Table4[Product_Name],Table4[Product_Key],"not found")</f>
        <v>18</v>
      </c>
      <c r="P410" s="25">
        <f>_xlfn.XLOOKUP(Snitch_Fashion_Sales_cleaned!$I410,Table3[Order_Date],Table3[Date_Key])</f>
        <v>231</v>
      </c>
    </row>
    <row r="411" spans="1:16" x14ac:dyDescent="0.3">
      <c r="A411" s="34">
        <v>1409</v>
      </c>
      <c r="B411" s="32" t="s">
        <v>457</v>
      </c>
      <c r="C411" s="32" t="s">
        <v>28</v>
      </c>
      <c r="D411" s="33" t="s">
        <v>137</v>
      </c>
      <c r="E411" s="34">
        <v>6</v>
      </c>
      <c r="F411" s="35">
        <v>2338.04</v>
      </c>
      <c r="G411" s="36">
        <v>0.51</v>
      </c>
      <c r="H411" s="35">
        <f t="shared" si="14"/>
        <v>14028.24</v>
      </c>
      <c r="I411" s="37">
        <v>45647</v>
      </c>
      <c r="J411" s="33" t="s">
        <v>43</v>
      </c>
      <c r="K411" s="33" t="s">
        <v>16</v>
      </c>
      <c r="L411" s="38">
        <f t="shared" si="15"/>
        <v>6873.8375999999998</v>
      </c>
      <c r="M411" s="38">
        <v>-941.44</v>
      </c>
      <c r="N411" s="24">
        <f>_xlfn.XLOOKUP(Snitch_Fashion_Sales_cleaned!$J411,Table2[City],Table2[City_Key],"not found")</f>
        <v>6</v>
      </c>
      <c r="O411" s="23">
        <f>_xlfn.XLOOKUP(Snitch_Fashion_Sales_cleaned!$D411,Table4[Product_Name],Table4[Product_Key],"not found")</f>
        <v>24</v>
      </c>
      <c r="P411" s="32">
        <f>_xlfn.XLOOKUP(Snitch_Fashion_Sales_cleaned!$I411,Table3[Order_Date],Table3[Date_Key])</f>
        <v>5</v>
      </c>
    </row>
    <row r="412" spans="1:16" x14ac:dyDescent="0.3">
      <c r="A412" s="27">
        <v>1410</v>
      </c>
      <c r="B412" s="25" t="s">
        <v>458</v>
      </c>
      <c r="C412" s="25" t="s">
        <v>13</v>
      </c>
      <c r="D412" s="26" t="s">
        <v>98</v>
      </c>
      <c r="E412" s="27">
        <v>6</v>
      </c>
      <c r="F412" s="28">
        <v>4445.8100000000004</v>
      </c>
      <c r="G412" s="29">
        <v>0.51</v>
      </c>
      <c r="H412" s="28">
        <f t="shared" si="14"/>
        <v>26674.86</v>
      </c>
      <c r="I412" s="30">
        <v>45647</v>
      </c>
      <c r="J412" s="26" t="s">
        <v>15</v>
      </c>
      <c r="K412" s="26" t="s">
        <v>23</v>
      </c>
      <c r="L412" s="31">
        <f t="shared" si="15"/>
        <v>13070.681399999999</v>
      </c>
      <c r="M412" s="31">
        <v>-654.59</v>
      </c>
      <c r="N412" s="22">
        <f>_xlfn.XLOOKUP(Snitch_Fashion_Sales_cleaned!$J412,Table2[City],Table2[City_Key],"not found")</f>
        <v>1</v>
      </c>
      <c r="O412" s="21">
        <f>_xlfn.XLOOKUP(Snitch_Fashion_Sales_cleaned!$D412,Table4[Product_Name],Table4[Product_Key],"not found")</f>
        <v>21</v>
      </c>
      <c r="P412" s="25">
        <f>_xlfn.XLOOKUP(Snitch_Fashion_Sales_cleaned!$I412,Table3[Order_Date],Table3[Date_Key])</f>
        <v>5</v>
      </c>
    </row>
    <row r="413" spans="1:16" x14ac:dyDescent="0.3">
      <c r="A413" s="34">
        <v>1411</v>
      </c>
      <c r="B413" s="32" t="s">
        <v>459</v>
      </c>
      <c r="C413" s="32" t="s">
        <v>36</v>
      </c>
      <c r="D413" s="33" t="s">
        <v>59</v>
      </c>
      <c r="E413" s="34">
        <v>3</v>
      </c>
      <c r="F413" s="35">
        <v>4946.7700000000004</v>
      </c>
      <c r="G413" s="36">
        <v>0.51</v>
      </c>
      <c r="H413" s="35">
        <f t="shared" si="14"/>
        <v>14840.310000000001</v>
      </c>
      <c r="I413" s="37">
        <v>45647</v>
      </c>
      <c r="J413" s="33" t="s">
        <v>22</v>
      </c>
      <c r="K413" s="33" t="s">
        <v>23</v>
      </c>
      <c r="L413" s="38">
        <f t="shared" si="15"/>
        <v>7271.7519000000002</v>
      </c>
      <c r="M413" s="38">
        <v>1520.19</v>
      </c>
      <c r="N413" s="24">
        <f>_xlfn.XLOOKUP(Snitch_Fashion_Sales_cleaned!$J413,Table2[City],Table2[City_Key],"not found")</f>
        <v>3</v>
      </c>
      <c r="O413" s="23">
        <f>_xlfn.XLOOKUP(Snitch_Fashion_Sales_cleaned!$D413,Table4[Product_Name],Table4[Product_Key],"not found")</f>
        <v>13</v>
      </c>
      <c r="P413" s="32">
        <f>_xlfn.XLOOKUP(Snitch_Fashion_Sales_cleaned!$I413,Table3[Order_Date],Table3[Date_Key])</f>
        <v>5</v>
      </c>
    </row>
    <row r="414" spans="1:16" x14ac:dyDescent="0.3">
      <c r="A414" s="27">
        <v>1412</v>
      </c>
      <c r="B414" s="25" t="s">
        <v>460</v>
      </c>
      <c r="C414" s="25" t="s">
        <v>25</v>
      </c>
      <c r="D414" s="26" t="s">
        <v>62</v>
      </c>
      <c r="E414" s="27">
        <v>4</v>
      </c>
      <c r="F414" s="28">
        <v>2538.0450000000001</v>
      </c>
      <c r="G414" s="29">
        <v>0.51</v>
      </c>
      <c r="H414" s="28">
        <f t="shared" si="14"/>
        <v>10152.18</v>
      </c>
      <c r="I414" s="30">
        <v>45533</v>
      </c>
      <c r="J414" s="26" t="s">
        <v>52</v>
      </c>
      <c r="K414" s="26" t="s">
        <v>16</v>
      </c>
      <c r="L414" s="31">
        <f t="shared" si="15"/>
        <v>4974.5681999999997</v>
      </c>
      <c r="M414" s="31">
        <v>2314.9299999999998</v>
      </c>
      <c r="N414" s="22">
        <f>_xlfn.XLOOKUP(Snitch_Fashion_Sales_cleaned!$J414,Table2[City],Table2[City_Key],"not found")</f>
        <v>5</v>
      </c>
      <c r="O414" s="21">
        <f>_xlfn.XLOOKUP(Snitch_Fashion_Sales_cleaned!$D414,Table4[Product_Name],Table4[Product_Key],"not found")</f>
        <v>14</v>
      </c>
      <c r="P414" s="25">
        <f>_xlfn.XLOOKUP(Snitch_Fashion_Sales_cleaned!$I414,Table3[Order_Date],Table3[Date_Key])</f>
        <v>232</v>
      </c>
    </row>
    <row r="415" spans="1:16" x14ac:dyDescent="0.3">
      <c r="A415" s="34">
        <v>1413</v>
      </c>
      <c r="B415" s="32" t="s">
        <v>461</v>
      </c>
      <c r="C415" s="32" t="s">
        <v>36</v>
      </c>
      <c r="D415" s="33" t="s">
        <v>55</v>
      </c>
      <c r="E415" s="34">
        <v>1</v>
      </c>
      <c r="F415" s="35">
        <v>2731.6350000000002</v>
      </c>
      <c r="G415" s="36">
        <v>0.17</v>
      </c>
      <c r="H415" s="35">
        <f t="shared" si="14"/>
        <v>2731.6350000000002</v>
      </c>
      <c r="I415" s="37">
        <v>45812</v>
      </c>
      <c r="J415" s="33" t="s">
        <v>18</v>
      </c>
      <c r="K415" s="33" t="s">
        <v>16</v>
      </c>
      <c r="L415" s="38">
        <f t="shared" si="15"/>
        <v>2267.2570500000002</v>
      </c>
      <c r="M415" s="38">
        <v>1539.28</v>
      </c>
      <c r="N415" s="24">
        <f>_xlfn.XLOOKUP(Snitch_Fashion_Sales_cleaned!$J415,Table2[City],Table2[City_Key],"not found")</f>
        <v>2</v>
      </c>
      <c r="O415" s="23">
        <f>_xlfn.XLOOKUP(Snitch_Fashion_Sales_cleaned!$D415,Table4[Product_Name],Table4[Product_Key],"not found")</f>
        <v>12</v>
      </c>
      <c r="P415" s="32">
        <f>_xlfn.XLOOKUP(Snitch_Fashion_Sales_cleaned!$I415,Table3[Order_Date],Table3[Date_Key])</f>
        <v>233</v>
      </c>
    </row>
    <row r="416" spans="1:16" x14ac:dyDescent="0.3">
      <c r="A416" s="27">
        <v>1414</v>
      </c>
      <c r="B416" s="25" t="s">
        <v>462</v>
      </c>
      <c r="C416" s="25" t="s">
        <v>31</v>
      </c>
      <c r="D416" s="26" t="s">
        <v>41</v>
      </c>
      <c r="E416" s="27">
        <v>3</v>
      </c>
      <c r="F416" s="28">
        <v>3027.66</v>
      </c>
      <c r="G416" s="29">
        <v>0.51</v>
      </c>
      <c r="H416" s="28">
        <f t="shared" si="14"/>
        <v>9082.98</v>
      </c>
      <c r="I416" s="30">
        <v>45846</v>
      </c>
      <c r="J416" s="26" t="s">
        <v>18</v>
      </c>
      <c r="K416" s="26" t="s">
        <v>23</v>
      </c>
      <c r="L416" s="31">
        <f t="shared" si="15"/>
        <v>4450.6601999999993</v>
      </c>
      <c r="M416" s="31">
        <v>2843.55</v>
      </c>
      <c r="N416" s="22">
        <f>_xlfn.XLOOKUP(Snitch_Fashion_Sales_cleaned!$J416,Table2[City],Table2[City_Key],"not found")</f>
        <v>2</v>
      </c>
      <c r="O416" s="21">
        <f>_xlfn.XLOOKUP(Snitch_Fashion_Sales_cleaned!$D416,Table4[Product_Name],Table4[Product_Key],"not found")</f>
        <v>9</v>
      </c>
      <c r="P416" s="25">
        <f>_xlfn.XLOOKUP(Snitch_Fashion_Sales_cleaned!$I416,Table3[Order_Date],Table3[Date_Key])</f>
        <v>35</v>
      </c>
    </row>
    <row r="417" spans="1:16" x14ac:dyDescent="0.3">
      <c r="A417" s="34">
        <v>1415</v>
      </c>
      <c r="B417" s="32" t="s">
        <v>463</v>
      </c>
      <c r="C417" s="32" t="s">
        <v>20</v>
      </c>
      <c r="D417" s="33" t="s">
        <v>21</v>
      </c>
      <c r="E417" s="34">
        <v>4</v>
      </c>
      <c r="F417" s="35">
        <v>3149</v>
      </c>
      <c r="G417" s="36">
        <v>0.51</v>
      </c>
      <c r="H417" s="35">
        <f t="shared" si="14"/>
        <v>12596</v>
      </c>
      <c r="I417" s="37">
        <v>45647</v>
      </c>
      <c r="J417" s="33" t="s">
        <v>2540</v>
      </c>
      <c r="K417" s="33" t="s">
        <v>23</v>
      </c>
      <c r="L417" s="38">
        <f t="shared" si="15"/>
        <v>6172.04</v>
      </c>
      <c r="M417" s="38">
        <v>2661.23</v>
      </c>
      <c r="N417" s="24">
        <f>_xlfn.XLOOKUP(Snitch_Fashion_Sales_cleaned!$J417,Table2[City],Table2[City_Key],"not found")</f>
        <v>4</v>
      </c>
      <c r="O417" s="23">
        <f>_xlfn.XLOOKUP(Snitch_Fashion_Sales_cleaned!$D417,Table4[Product_Name],Table4[Product_Key],"not found")</f>
        <v>2</v>
      </c>
      <c r="P417" s="32">
        <f>_xlfn.XLOOKUP(Snitch_Fashion_Sales_cleaned!$I417,Table3[Order_Date],Table3[Date_Key])</f>
        <v>5</v>
      </c>
    </row>
    <row r="418" spans="1:16" x14ac:dyDescent="0.3">
      <c r="A418" s="27">
        <v>1416</v>
      </c>
      <c r="B418" s="25" t="s">
        <v>464</v>
      </c>
      <c r="C418" s="25" t="s">
        <v>28</v>
      </c>
      <c r="D418" s="26" t="s">
        <v>116</v>
      </c>
      <c r="E418" s="27">
        <v>4</v>
      </c>
      <c r="F418" s="28">
        <v>3527.15</v>
      </c>
      <c r="G418" s="29">
        <v>0.51</v>
      </c>
      <c r="H418" s="28">
        <f t="shared" si="14"/>
        <v>14108.6</v>
      </c>
      <c r="I418" s="30">
        <v>45253</v>
      </c>
      <c r="J418" s="26" t="s">
        <v>52</v>
      </c>
      <c r="K418" s="26" t="s">
        <v>23</v>
      </c>
      <c r="L418" s="31">
        <f t="shared" si="15"/>
        <v>6913.2139999999999</v>
      </c>
      <c r="M418" s="31">
        <v>2286.48</v>
      </c>
      <c r="N418" s="22">
        <f>_xlfn.XLOOKUP(Snitch_Fashion_Sales_cleaned!$J418,Table2[City],Table2[City_Key],"not found")</f>
        <v>5</v>
      </c>
      <c r="O418" s="21">
        <f>_xlfn.XLOOKUP(Snitch_Fashion_Sales_cleaned!$D418,Table4[Product_Name],Table4[Product_Key],"not found")</f>
        <v>22</v>
      </c>
      <c r="P418" s="25">
        <f>_xlfn.XLOOKUP(Snitch_Fashion_Sales_cleaned!$I418,Table3[Order_Date],Table3[Date_Key])</f>
        <v>234</v>
      </c>
    </row>
    <row r="419" spans="1:16" x14ac:dyDescent="0.3">
      <c r="A419" s="34">
        <v>1417</v>
      </c>
      <c r="B419" s="32" t="s">
        <v>465</v>
      </c>
      <c r="C419" s="32" t="s">
        <v>36</v>
      </c>
      <c r="D419" s="33" t="s">
        <v>59</v>
      </c>
      <c r="E419" s="34">
        <v>3</v>
      </c>
      <c r="F419" s="35">
        <v>2765.26</v>
      </c>
      <c r="G419" s="36">
        <v>0.51</v>
      </c>
      <c r="H419" s="35">
        <f t="shared" si="14"/>
        <v>8295.7800000000007</v>
      </c>
      <c r="I419" s="37">
        <v>45515</v>
      </c>
      <c r="J419" s="33" t="s">
        <v>2540</v>
      </c>
      <c r="K419" s="33" t="s">
        <v>23</v>
      </c>
      <c r="L419" s="38">
        <f t="shared" si="15"/>
        <v>4064.9322000000002</v>
      </c>
      <c r="M419" s="38">
        <v>888.59</v>
      </c>
      <c r="N419" s="24">
        <f>_xlfn.XLOOKUP(Snitch_Fashion_Sales_cleaned!$J419,Table2[City],Table2[City_Key],"not found")</f>
        <v>4</v>
      </c>
      <c r="O419" s="23">
        <f>_xlfn.XLOOKUP(Snitch_Fashion_Sales_cleaned!$D419,Table4[Product_Name],Table4[Product_Key],"not found")</f>
        <v>13</v>
      </c>
      <c r="P419" s="32">
        <f>_xlfn.XLOOKUP(Snitch_Fashion_Sales_cleaned!$I419,Table3[Order_Date],Table3[Date_Key])</f>
        <v>235</v>
      </c>
    </row>
    <row r="420" spans="1:16" x14ac:dyDescent="0.3">
      <c r="A420" s="27">
        <v>1418</v>
      </c>
      <c r="B420" s="25" t="s">
        <v>466</v>
      </c>
      <c r="C420" s="25" t="s">
        <v>36</v>
      </c>
      <c r="D420" s="26" t="s">
        <v>87</v>
      </c>
      <c r="E420" s="27">
        <v>4</v>
      </c>
      <c r="F420" s="28">
        <v>2889.5349999999999</v>
      </c>
      <c r="G420" s="29">
        <v>0.13</v>
      </c>
      <c r="H420" s="28">
        <f t="shared" si="14"/>
        <v>11558.14</v>
      </c>
      <c r="I420" s="30">
        <v>45507</v>
      </c>
      <c r="J420" s="26" t="s">
        <v>2540</v>
      </c>
      <c r="K420" s="26" t="s">
        <v>23</v>
      </c>
      <c r="L420" s="31">
        <f t="shared" si="15"/>
        <v>10055.5818</v>
      </c>
      <c r="M420" s="31">
        <v>1403.76</v>
      </c>
      <c r="N420" s="22">
        <f>_xlfn.XLOOKUP(Snitch_Fashion_Sales_cleaned!$J420,Table2[City],Table2[City_Key],"not found")</f>
        <v>4</v>
      </c>
      <c r="O420" s="21">
        <f>_xlfn.XLOOKUP(Snitch_Fashion_Sales_cleaned!$D420,Table4[Product_Name],Table4[Product_Key],"not found")</f>
        <v>20</v>
      </c>
      <c r="P420" s="25">
        <f>_xlfn.XLOOKUP(Snitch_Fashion_Sales_cleaned!$I420,Table3[Order_Date],Table3[Date_Key])</f>
        <v>222</v>
      </c>
    </row>
    <row r="421" spans="1:16" x14ac:dyDescent="0.3">
      <c r="A421" s="34">
        <v>1419</v>
      </c>
      <c r="B421" s="32" t="s">
        <v>467</v>
      </c>
      <c r="C421" s="32" t="s">
        <v>20</v>
      </c>
      <c r="D421" s="33" t="s">
        <v>76</v>
      </c>
      <c r="E421" s="34">
        <v>2</v>
      </c>
      <c r="F421" s="35">
        <v>2229.4899999999998</v>
      </c>
      <c r="G421" s="36">
        <v>0.51</v>
      </c>
      <c r="H421" s="35">
        <f t="shared" si="14"/>
        <v>4458.9799999999996</v>
      </c>
      <c r="I421" s="37">
        <v>45580</v>
      </c>
      <c r="J421" s="33" t="s">
        <v>52</v>
      </c>
      <c r="K421" s="33" t="s">
        <v>23</v>
      </c>
      <c r="L421" s="38">
        <f t="shared" si="15"/>
        <v>2184.9001999999996</v>
      </c>
      <c r="M421" s="38">
        <v>-565.16999999999996</v>
      </c>
      <c r="N421" s="24">
        <f>_xlfn.XLOOKUP(Snitch_Fashion_Sales_cleaned!$J421,Table2[City],Table2[City_Key],"not found")</f>
        <v>5</v>
      </c>
      <c r="O421" s="23">
        <f>_xlfn.XLOOKUP(Snitch_Fashion_Sales_cleaned!$D421,Table4[Product_Name],Table4[Product_Key],"not found")</f>
        <v>16</v>
      </c>
      <c r="P421" s="32">
        <f>_xlfn.XLOOKUP(Snitch_Fashion_Sales_cleaned!$I421,Table3[Order_Date],Table3[Date_Key])</f>
        <v>236</v>
      </c>
    </row>
    <row r="422" spans="1:16" x14ac:dyDescent="0.3">
      <c r="A422" s="27">
        <v>1420</v>
      </c>
      <c r="B422" s="25" t="s">
        <v>468</v>
      </c>
      <c r="C422" s="25" t="s">
        <v>25</v>
      </c>
      <c r="D422" s="26" t="s">
        <v>26</v>
      </c>
      <c r="E422" s="27">
        <v>4</v>
      </c>
      <c r="F422" s="28">
        <v>2933.45</v>
      </c>
      <c r="G422" s="29">
        <v>0.96</v>
      </c>
      <c r="H422" s="28">
        <f t="shared" si="14"/>
        <v>11733.8</v>
      </c>
      <c r="I422" s="30">
        <v>45814</v>
      </c>
      <c r="J422" s="26" t="s">
        <v>18</v>
      </c>
      <c r="K422" s="26" t="s">
        <v>23</v>
      </c>
      <c r="L422" s="31">
        <f t="shared" si="15"/>
        <v>469.35200000000037</v>
      </c>
      <c r="M422" s="31">
        <v>117.33800000000009</v>
      </c>
      <c r="N422" s="22">
        <f>_xlfn.XLOOKUP(Snitch_Fashion_Sales_cleaned!$J422,Table2[City],Table2[City_Key],"not found")</f>
        <v>2</v>
      </c>
      <c r="O422" s="21">
        <f>_xlfn.XLOOKUP(Snitch_Fashion_Sales_cleaned!$D422,Table4[Product_Name],Table4[Product_Key],"not found")</f>
        <v>3</v>
      </c>
      <c r="P422" s="25">
        <f>_xlfn.XLOOKUP(Snitch_Fashion_Sales_cleaned!$I422,Table3[Order_Date],Table3[Date_Key])</f>
        <v>198</v>
      </c>
    </row>
    <row r="423" spans="1:16" x14ac:dyDescent="0.3">
      <c r="A423" s="34">
        <v>1421</v>
      </c>
      <c r="B423" s="32" t="s">
        <v>469</v>
      </c>
      <c r="C423" s="32" t="s">
        <v>31</v>
      </c>
      <c r="D423" s="33" t="s">
        <v>68</v>
      </c>
      <c r="E423" s="34">
        <v>4</v>
      </c>
      <c r="F423" s="35">
        <v>2765.79</v>
      </c>
      <c r="G423" s="36">
        <v>0.51</v>
      </c>
      <c r="H423" s="35">
        <f t="shared" si="14"/>
        <v>11063.16</v>
      </c>
      <c r="I423" s="37">
        <v>45853</v>
      </c>
      <c r="J423" s="33" t="s">
        <v>18</v>
      </c>
      <c r="K423" s="33" t="s">
        <v>23</v>
      </c>
      <c r="L423" s="38">
        <f t="shared" si="15"/>
        <v>5420.9484000000002</v>
      </c>
      <c r="M423" s="38">
        <v>575.19000000000005</v>
      </c>
      <c r="N423" s="24">
        <f>_xlfn.XLOOKUP(Snitch_Fashion_Sales_cleaned!$J423,Table2[City],Table2[City_Key],"not found")</f>
        <v>2</v>
      </c>
      <c r="O423" s="23">
        <f>_xlfn.XLOOKUP(Snitch_Fashion_Sales_cleaned!$D423,Table4[Product_Name],Table4[Product_Key],"not found")</f>
        <v>15</v>
      </c>
      <c r="P423" s="32">
        <f>_xlfn.XLOOKUP(Snitch_Fashion_Sales_cleaned!$I423,Table3[Order_Date],Table3[Date_Key])</f>
        <v>2</v>
      </c>
    </row>
    <row r="424" spans="1:16" x14ac:dyDescent="0.3">
      <c r="A424" s="27">
        <v>1422</v>
      </c>
      <c r="B424" s="25" t="s">
        <v>470</v>
      </c>
      <c r="C424" s="25" t="s">
        <v>13</v>
      </c>
      <c r="D424" s="26" t="s">
        <v>34</v>
      </c>
      <c r="E424" s="27">
        <v>3</v>
      </c>
      <c r="F424" s="28">
        <v>4466.49</v>
      </c>
      <c r="G424" s="29">
        <v>0.51</v>
      </c>
      <c r="H424" s="28">
        <f t="shared" si="14"/>
        <v>13399.47</v>
      </c>
      <c r="I424" s="30">
        <v>45726</v>
      </c>
      <c r="J424" s="26" t="s">
        <v>18</v>
      </c>
      <c r="K424" s="26" t="s">
        <v>23</v>
      </c>
      <c r="L424" s="31">
        <f t="shared" si="15"/>
        <v>6565.7402999999995</v>
      </c>
      <c r="M424" s="31">
        <v>2168.7800000000002</v>
      </c>
      <c r="N424" s="22">
        <f>_xlfn.XLOOKUP(Snitch_Fashion_Sales_cleaned!$J424,Table2[City],Table2[City_Key],"not found")</f>
        <v>2</v>
      </c>
      <c r="O424" s="21">
        <f>_xlfn.XLOOKUP(Snitch_Fashion_Sales_cleaned!$D424,Table4[Product_Name],Table4[Product_Key],"not found")</f>
        <v>6</v>
      </c>
      <c r="P424" s="25">
        <f>_xlfn.XLOOKUP(Snitch_Fashion_Sales_cleaned!$I424,Table3[Order_Date],Table3[Date_Key])</f>
        <v>237</v>
      </c>
    </row>
    <row r="425" spans="1:16" x14ac:dyDescent="0.3">
      <c r="A425" s="34">
        <v>1423</v>
      </c>
      <c r="B425" s="32" t="s">
        <v>471</v>
      </c>
      <c r="C425" s="32" t="s">
        <v>20</v>
      </c>
      <c r="D425" s="33" t="s">
        <v>118</v>
      </c>
      <c r="E425" s="34">
        <v>3.5</v>
      </c>
      <c r="F425" s="35">
        <v>2752.99</v>
      </c>
      <c r="G425" s="36">
        <v>0.51</v>
      </c>
      <c r="H425" s="35">
        <f t="shared" si="14"/>
        <v>9635.4650000000001</v>
      </c>
      <c r="I425" s="37">
        <v>45710</v>
      </c>
      <c r="J425" s="33" t="s">
        <v>52</v>
      </c>
      <c r="K425" s="33" t="s">
        <v>23</v>
      </c>
      <c r="L425" s="38">
        <f t="shared" si="15"/>
        <v>4721.3778499999999</v>
      </c>
      <c r="M425" s="38">
        <v>1302.05</v>
      </c>
      <c r="N425" s="24">
        <f>_xlfn.XLOOKUP(Snitch_Fashion_Sales_cleaned!$J425,Table2[City],Table2[City_Key],"not found")</f>
        <v>5</v>
      </c>
      <c r="O425" s="23">
        <f>_xlfn.XLOOKUP(Snitch_Fashion_Sales_cleaned!$D425,Table4[Product_Name],Table4[Product_Key],"not found")</f>
        <v>23</v>
      </c>
      <c r="P425" s="32">
        <f>_xlfn.XLOOKUP(Snitch_Fashion_Sales_cleaned!$I425,Table3[Order_Date],Table3[Date_Key])</f>
        <v>59</v>
      </c>
    </row>
    <row r="426" spans="1:16" x14ac:dyDescent="0.3">
      <c r="A426" s="27">
        <v>1424</v>
      </c>
      <c r="B426" s="25" t="s">
        <v>472</v>
      </c>
      <c r="C426" s="25" t="s">
        <v>31</v>
      </c>
      <c r="D426" s="26" t="s">
        <v>68</v>
      </c>
      <c r="E426" s="27">
        <v>4</v>
      </c>
      <c r="F426" s="28">
        <v>538.6</v>
      </c>
      <c r="G426" s="29">
        <v>0.51</v>
      </c>
      <c r="H426" s="28">
        <f t="shared" si="14"/>
        <v>2154.4</v>
      </c>
      <c r="I426" s="30">
        <v>45661</v>
      </c>
      <c r="J426" s="26" t="s">
        <v>52</v>
      </c>
      <c r="K426" s="26" t="s">
        <v>23</v>
      </c>
      <c r="L426" s="31">
        <f t="shared" si="15"/>
        <v>1055.6559999999999</v>
      </c>
      <c r="M426" s="31">
        <v>752.81</v>
      </c>
      <c r="N426" s="22">
        <f>_xlfn.XLOOKUP(Snitch_Fashion_Sales_cleaned!$J426,Table2[City],Table2[City_Key],"not found")</f>
        <v>5</v>
      </c>
      <c r="O426" s="21">
        <f>_xlfn.XLOOKUP(Snitch_Fashion_Sales_cleaned!$D426,Table4[Product_Name],Table4[Product_Key],"not found")</f>
        <v>15</v>
      </c>
      <c r="P426" s="25">
        <f>_xlfn.XLOOKUP(Snitch_Fashion_Sales_cleaned!$I426,Table3[Order_Date],Table3[Date_Key])</f>
        <v>63</v>
      </c>
    </row>
    <row r="427" spans="1:16" x14ac:dyDescent="0.3">
      <c r="A427" s="34">
        <v>1425</v>
      </c>
      <c r="B427" s="32" t="s">
        <v>473</v>
      </c>
      <c r="C427" s="32" t="s">
        <v>28</v>
      </c>
      <c r="D427" s="33" t="s">
        <v>137</v>
      </c>
      <c r="E427" s="34">
        <v>3.5</v>
      </c>
      <c r="F427" s="35">
        <v>1133.73</v>
      </c>
      <c r="G427" s="36">
        <v>0.51</v>
      </c>
      <c r="H427" s="35">
        <f t="shared" si="14"/>
        <v>3968.0550000000003</v>
      </c>
      <c r="I427" s="37">
        <v>45656</v>
      </c>
      <c r="J427" s="33" t="s">
        <v>43</v>
      </c>
      <c r="K427" s="33" t="s">
        <v>23</v>
      </c>
      <c r="L427" s="38">
        <f t="shared" si="15"/>
        <v>1944.3469500000001</v>
      </c>
      <c r="M427" s="38">
        <v>486.08673750000003</v>
      </c>
      <c r="N427" s="24">
        <f>_xlfn.XLOOKUP(Snitch_Fashion_Sales_cleaned!$J427,Table2[City],Table2[City_Key],"not found")</f>
        <v>6</v>
      </c>
      <c r="O427" s="23">
        <f>_xlfn.XLOOKUP(Snitch_Fashion_Sales_cleaned!$D427,Table4[Product_Name],Table4[Product_Key],"not found")</f>
        <v>24</v>
      </c>
      <c r="P427" s="32">
        <f>_xlfn.XLOOKUP(Snitch_Fashion_Sales_cleaned!$I427,Table3[Order_Date],Table3[Date_Key])</f>
        <v>67</v>
      </c>
    </row>
    <row r="428" spans="1:16" x14ac:dyDescent="0.3">
      <c r="A428" s="27">
        <v>1426</v>
      </c>
      <c r="B428" s="25" t="s">
        <v>474</v>
      </c>
      <c r="C428" s="25" t="s">
        <v>13</v>
      </c>
      <c r="D428" s="26" t="s">
        <v>98</v>
      </c>
      <c r="E428" s="27">
        <v>5</v>
      </c>
      <c r="F428" s="28">
        <v>3175.17</v>
      </c>
      <c r="G428" s="29">
        <v>0.86</v>
      </c>
      <c r="H428" s="28">
        <f t="shared" si="14"/>
        <v>15875.85</v>
      </c>
      <c r="I428" s="30">
        <v>45647</v>
      </c>
      <c r="J428" s="26" t="s">
        <v>52</v>
      </c>
      <c r="K428" s="26" t="s">
        <v>23</v>
      </c>
      <c r="L428" s="31">
        <f t="shared" si="15"/>
        <v>2222.6190000000001</v>
      </c>
      <c r="M428" s="31">
        <v>555.65475000000004</v>
      </c>
      <c r="N428" s="22">
        <f>_xlfn.XLOOKUP(Snitch_Fashion_Sales_cleaned!$J428,Table2[City],Table2[City_Key],"not found")</f>
        <v>5</v>
      </c>
      <c r="O428" s="21">
        <f>_xlfn.XLOOKUP(Snitch_Fashion_Sales_cleaned!$D428,Table4[Product_Name],Table4[Product_Key],"not found")</f>
        <v>21</v>
      </c>
      <c r="P428" s="25">
        <f>_xlfn.XLOOKUP(Snitch_Fashion_Sales_cleaned!$I428,Table3[Order_Date],Table3[Date_Key])</f>
        <v>5</v>
      </c>
    </row>
    <row r="429" spans="1:16" x14ac:dyDescent="0.3">
      <c r="A429" s="34">
        <v>1427</v>
      </c>
      <c r="B429" s="32" t="s">
        <v>475</v>
      </c>
      <c r="C429" s="32" t="s">
        <v>25</v>
      </c>
      <c r="D429" s="33" t="s">
        <v>82</v>
      </c>
      <c r="E429" s="34">
        <v>3</v>
      </c>
      <c r="F429" s="35">
        <v>2385.5749999999998</v>
      </c>
      <c r="G429" s="36">
        <v>0.51</v>
      </c>
      <c r="H429" s="35">
        <f t="shared" si="14"/>
        <v>7156.7249999999995</v>
      </c>
      <c r="I429" s="37">
        <v>45826</v>
      </c>
      <c r="J429" s="33" t="s">
        <v>22</v>
      </c>
      <c r="K429" s="33" t="s">
        <v>16</v>
      </c>
      <c r="L429" s="38">
        <f t="shared" si="15"/>
        <v>3506.7952499999997</v>
      </c>
      <c r="M429" s="38">
        <v>2795.17</v>
      </c>
      <c r="N429" s="24">
        <f>_xlfn.XLOOKUP(Snitch_Fashion_Sales_cleaned!$J429,Table2[City],Table2[City_Key],"not found")</f>
        <v>3</v>
      </c>
      <c r="O429" s="23">
        <f>_xlfn.XLOOKUP(Snitch_Fashion_Sales_cleaned!$D429,Table4[Product_Name],Table4[Product_Key],"not found")</f>
        <v>18</v>
      </c>
      <c r="P429" s="32">
        <f>_xlfn.XLOOKUP(Snitch_Fashion_Sales_cleaned!$I429,Table3[Order_Date],Table3[Date_Key])</f>
        <v>4</v>
      </c>
    </row>
    <row r="430" spans="1:16" x14ac:dyDescent="0.3">
      <c r="A430" s="27">
        <v>1015</v>
      </c>
      <c r="B430" s="25" t="s">
        <v>476</v>
      </c>
      <c r="C430" s="25" t="s">
        <v>13</v>
      </c>
      <c r="D430" s="26" t="s">
        <v>34</v>
      </c>
      <c r="E430" s="27">
        <v>3</v>
      </c>
      <c r="F430" s="28">
        <v>3008.6549999999997</v>
      </c>
      <c r="G430" s="29">
        <v>0.51</v>
      </c>
      <c r="H430" s="28">
        <f t="shared" si="14"/>
        <v>9025.9650000000001</v>
      </c>
      <c r="I430" s="30">
        <v>45682</v>
      </c>
      <c r="J430" s="26" t="s">
        <v>15</v>
      </c>
      <c r="K430" s="26" t="s">
        <v>23</v>
      </c>
      <c r="L430" s="31">
        <f t="shared" si="15"/>
        <v>4422.7228500000001</v>
      </c>
      <c r="M430" s="31">
        <v>1869.46</v>
      </c>
      <c r="N430" s="22">
        <f>_xlfn.XLOOKUP(Snitch_Fashion_Sales_cleaned!$J430,Table2[City],Table2[City_Key],"not found")</f>
        <v>1</v>
      </c>
      <c r="O430" s="21">
        <f>_xlfn.XLOOKUP(Snitch_Fashion_Sales_cleaned!$D430,Table4[Product_Name],Table4[Product_Key],"not found")</f>
        <v>6</v>
      </c>
      <c r="P430" s="25">
        <f>_xlfn.XLOOKUP(Snitch_Fashion_Sales_cleaned!$I430,Table3[Order_Date],Table3[Date_Key])</f>
        <v>21</v>
      </c>
    </row>
    <row r="431" spans="1:16" x14ac:dyDescent="0.3">
      <c r="A431" s="34">
        <v>1429</v>
      </c>
      <c r="B431" s="32" t="s">
        <v>477</v>
      </c>
      <c r="C431" s="32" t="s">
        <v>36</v>
      </c>
      <c r="D431" s="33" t="s">
        <v>87</v>
      </c>
      <c r="E431" s="34">
        <v>4</v>
      </c>
      <c r="F431" s="35">
        <v>3292.01</v>
      </c>
      <c r="G431" s="36">
        <v>0.51</v>
      </c>
      <c r="H431" s="35">
        <f t="shared" si="14"/>
        <v>13168.04</v>
      </c>
      <c r="I431" s="37">
        <v>45568</v>
      </c>
      <c r="J431" s="33" t="s">
        <v>15</v>
      </c>
      <c r="K431" s="33" t="s">
        <v>23</v>
      </c>
      <c r="L431" s="38">
        <f t="shared" si="15"/>
        <v>6452.3396000000002</v>
      </c>
      <c r="M431" s="38">
        <v>-358.22</v>
      </c>
      <c r="N431" s="24">
        <f>_xlfn.XLOOKUP(Snitch_Fashion_Sales_cleaned!$J431,Table2[City],Table2[City_Key],"not found")</f>
        <v>1</v>
      </c>
      <c r="O431" s="23">
        <f>_xlfn.XLOOKUP(Snitch_Fashion_Sales_cleaned!$D431,Table4[Product_Name],Table4[Product_Key],"not found")</f>
        <v>20</v>
      </c>
      <c r="P431" s="32">
        <f>_xlfn.XLOOKUP(Snitch_Fashion_Sales_cleaned!$I431,Table3[Order_Date],Table3[Date_Key])</f>
        <v>238</v>
      </c>
    </row>
    <row r="432" spans="1:16" x14ac:dyDescent="0.3">
      <c r="A432" s="27">
        <v>1430</v>
      </c>
      <c r="B432" s="25" t="s">
        <v>478</v>
      </c>
      <c r="C432" s="25" t="s">
        <v>13</v>
      </c>
      <c r="D432" s="26" t="s">
        <v>46</v>
      </c>
      <c r="E432" s="27">
        <v>4</v>
      </c>
      <c r="F432" s="28">
        <v>2891.64</v>
      </c>
      <c r="G432" s="29">
        <v>0.67</v>
      </c>
      <c r="H432" s="28">
        <f t="shared" si="14"/>
        <v>11566.56</v>
      </c>
      <c r="I432" s="30">
        <v>45789</v>
      </c>
      <c r="J432" s="26" t="s">
        <v>43</v>
      </c>
      <c r="K432" s="26" t="s">
        <v>16</v>
      </c>
      <c r="L432" s="31">
        <f t="shared" si="15"/>
        <v>3816.9647999999993</v>
      </c>
      <c r="M432" s="31">
        <v>2045.56</v>
      </c>
      <c r="N432" s="22">
        <f>_xlfn.XLOOKUP(Snitch_Fashion_Sales_cleaned!$J432,Table2[City],Table2[City_Key],"not found")</f>
        <v>6</v>
      </c>
      <c r="O432" s="21">
        <f>_xlfn.XLOOKUP(Snitch_Fashion_Sales_cleaned!$D432,Table4[Product_Name],Table4[Product_Key],"not found")</f>
        <v>10</v>
      </c>
      <c r="P432" s="25">
        <f>_xlfn.XLOOKUP(Snitch_Fashion_Sales_cleaned!$I432,Table3[Order_Date],Table3[Date_Key])</f>
        <v>206</v>
      </c>
    </row>
    <row r="433" spans="1:16" x14ac:dyDescent="0.3">
      <c r="A433" s="34">
        <v>1431</v>
      </c>
      <c r="B433" s="32" t="s">
        <v>479</v>
      </c>
      <c r="C433" s="32" t="s">
        <v>28</v>
      </c>
      <c r="D433" s="33" t="s">
        <v>116</v>
      </c>
      <c r="E433" s="34">
        <v>4</v>
      </c>
      <c r="F433" s="35">
        <v>2785.79</v>
      </c>
      <c r="G433" s="36">
        <v>0.51</v>
      </c>
      <c r="H433" s="35">
        <f t="shared" si="14"/>
        <v>11143.16</v>
      </c>
      <c r="I433" s="37">
        <v>45776</v>
      </c>
      <c r="J433" s="33" t="s">
        <v>15</v>
      </c>
      <c r="K433" s="33" t="s">
        <v>23</v>
      </c>
      <c r="L433" s="38">
        <f t="shared" si="15"/>
        <v>5460.1484</v>
      </c>
      <c r="M433" s="38">
        <v>2191.02</v>
      </c>
      <c r="N433" s="24">
        <f>_xlfn.XLOOKUP(Snitch_Fashion_Sales_cleaned!$J433,Table2[City],Table2[City_Key],"not found")</f>
        <v>1</v>
      </c>
      <c r="O433" s="23">
        <f>_xlfn.XLOOKUP(Snitch_Fashion_Sales_cleaned!$D433,Table4[Product_Name],Table4[Product_Key],"not found")</f>
        <v>22</v>
      </c>
      <c r="P433" s="32">
        <f>_xlfn.XLOOKUP(Snitch_Fashion_Sales_cleaned!$I433,Table3[Order_Date],Table3[Date_Key])</f>
        <v>239</v>
      </c>
    </row>
    <row r="434" spans="1:16" x14ac:dyDescent="0.3">
      <c r="A434" s="27">
        <v>1432</v>
      </c>
      <c r="B434" s="25" t="s">
        <v>480</v>
      </c>
      <c r="C434" s="25" t="s">
        <v>25</v>
      </c>
      <c r="D434" s="26" t="s">
        <v>50</v>
      </c>
      <c r="E434" s="27">
        <v>4</v>
      </c>
      <c r="F434" s="28">
        <v>2666.2200000000003</v>
      </c>
      <c r="G434" s="29">
        <v>0.51</v>
      </c>
      <c r="H434" s="28">
        <f t="shared" si="14"/>
        <v>10664.880000000001</v>
      </c>
      <c r="I434" s="30">
        <v>45445</v>
      </c>
      <c r="J434" s="26" t="s">
        <v>18</v>
      </c>
      <c r="K434" s="26" t="s">
        <v>23</v>
      </c>
      <c r="L434" s="31">
        <f t="shared" si="15"/>
        <v>5225.7912000000006</v>
      </c>
      <c r="M434" s="31">
        <v>-849.15</v>
      </c>
      <c r="N434" s="22">
        <f>_xlfn.XLOOKUP(Snitch_Fashion_Sales_cleaned!$J434,Table2[City],Table2[City_Key],"not found")</f>
        <v>2</v>
      </c>
      <c r="O434" s="21">
        <f>_xlfn.XLOOKUP(Snitch_Fashion_Sales_cleaned!$D434,Table4[Product_Name],Table4[Product_Key],"not found")</f>
        <v>11</v>
      </c>
      <c r="P434" s="25">
        <f>_xlfn.XLOOKUP(Snitch_Fashion_Sales_cleaned!$I434,Table3[Order_Date],Table3[Date_Key])</f>
        <v>240</v>
      </c>
    </row>
    <row r="435" spans="1:16" x14ac:dyDescent="0.3">
      <c r="A435" s="34">
        <v>1433</v>
      </c>
      <c r="B435" s="32" t="s">
        <v>481</v>
      </c>
      <c r="C435" s="32" t="s">
        <v>31</v>
      </c>
      <c r="D435" s="33" t="s">
        <v>41</v>
      </c>
      <c r="E435" s="34">
        <v>2</v>
      </c>
      <c r="F435" s="35">
        <v>3027.66</v>
      </c>
      <c r="G435" s="36">
        <v>0.7</v>
      </c>
      <c r="H435" s="35">
        <f t="shared" si="14"/>
        <v>6055.32</v>
      </c>
      <c r="I435" s="37">
        <v>45661</v>
      </c>
      <c r="J435" s="33" t="s">
        <v>22</v>
      </c>
      <c r="K435" s="33" t="s">
        <v>23</v>
      </c>
      <c r="L435" s="38">
        <f t="shared" si="15"/>
        <v>1816.5960000000002</v>
      </c>
      <c r="M435" s="38">
        <v>-878.85</v>
      </c>
      <c r="N435" s="24">
        <f>_xlfn.XLOOKUP(Snitch_Fashion_Sales_cleaned!$J435,Table2[City],Table2[City_Key],"not found")</f>
        <v>3</v>
      </c>
      <c r="O435" s="23">
        <f>_xlfn.XLOOKUP(Snitch_Fashion_Sales_cleaned!$D435,Table4[Product_Name],Table4[Product_Key],"not found")</f>
        <v>9</v>
      </c>
      <c r="P435" s="32">
        <f>_xlfn.XLOOKUP(Snitch_Fashion_Sales_cleaned!$I435,Table3[Order_Date],Table3[Date_Key])</f>
        <v>63</v>
      </c>
    </row>
    <row r="436" spans="1:16" x14ac:dyDescent="0.3">
      <c r="A436" s="27">
        <v>1434</v>
      </c>
      <c r="B436" s="25" t="s">
        <v>482</v>
      </c>
      <c r="C436" s="25" t="s">
        <v>13</v>
      </c>
      <c r="D436" s="26" t="s">
        <v>34</v>
      </c>
      <c r="E436" s="27">
        <v>3</v>
      </c>
      <c r="F436" s="28">
        <v>476.2</v>
      </c>
      <c r="G436" s="29">
        <v>0.51</v>
      </c>
      <c r="H436" s="28">
        <f t="shared" si="14"/>
        <v>1428.6</v>
      </c>
      <c r="I436" s="30">
        <v>45512</v>
      </c>
      <c r="J436" s="26" t="s">
        <v>52</v>
      </c>
      <c r="K436" s="26" t="s">
        <v>16</v>
      </c>
      <c r="L436" s="31">
        <f t="shared" si="15"/>
        <v>700.0139999999999</v>
      </c>
      <c r="M436" s="31">
        <v>-310.8</v>
      </c>
      <c r="N436" s="22">
        <f>_xlfn.XLOOKUP(Snitch_Fashion_Sales_cleaned!$J436,Table2[City],Table2[City_Key],"not found")</f>
        <v>5</v>
      </c>
      <c r="O436" s="21">
        <f>_xlfn.XLOOKUP(Snitch_Fashion_Sales_cleaned!$D436,Table4[Product_Name],Table4[Product_Key],"not found")</f>
        <v>6</v>
      </c>
      <c r="P436" s="25">
        <f>_xlfn.XLOOKUP(Snitch_Fashion_Sales_cleaned!$I436,Table3[Order_Date],Table3[Date_Key])</f>
        <v>119</v>
      </c>
    </row>
    <row r="437" spans="1:16" x14ac:dyDescent="0.3">
      <c r="A437" s="34">
        <v>1435</v>
      </c>
      <c r="B437" s="32" t="s">
        <v>483</v>
      </c>
      <c r="C437" s="32" t="s">
        <v>31</v>
      </c>
      <c r="D437" s="33" t="s">
        <v>68</v>
      </c>
      <c r="E437" s="34">
        <v>3</v>
      </c>
      <c r="F437" s="35">
        <v>2765.79</v>
      </c>
      <c r="G437" s="36">
        <v>0.51</v>
      </c>
      <c r="H437" s="35">
        <f t="shared" si="14"/>
        <v>8297.369999999999</v>
      </c>
      <c r="I437" s="37">
        <v>45763</v>
      </c>
      <c r="J437" s="33" t="s">
        <v>52</v>
      </c>
      <c r="K437" s="33" t="s">
        <v>23</v>
      </c>
      <c r="L437" s="38">
        <f t="shared" si="15"/>
        <v>4065.7112999999995</v>
      </c>
      <c r="M437" s="38">
        <v>904.65</v>
      </c>
      <c r="N437" s="24">
        <f>_xlfn.XLOOKUP(Snitch_Fashion_Sales_cleaned!$J437,Table2[City],Table2[City_Key],"not found")</f>
        <v>5</v>
      </c>
      <c r="O437" s="23">
        <f>_xlfn.XLOOKUP(Snitch_Fashion_Sales_cleaned!$D437,Table4[Product_Name],Table4[Product_Key],"not found")</f>
        <v>15</v>
      </c>
      <c r="P437" s="32">
        <f>_xlfn.XLOOKUP(Snitch_Fashion_Sales_cleaned!$I437,Table3[Order_Date],Table3[Date_Key])</f>
        <v>241</v>
      </c>
    </row>
    <row r="438" spans="1:16" x14ac:dyDescent="0.3">
      <c r="A438" s="27">
        <v>1436</v>
      </c>
      <c r="B438" s="25" t="s">
        <v>484</v>
      </c>
      <c r="C438" s="25" t="s">
        <v>31</v>
      </c>
      <c r="D438" s="26" t="s">
        <v>68</v>
      </c>
      <c r="E438" s="27">
        <v>4</v>
      </c>
      <c r="F438" s="28">
        <v>2765.79</v>
      </c>
      <c r="G438" s="29">
        <v>0.51</v>
      </c>
      <c r="H438" s="28">
        <f t="shared" si="14"/>
        <v>11063.16</v>
      </c>
      <c r="I438" s="30">
        <v>45517</v>
      </c>
      <c r="J438" s="26" t="s">
        <v>18</v>
      </c>
      <c r="K438" s="26" t="s">
        <v>16</v>
      </c>
      <c r="L438" s="31">
        <f t="shared" si="15"/>
        <v>5420.9484000000002</v>
      </c>
      <c r="M438" s="31">
        <v>1445.93</v>
      </c>
      <c r="N438" s="22">
        <f>_xlfn.XLOOKUP(Snitch_Fashion_Sales_cleaned!$J438,Table2[City],Table2[City_Key],"not found")</f>
        <v>2</v>
      </c>
      <c r="O438" s="21">
        <f>_xlfn.XLOOKUP(Snitch_Fashion_Sales_cleaned!$D438,Table4[Product_Name],Table4[Product_Key],"not found")</f>
        <v>15</v>
      </c>
      <c r="P438" s="25">
        <f>_xlfn.XLOOKUP(Snitch_Fashion_Sales_cleaned!$I438,Table3[Order_Date],Table3[Date_Key])</f>
        <v>89</v>
      </c>
    </row>
    <row r="439" spans="1:16" x14ac:dyDescent="0.3">
      <c r="A439" s="34">
        <v>1437</v>
      </c>
      <c r="B439" s="32" t="s">
        <v>485</v>
      </c>
      <c r="C439" s="32" t="s">
        <v>13</v>
      </c>
      <c r="D439" s="33" t="s">
        <v>34</v>
      </c>
      <c r="E439" s="34">
        <v>3</v>
      </c>
      <c r="F439" s="35">
        <v>3886.3</v>
      </c>
      <c r="G439" s="36">
        <v>0.34</v>
      </c>
      <c r="H439" s="35">
        <f t="shared" si="14"/>
        <v>11658.900000000001</v>
      </c>
      <c r="I439" s="37">
        <v>45703</v>
      </c>
      <c r="J439" s="33" t="s">
        <v>15</v>
      </c>
      <c r="K439" s="33" t="s">
        <v>16</v>
      </c>
      <c r="L439" s="38">
        <f t="shared" si="15"/>
        <v>7694.8739999999998</v>
      </c>
      <c r="M439" s="38">
        <v>131.47999999999999</v>
      </c>
      <c r="N439" s="24">
        <f>_xlfn.XLOOKUP(Snitch_Fashion_Sales_cleaned!$J439,Table2[City],Table2[City_Key],"not found")</f>
        <v>1</v>
      </c>
      <c r="O439" s="23">
        <f>_xlfn.XLOOKUP(Snitch_Fashion_Sales_cleaned!$D439,Table4[Product_Name],Table4[Product_Key],"not found")</f>
        <v>6</v>
      </c>
      <c r="P439" s="32">
        <f>_xlfn.XLOOKUP(Snitch_Fashion_Sales_cleaned!$I439,Table3[Order_Date],Table3[Date_Key])</f>
        <v>242</v>
      </c>
    </row>
    <row r="440" spans="1:16" x14ac:dyDescent="0.3">
      <c r="A440" s="27">
        <v>1438</v>
      </c>
      <c r="B440" s="25" t="s">
        <v>486</v>
      </c>
      <c r="C440" s="25" t="s">
        <v>36</v>
      </c>
      <c r="D440" s="26" t="s">
        <v>59</v>
      </c>
      <c r="E440" s="27">
        <v>3</v>
      </c>
      <c r="F440" s="28">
        <v>2663.97</v>
      </c>
      <c r="G440" s="29">
        <v>0.84</v>
      </c>
      <c r="H440" s="28">
        <f t="shared" si="14"/>
        <v>7991.91</v>
      </c>
      <c r="I440" s="30">
        <v>45186</v>
      </c>
      <c r="J440" s="26" t="s">
        <v>43</v>
      </c>
      <c r="K440" s="26" t="s">
        <v>23</v>
      </c>
      <c r="L440" s="31">
        <f t="shared" si="15"/>
        <v>1278.7056000000002</v>
      </c>
      <c r="M440" s="31">
        <v>1014.29</v>
      </c>
      <c r="N440" s="22">
        <f>_xlfn.XLOOKUP(Snitch_Fashion_Sales_cleaned!$J440,Table2[City],Table2[City_Key],"not found")</f>
        <v>6</v>
      </c>
      <c r="O440" s="21">
        <f>_xlfn.XLOOKUP(Snitch_Fashion_Sales_cleaned!$D440,Table4[Product_Name],Table4[Product_Key],"not found")</f>
        <v>13</v>
      </c>
      <c r="P440" s="25">
        <f>_xlfn.XLOOKUP(Snitch_Fashion_Sales_cleaned!$I440,Table3[Order_Date],Table3[Date_Key])</f>
        <v>243</v>
      </c>
    </row>
    <row r="441" spans="1:16" x14ac:dyDescent="0.3">
      <c r="A441" s="34">
        <v>1439</v>
      </c>
      <c r="B441" s="32" t="s">
        <v>487</v>
      </c>
      <c r="C441" s="32" t="s">
        <v>31</v>
      </c>
      <c r="D441" s="33" t="s">
        <v>78</v>
      </c>
      <c r="E441" s="34">
        <v>4</v>
      </c>
      <c r="F441" s="35">
        <v>2599.75</v>
      </c>
      <c r="G441" s="36">
        <v>0.51</v>
      </c>
      <c r="H441" s="35">
        <f t="shared" si="14"/>
        <v>10399</v>
      </c>
      <c r="I441" s="37">
        <v>45647</v>
      </c>
      <c r="J441" s="33" t="s">
        <v>18</v>
      </c>
      <c r="K441" s="33" t="s">
        <v>23</v>
      </c>
      <c r="L441" s="38">
        <f t="shared" si="15"/>
        <v>5095.51</v>
      </c>
      <c r="M441" s="38">
        <v>726.42</v>
      </c>
      <c r="N441" s="24">
        <f>_xlfn.XLOOKUP(Snitch_Fashion_Sales_cleaned!$J441,Table2[City],Table2[City_Key],"not found")</f>
        <v>2</v>
      </c>
      <c r="O441" s="23">
        <f>_xlfn.XLOOKUP(Snitch_Fashion_Sales_cleaned!$D441,Table4[Product_Name],Table4[Product_Key],"not found")</f>
        <v>17</v>
      </c>
      <c r="P441" s="32">
        <f>_xlfn.XLOOKUP(Snitch_Fashion_Sales_cleaned!$I441,Table3[Order_Date],Table3[Date_Key])</f>
        <v>5</v>
      </c>
    </row>
    <row r="442" spans="1:16" x14ac:dyDescent="0.3">
      <c r="A442" s="27">
        <v>1440</v>
      </c>
      <c r="B442" s="25" t="s">
        <v>488</v>
      </c>
      <c r="C442" s="25" t="s">
        <v>36</v>
      </c>
      <c r="D442" s="26" t="s">
        <v>87</v>
      </c>
      <c r="E442" s="27">
        <v>4</v>
      </c>
      <c r="F442" s="28">
        <v>635.12</v>
      </c>
      <c r="G442" s="29">
        <v>0.32</v>
      </c>
      <c r="H442" s="28">
        <f t="shared" si="14"/>
        <v>2540.48</v>
      </c>
      <c r="I442" s="30">
        <v>45860</v>
      </c>
      <c r="J442" s="26" t="s">
        <v>52</v>
      </c>
      <c r="K442" s="26" t="s">
        <v>16</v>
      </c>
      <c r="L442" s="31">
        <f t="shared" si="15"/>
        <v>1727.5264</v>
      </c>
      <c r="M442" s="31">
        <v>-476.72</v>
      </c>
      <c r="N442" s="22">
        <f>_xlfn.XLOOKUP(Snitch_Fashion_Sales_cleaned!$J442,Table2[City],Table2[City_Key],"not found")</f>
        <v>5</v>
      </c>
      <c r="O442" s="21">
        <f>_xlfn.XLOOKUP(Snitch_Fashion_Sales_cleaned!$D442,Table4[Product_Name],Table4[Product_Key],"not found")</f>
        <v>20</v>
      </c>
      <c r="P442" s="25">
        <f>_xlfn.XLOOKUP(Snitch_Fashion_Sales_cleaned!$I442,Table3[Order_Date],Table3[Date_Key])</f>
        <v>244</v>
      </c>
    </row>
    <row r="443" spans="1:16" x14ac:dyDescent="0.3">
      <c r="A443" s="34">
        <v>1441</v>
      </c>
      <c r="B443" s="32" t="s">
        <v>489</v>
      </c>
      <c r="C443" s="32" t="s">
        <v>13</v>
      </c>
      <c r="D443" s="33" t="s">
        <v>14</v>
      </c>
      <c r="E443" s="34">
        <v>4</v>
      </c>
      <c r="F443" s="35">
        <v>2366.6149999999998</v>
      </c>
      <c r="G443" s="36">
        <v>0.51</v>
      </c>
      <c r="H443" s="35">
        <f t="shared" si="14"/>
        <v>9466.4599999999991</v>
      </c>
      <c r="I443" s="37">
        <v>45647</v>
      </c>
      <c r="J443" s="33" t="s">
        <v>2540</v>
      </c>
      <c r="K443" s="33" t="s">
        <v>23</v>
      </c>
      <c r="L443" s="38">
        <f t="shared" si="15"/>
        <v>4638.5653999999995</v>
      </c>
      <c r="M443" s="38">
        <v>-316.51</v>
      </c>
      <c r="N443" s="24">
        <f>_xlfn.XLOOKUP(Snitch_Fashion_Sales_cleaned!$J443,Table2[City],Table2[City_Key],"not found")</f>
        <v>4</v>
      </c>
      <c r="O443" s="23">
        <f>_xlfn.XLOOKUP(Snitch_Fashion_Sales_cleaned!$D443,Table4[Product_Name],Table4[Product_Key],"not found")</f>
        <v>1</v>
      </c>
      <c r="P443" s="32">
        <f>_xlfn.XLOOKUP(Snitch_Fashion_Sales_cleaned!$I443,Table3[Order_Date],Table3[Date_Key])</f>
        <v>5</v>
      </c>
    </row>
    <row r="444" spans="1:16" x14ac:dyDescent="0.3">
      <c r="A444" s="27">
        <v>1442</v>
      </c>
      <c r="B444" s="25" t="s">
        <v>490</v>
      </c>
      <c r="C444" s="25" t="s">
        <v>25</v>
      </c>
      <c r="D444" s="26" t="s">
        <v>62</v>
      </c>
      <c r="E444" s="27">
        <v>4</v>
      </c>
      <c r="F444" s="28">
        <v>3001.28</v>
      </c>
      <c r="G444" s="29">
        <v>0.51</v>
      </c>
      <c r="H444" s="28">
        <f t="shared" si="14"/>
        <v>12005.12</v>
      </c>
      <c r="I444" s="30">
        <v>45479</v>
      </c>
      <c r="J444" s="26" t="s">
        <v>15</v>
      </c>
      <c r="K444" s="26" t="s">
        <v>16</v>
      </c>
      <c r="L444" s="31">
        <f t="shared" si="15"/>
        <v>5882.5088000000005</v>
      </c>
      <c r="M444" s="31">
        <v>1218.28</v>
      </c>
      <c r="N444" s="22">
        <f>_xlfn.XLOOKUP(Snitch_Fashion_Sales_cleaned!$J444,Table2[City],Table2[City_Key],"not found")</f>
        <v>1</v>
      </c>
      <c r="O444" s="21">
        <f>_xlfn.XLOOKUP(Snitch_Fashion_Sales_cleaned!$D444,Table4[Product_Name],Table4[Product_Key],"not found")</f>
        <v>14</v>
      </c>
      <c r="P444" s="25">
        <f>_xlfn.XLOOKUP(Snitch_Fashion_Sales_cleaned!$I444,Table3[Order_Date],Table3[Date_Key])</f>
        <v>245</v>
      </c>
    </row>
    <row r="445" spans="1:16" x14ac:dyDescent="0.3">
      <c r="A445" s="34">
        <v>1443</v>
      </c>
      <c r="B445" s="32" t="s">
        <v>491</v>
      </c>
      <c r="C445" s="32" t="s">
        <v>31</v>
      </c>
      <c r="D445" s="33" t="s">
        <v>32</v>
      </c>
      <c r="E445" s="34">
        <v>4</v>
      </c>
      <c r="F445" s="35">
        <v>2001.5500000000002</v>
      </c>
      <c r="G445" s="36">
        <v>0.51</v>
      </c>
      <c r="H445" s="35">
        <f t="shared" si="14"/>
        <v>8006.2000000000007</v>
      </c>
      <c r="I445" s="37">
        <v>45484</v>
      </c>
      <c r="J445" s="33" t="s">
        <v>2540</v>
      </c>
      <c r="K445" s="33" t="s">
        <v>23</v>
      </c>
      <c r="L445" s="38">
        <f t="shared" si="15"/>
        <v>3923.0380000000005</v>
      </c>
      <c r="M445" s="38">
        <v>2962.6</v>
      </c>
      <c r="N445" s="24">
        <f>_xlfn.XLOOKUP(Snitch_Fashion_Sales_cleaned!$J445,Table2[City],Table2[City_Key],"not found")</f>
        <v>4</v>
      </c>
      <c r="O445" s="23">
        <f>_xlfn.XLOOKUP(Snitch_Fashion_Sales_cleaned!$D445,Table4[Product_Name],Table4[Product_Key],"not found")</f>
        <v>5</v>
      </c>
      <c r="P445" s="32">
        <f>_xlfn.XLOOKUP(Snitch_Fashion_Sales_cleaned!$I445,Table3[Order_Date],Table3[Date_Key])</f>
        <v>246</v>
      </c>
    </row>
    <row r="446" spans="1:16" x14ac:dyDescent="0.3">
      <c r="A446" s="27">
        <v>1444</v>
      </c>
      <c r="B446" s="25" t="s">
        <v>492</v>
      </c>
      <c r="C446" s="25" t="s">
        <v>28</v>
      </c>
      <c r="D446" s="26" t="s">
        <v>116</v>
      </c>
      <c r="E446" s="27">
        <v>3</v>
      </c>
      <c r="F446" s="28">
        <v>3452.16</v>
      </c>
      <c r="G446" s="29">
        <v>0.51</v>
      </c>
      <c r="H446" s="28">
        <f t="shared" si="14"/>
        <v>10356.48</v>
      </c>
      <c r="I446" s="30">
        <v>45647</v>
      </c>
      <c r="J446" s="26" t="s">
        <v>22</v>
      </c>
      <c r="K446" s="26" t="s">
        <v>23</v>
      </c>
      <c r="L446" s="31">
        <f t="shared" si="15"/>
        <v>5074.6751999999997</v>
      </c>
      <c r="M446" s="31">
        <v>810.8</v>
      </c>
      <c r="N446" s="22">
        <f>_xlfn.XLOOKUP(Snitch_Fashion_Sales_cleaned!$J446,Table2[City],Table2[City_Key],"not found")</f>
        <v>3</v>
      </c>
      <c r="O446" s="21">
        <f>_xlfn.XLOOKUP(Snitch_Fashion_Sales_cleaned!$D446,Table4[Product_Name],Table4[Product_Key],"not found")</f>
        <v>22</v>
      </c>
      <c r="P446" s="25">
        <f>_xlfn.XLOOKUP(Snitch_Fashion_Sales_cleaned!$I446,Table3[Order_Date],Table3[Date_Key])</f>
        <v>5</v>
      </c>
    </row>
    <row r="447" spans="1:16" x14ac:dyDescent="0.3">
      <c r="A447" s="34">
        <v>1445</v>
      </c>
      <c r="B447" s="32" t="s">
        <v>493</v>
      </c>
      <c r="C447" s="32" t="s">
        <v>20</v>
      </c>
      <c r="D447" s="33" t="s">
        <v>76</v>
      </c>
      <c r="E447" s="34">
        <v>3</v>
      </c>
      <c r="F447" s="35">
        <v>1370.36</v>
      </c>
      <c r="G447" s="36">
        <v>0.54</v>
      </c>
      <c r="H447" s="35">
        <f t="shared" si="14"/>
        <v>4111.08</v>
      </c>
      <c r="I447" s="37">
        <v>45827</v>
      </c>
      <c r="J447" s="33" t="s">
        <v>22</v>
      </c>
      <c r="K447" s="33" t="s">
        <v>16</v>
      </c>
      <c r="L447" s="38">
        <f t="shared" si="15"/>
        <v>1891.0967999999998</v>
      </c>
      <c r="M447" s="38">
        <v>472.77419999999995</v>
      </c>
      <c r="N447" s="24">
        <f>_xlfn.XLOOKUP(Snitch_Fashion_Sales_cleaned!$J447,Table2[City],Table2[City_Key],"not found")</f>
        <v>3</v>
      </c>
      <c r="O447" s="23">
        <f>_xlfn.XLOOKUP(Snitch_Fashion_Sales_cleaned!$D447,Table4[Product_Name],Table4[Product_Key],"not found")</f>
        <v>16</v>
      </c>
      <c r="P447" s="32">
        <f>_xlfn.XLOOKUP(Snitch_Fashion_Sales_cleaned!$I447,Table3[Order_Date],Table3[Date_Key])</f>
        <v>247</v>
      </c>
    </row>
    <row r="448" spans="1:16" x14ac:dyDescent="0.3">
      <c r="A448" s="27">
        <v>1446</v>
      </c>
      <c r="B448" s="25" t="s">
        <v>494</v>
      </c>
      <c r="C448" s="25" t="s">
        <v>25</v>
      </c>
      <c r="D448" s="26" t="s">
        <v>26</v>
      </c>
      <c r="E448" s="27">
        <v>4</v>
      </c>
      <c r="F448" s="28">
        <v>2827.68</v>
      </c>
      <c r="G448" s="29">
        <v>0.86</v>
      </c>
      <c r="H448" s="28">
        <f t="shared" si="14"/>
        <v>11310.72</v>
      </c>
      <c r="I448" s="30">
        <v>45519</v>
      </c>
      <c r="J448" s="26" t="s">
        <v>15</v>
      </c>
      <c r="K448" s="26" t="s">
        <v>23</v>
      </c>
      <c r="L448" s="31">
        <f t="shared" si="15"/>
        <v>1583.5008</v>
      </c>
      <c r="M448" s="31">
        <v>-602.57000000000005</v>
      </c>
      <c r="N448" s="22">
        <f>_xlfn.XLOOKUP(Snitch_Fashion_Sales_cleaned!$J448,Table2[City],Table2[City_Key],"not found")</f>
        <v>1</v>
      </c>
      <c r="O448" s="21">
        <f>_xlfn.XLOOKUP(Snitch_Fashion_Sales_cleaned!$D448,Table4[Product_Name],Table4[Product_Key],"not found")</f>
        <v>3</v>
      </c>
      <c r="P448" s="25">
        <f>_xlfn.XLOOKUP(Snitch_Fashion_Sales_cleaned!$I448,Table3[Order_Date],Table3[Date_Key])</f>
        <v>248</v>
      </c>
    </row>
    <row r="449" spans="1:16" x14ac:dyDescent="0.3">
      <c r="A449" s="34">
        <v>1031</v>
      </c>
      <c r="B449" s="32" t="s">
        <v>495</v>
      </c>
      <c r="C449" s="32" t="s">
        <v>31</v>
      </c>
      <c r="D449" s="33" t="s">
        <v>68</v>
      </c>
      <c r="E449" s="34">
        <v>6</v>
      </c>
      <c r="F449" s="35">
        <v>3792.09</v>
      </c>
      <c r="G449" s="36">
        <v>0.51</v>
      </c>
      <c r="H449" s="35">
        <f t="shared" si="14"/>
        <v>22752.54</v>
      </c>
      <c r="I449" s="37">
        <v>45263</v>
      </c>
      <c r="J449" s="33" t="s">
        <v>2540</v>
      </c>
      <c r="K449" s="33" t="s">
        <v>16</v>
      </c>
      <c r="L449" s="38">
        <f t="shared" si="15"/>
        <v>11148.7446</v>
      </c>
      <c r="M449" s="38">
        <v>194.31</v>
      </c>
      <c r="N449" s="24">
        <f>_xlfn.XLOOKUP(Snitch_Fashion_Sales_cleaned!$J449,Table2[City],Table2[City_Key],"not found")</f>
        <v>4</v>
      </c>
      <c r="O449" s="23">
        <f>_xlfn.XLOOKUP(Snitch_Fashion_Sales_cleaned!$D449,Table4[Product_Name],Table4[Product_Key],"not found")</f>
        <v>15</v>
      </c>
      <c r="P449" s="32">
        <f>_xlfn.XLOOKUP(Snitch_Fashion_Sales_cleaned!$I449,Table3[Order_Date],Table3[Date_Key])</f>
        <v>249</v>
      </c>
    </row>
    <row r="450" spans="1:16" x14ac:dyDescent="0.3">
      <c r="A450" s="27">
        <v>1448</v>
      </c>
      <c r="B450" s="25" t="s">
        <v>496</v>
      </c>
      <c r="C450" s="25" t="s">
        <v>13</v>
      </c>
      <c r="D450" s="26" t="s">
        <v>14</v>
      </c>
      <c r="E450" s="27">
        <v>4</v>
      </c>
      <c r="F450" s="28">
        <v>1657.95</v>
      </c>
      <c r="G450" s="29">
        <v>0.51</v>
      </c>
      <c r="H450" s="28">
        <f t="shared" si="14"/>
        <v>6631.8</v>
      </c>
      <c r="I450" s="30">
        <v>45269</v>
      </c>
      <c r="J450" s="26" t="s">
        <v>43</v>
      </c>
      <c r="K450" s="26" t="s">
        <v>23</v>
      </c>
      <c r="L450" s="31">
        <f t="shared" si="15"/>
        <v>3249.5819999999999</v>
      </c>
      <c r="M450" s="31">
        <v>1948.49</v>
      </c>
      <c r="N450" s="22">
        <f>_xlfn.XLOOKUP(Snitch_Fashion_Sales_cleaned!$J450,Table2[City],Table2[City_Key],"not found")</f>
        <v>6</v>
      </c>
      <c r="O450" s="21">
        <f>_xlfn.XLOOKUP(Snitch_Fashion_Sales_cleaned!$D450,Table4[Product_Name],Table4[Product_Key],"not found")</f>
        <v>1</v>
      </c>
      <c r="P450" s="25">
        <f>_xlfn.XLOOKUP(Snitch_Fashion_Sales_cleaned!$I450,Table3[Order_Date],Table3[Date_Key])</f>
        <v>250</v>
      </c>
    </row>
    <row r="451" spans="1:16" x14ac:dyDescent="0.3">
      <c r="A451" s="34">
        <v>1449</v>
      </c>
      <c r="B451" s="32" t="s">
        <v>497</v>
      </c>
      <c r="C451" s="32" t="s">
        <v>13</v>
      </c>
      <c r="D451" s="33" t="s">
        <v>46</v>
      </c>
      <c r="E451" s="34">
        <v>4</v>
      </c>
      <c r="F451" s="35">
        <v>2855.53</v>
      </c>
      <c r="G451" s="36">
        <v>0.55000000000000004</v>
      </c>
      <c r="H451" s="35">
        <f t="shared" si="14"/>
        <v>11422.12</v>
      </c>
      <c r="I451" s="37">
        <v>45707</v>
      </c>
      <c r="J451" s="33" t="s">
        <v>18</v>
      </c>
      <c r="K451" s="33" t="s">
        <v>16</v>
      </c>
      <c r="L451" s="38">
        <f t="shared" si="15"/>
        <v>5139.9539999999997</v>
      </c>
      <c r="M451" s="38">
        <v>2598.7399999999998</v>
      </c>
      <c r="N451" s="24">
        <f>_xlfn.XLOOKUP(Snitch_Fashion_Sales_cleaned!$J451,Table2[City],Table2[City_Key],"not found")</f>
        <v>2</v>
      </c>
      <c r="O451" s="23">
        <f>_xlfn.XLOOKUP(Snitch_Fashion_Sales_cleaned!$D451,Table4[Product_Name],Table4[Product_Key],"not found")</f>
        <v>10</v>
      </c>
      <c r="P451" s="32">
        <f>_xlfn.XLOOKUP(Snitch_Fashion_Sales_cleaned!$I451,Table3[Order_Date],Table3[Date_Key])</f>
        <v>17</v>
      </c>
    </row>
    <row r="452" spans="1:16" x14ac:dyDescent="0.3">
      <c r="A452" s="27">
        <v>1043</v>
      </c>
      <c r="B452" s="25" t="s">
        <v>498</v>
      </c>
      <c r="C452" s="25" t="s">
        <v>31</v>
      </c>
      <c r="D452" s="26" t="s">
        <v>78</v>
      </c>
      <c r="E452" s="27">
        <v>4</v>
      </c>
      <c r="F452" s="28">
        <v>2599.75</v>
      </c>
      <c r="G452" s="29">
        <v>0.51</v>
      </c>
      <c r="H452" s="28">
        <f t="shared" si="14"/>
        <v>10399</v>
      </c>
      <c r="I452" s="30">
        <v>45456</v>
      </c>
      <c r="J452" s="26" t="s">
        <v>15</v>
      </c>
      <c r="K452" s="26" t="s">
        <v>16</v>
      </c>
      <c r="L452" s="31">
        <f t="shared" si="15"/>
        <v>5095.51</v>
      </c>
      <c r="M452" s="31">
        <v>-401.44</v>
      </c>
      <c r="N452" s="22">
        <f>_xlfn.XLOOKUP(Snitch_Fashion_Sales_cleaned!$J452,Table2[City],Table2[City_Key],"not found")</f>
        <v>1</v>
      </c>
      <c r="O452" s="21">
        <f>_xlfn.XLOOKUP(Snitch_Fashion_Sales_cleaned!$D452,Table4[Product_Name],Table4[Product_Key],"not found")</f>
        <v>17</v>
      </c>
      <c r="P452" s="25">
        <f>_xlfn.XLOOKUP(Snitch_Fashion_Sales_cleaned!$I452,Table3[Order_Date],Table3[Date_Key])</f>
        <v>251</v>
      </c>
    </row>
    <row r="453" spans="1:16" x14ac:dyDescent="0.3">
      <c r="A453" s="34">
        <v>1451</v>
      </c>
      <c r="B453" s="32" t="s">
        <v>499</v>
      </c>
      <c r="C453" s="32" t="s">
        <v>25</v>
      </c>
      <c r="D453" s="33" t="s">
        <v>62</v>
      </c>
      <c r="E453" s="34">
        <v>4</v>
      </c>
      <c r="F453" s="35">
        <v>620.64</v>
      </c>
      <c r="G453" s="36">
        <v>0.51</v>
      </c>
      <c r="H453" s="35">
        <f t="shared" si="14"/>
        <v>2482.56</v>
      </c>
      <c r="I453" s="37">
        <v>45801</v>
      </c>
      <c r="J453" s="33" t="s">
        <v>52</v>
      </c>
      <c r="K453" s="33" t="s">
        <v>23</v>
      </c>
      <c r="L453" s="38">
        <f t="shared" si="15"/>
        <v>1216.4543999999999</v>
      </c>
      <c r="M453" s="38">
        <v>304.11359999999996</v>
      </c>
      <c r="N453" s="24">
        <f>_xlfn.XLOOKUP(Snitch_Fashion_Sales_cleaned!$J453,Table2[City],Table2[City_Key],"not found")</f>
        <v>5</v>
      </c>
      <c r="O453" s="23">
        <f>_xlfn.XLOOKUP(Snitch_Fashion_Sales_cleaned!$D453,Table4[Product_Name],Table4[Product_Key],"not found")</f>
        <v>14</v>
      </c>
      <c r="P453" s="32">
        <f>_xlfn.XLOOKUP(Snitch_Fashion_Sales_cleaned!$I453,Table3[Order_Date],Table3[Date_Key])</f>
        <v>252</v>
      </c>
    </row>
    <row r="454" spans="1:16" x14ac:dyDescent="0.3">
      <c r="A454" s="27">
        <v>1452</v>
      </c>
      <c r="B454" s="25" t="s">
        <v>500</v>
      </c>
      <c r="C454" s="25" t="s">
        <v>28</v>
      </c>
      <c r="D454" s="26" t="s">
        <v>39</v>
      </c>
      <c r="E454" s="27">
        <v>3</v>
      </c>
      <c r="F454" s="28">
        <v>2660.28</v>
      </c>
      <c r="G454" s="29">
        <v>0.34</v>
      </c>
      <c r="H454" s="28">
        <f t="shared" ref="H454:H517" si="16">E454*F454</f>
        <v>7980.84</v>
      </c>
      <c r="I454" s="30">
        <v>45647</v>
      </c>
      <c r="J454" s="26" t="s">
        <v>15</v>
      </c>
      <c r="K454" s="26" t="s">
        <v>16</v>
      </c>
      <c r="L454" s="31">
        <f t="shared" ref="L454:L517" si="17">H454*(1-G454)</f>
        <v>5267.3543999999993</v>
      </c>
      <c r="M454" s="31">
        <v>918.54</v>
      </c>
      <c r="N454" s="22">
        <f>_xlfn.XLOOKUP(Snitch_Fashion_Sales_cleaned!$J454,Table2[City],Table2[City_Key],"not found")</f>
        <v>1</v>
      </c>
      <c r="O454" s="21">
        <f>_xlfn.XLOOKUP(Snitch_Fashion_Sales_cleaned!$D454,Table4[Product_Name],Table4[Product_Key],"not found")</f>
        <v>8</v>
      </c>
      <c r="P454" s="25">
        <f>_xlfn.XLOOKUP(Snitch_Fashion_Sales_cleaned!$I454,Table3[Order_Date],Table3[Date_Key])</f>
        <v>5</v>
      </c>
    </row>
    <row r="455" spans="1:16" x14ac:dyDescent="0.3">
      <c r="A455" s="34">
        <v>1453</v>
      </c>
      <c r="B455" s="32" t="s">
        <v>501</v>
      </c>
      <c r="C455" s="32" t="s">
        <v>13</v>
      </c>
      <c r="D455" s="33" t="s">
        <v>46</v>
      </c>
      <c r="E455" s="34">
        <v>4</v>
      </c>
      <c r="F455" s="35">
        <v>2891.64</v>
      </c>
      <c r="G455" s="36">
        <v>0.18</v>
      </c>
      <c r="H455" s="35">
        <f t="shared" si="16"/>
        <v>11566.56</v>
      </c>
      <c r="I455" s="37">
        <v>45633</v>
      </c>
      <c r="J455" s="33" t="s">
        <v>2540</v>
      </c>
      <c r="K455" s="33" t="s">
        <v>23</v>
      </c>
      <c r="L455" s="38">
        <f t="shared" si="17"/>
        <v>9484.5792000000001</v>
      </c>
      <c r="M455" s="38">
        <v>1465.97</v>
      </c>
      <c r="N455" s="24">
        <f>_xlfn.XLOOKUP(Snitch_Fashion_Sales_cleaned!$J455,Table2[City],Table2[City_Key],"not found")</f>
        <v>4</v>
      </c>
      <c r="O455" s="23">
        <f>_xlfn.XLOOKUP(Snitch_Fashion_Sales_cleaned!$D455,Table4[Product_Name],Table4[Product_Key],"not found")</f>
        <v>10</v>
      </c>
      <c r="P455" s="32">
        <f>_xlfn.XLOOKUP(Snitch_Fashion_Sales_cleaned!$I455,Table3[Order_Date],Table3[Date_Key])</f>
        <v>211</v>
      </c>
    </row>
    <row r="456" spans="1:16" x14ac:dyDescent="0.3">
      <c r="A456" s="27">
        <v>1454</v>
      </c>
      <c r="B456" s="25" t="s">
        <v>502</v>
      </c>
      <c r="C456" s="25" t="s">
        <v>28</v>
      </c>
      <c r="D456" s="26" t="s">
        <v>39</v>
      </c>
      <c r="E456" s="27">
        <v>3</v>
      </c>
      <c r="F456" s="28">
        <v>4523.58</v>
      </c>
      <c r="G456" s="29">
        <v>0.51</v>
      </c>
      <c r="H456" s="28">
        <f t="shared" si="16"/>
        <v>13570.74</v>
      </c>
      <c r="I456" s="30">
        <v>45495</v>
      </c>
      <c r="J456" s="26" t="s">
        <v>43</v>
      </c>
      <c r="K456" s="26" t="s">
        <v>23</v>
      </c>
      <c r="L456" s="31">
        <f t="shared" si="17"/>
        <v>6649.6625999999997</v>
      </c>
      <c r="M456" s="31">
        <v>2424.44</v>
      </c>
      <c r="N456" s="22">
        <f>_xlfn.XLOOKUP(Snitch_Fashion_Sales_cleaned!$J456,Table2[City],Table2[City_Key],"not found")</f>
        <v>6</v>
      </c>
      <c r="O456" s="21">
        <f>_xlfn.XLOOKUP(Snitch_Fashion_Sales_cleaned!$D456,Table4[Product_Name],Table4[Product_Key],"not found")</f>
        <v>8</v>
      </c>
      <c r="P456" s="25">
        <f>_xlfn.XLOOKUP(Snitch_Fashion_Sales_cleaned!$I456,Table3[Order_Date],Table3[Date_Key])</f>
        <v>132</v>
      </c>
    </row>
    <row r="457" spans="1:16" x14ac:dyDescent="0.3">
      <c r="A457" s="34">
        <v>1455</v>
      </c>
      <c r="B457" s="32" t="s">
        <v>503</v>
      </c>
      <c r="C457" s="32" t="s">
        <v>31</v>
      </c>
      <c r="D457" s="33" t="s">
        <v>68</v>
      </c>
      <c r="E457" s="34">
        <v>4</v>
      </c>
      <c r="F457" s="35">
        <v>2765.79</v>
      </c>
      <c r="G457" s="36">
        <v>0.51</v>
      </c>
      <c r="H457" s="35">
        <f t="shared" si="16"/>
        <v>11063.16</v>
      </c>
      <c r="I457" s="37">
        <v>45629</v>
      </c>
      <c r="J457" s="33" t="s">
        <v>15</v>
      </c>
      <c r="K457" s="33" t="s">
        <v>23</v>
      </c>
      <c r="L457" s="38">
        <f t="shared" si="17"/>
        <v>5420.9484000000002</v>
      </c>
      <c r="M457" s="38">
        <v>743.47</v>
      </c>
      <c r="N457" s="24">
        <f>_xlfn.XLOOKUP(Snitch_Fashion_Sales_cleaned!$J457,Table2[City],Table2[City_Key],"not found")</f>
        <v>1</v>
      </c>
      <c r="O457" s="23">
        <f>_xlfn.XLOOKUP(Snitch_Fashion_Sales_cleaned!$D457,Table4[Product_Name],Table4[Product_Key],"not found")</f>
        <v>15</v>
      </c>
      <c r="P457" s="32">
        <f>_xlfn.XLOOKUP(Snitch_Fashion_Sales_cleaned!$I457,Table3[Order_Date],Table3[Date_Key])</f>
        <v>62</v>
      </c>
    </row>
    <row r="458" spans="1:16" x14ac:dyDescent="0.3">
      <c r="A458" s="27">
        <v>1456</v>
      </c>
      <c r="B458" s="25" t="s">
        <v>504</v>
      </c>
      <c r="C458" s="25" t="s">
        <v>31</v>
      </c>
      <c r="D458" s="26" t="s">
        <v>78</v>
      </c>
      <c r="E458" s="27">
        <v>2</v>
      </c>
      <c r="F458" s="28">
        <v>2599.75</v>
      </c>
      <c r="G458" s="29">
        <v>0.51</v>
      </c>
      <c r="H458" s="28">
        <f t="shared" si="16"/>
        <v>5199.5</v>
      </c>
      <c r="I458" s="30">
        <v>45702</v>
      </c>
      <c r="J458" s="26" t="s">
        <v>2540</v>
      </c>
      <c r="K458" s="26" t="s">
        <v>16</v>
      </c>
      <c r="L458" s="31">
        <f t="shared" si="17"/>
        <v>2547.7550000000001</v>
      </c>
      <c r="M458" s="31">
        <v>1350.12</v>
      </c>
      <c r="N458" s="22">
        <f>_xlfn.XLOOKUP(Snitch_Fashion_Sales_cleaned!$J458,Table2[City],Table2[City_Key],"not found")</f>
        <v>4</v>
      </c>
      <c r="O458" s="21">
        <f>_xlfn.XLOOKUP(Snitch_Fashion_Sales_cleaned!$D458,Table4[Product_Name],Table4[Product_Key],"not found")</f>
        <v>17</v>
      </c>
      <c r="P458" s="25">
        <f>_xlfn.XLOOKUP(Snitch_Fashion_Sales_cleaned!$I458,Table3[Order_Date],Table3[Date_Key])</f>
        <v>154</v>
      </c>
    </row>
    <row r="459" spans="1:16" x14ac:dyDescent="0.3">
      <c r="A459" s="34">
        <v>1457</v>
      </c>
      <c r="B459" s="32" t="s">
        <v>505</v>
      </c>
      <c r="C459" s="32" t="s">
        <v>28</v>
      </c>
      <c r="D459" s="33" t="s">
        <v>116</v>
      </c>
      <c r="E459" s="34">
        <v>4</v>
      </c>
      <c r="F459" s="35">
        <v>2342.25</v>
      </c>
      <c r="G459" s="36">
        <v>0.51</v>
      </c>
      <c r="H459" s="35">
        <f t="shared" si="16"/>
        <v>9369</v>
      </c>
      <c r="I459" s="37">
        <v>45647</v>
      </c>
      <c r="J459" s="33" t="s">
        <v>2540</v>
      </c>
      <c r="K459" s="33" t="s">
        <v>23</v>
      </c>
      <c r="L459" s="38">
        <f t="shared" si="17"/>
        <v>4590.8099999999995</v>
      </c>
      <c r="M459" s="38">
        <v>750.64</v>
      </c>
      <c r="N459" s="24">
        <f>_xlfn.XLOOKUP(Snitch_Fashion_Sales_cleaned!$J459,Table2[City],Table2[City_Key],"not found")</f>
        <v>4</v>
      </c>
      <c r="O459" s="23">
        <f>_xlfn.XLOOKUP(Snitch_Fashion_Sales_cleaned!$D459,Table4[Product_Name],Table4[Product_Key],"not found")</f>
        <v>22</v>
      </c>
      <c r="P459" s="32">
        <f>_xlfn.XLOOKUP(Snitch_Fashion_Sales_cleaned!$I459,Table3[Order_Date],Table3[Date_Key])</f>
        <v>5</v>
      </c>
    </row>
    <row r="460" spans="1:16" x14ac:dyDescent="0.3">
      <c r="A460" s="27">
        <v>1458</v>
      </c>
      <c r="B460" s="25" t="s">
        <v>506</v>
      </c>
      <c r="C460" s="25" t="s">
        <v>20</v>
      </c>
      <c r="D460" s="26" t="s">
        <v>21</v>
      </c>
      <c r="E460" s="27">
        <v>6</v>
      </c>
      <c r="F460" s="28">
        <v>2579.8000000000002</v>
      </c>
      <c r="G460" s="29">
        <v>0.27</v>
      </c>
      <c r="H460" s="28">
        <f t="shared" si="16"/>
        <v>15478.800000000001</v>
      </c>
      <c r="I460" s="30">
        <v>45647</v>
      </c>
      <c r="J460" s="26" t="s">
        <v>22</v>
      </c>
      <c r="K460" s="26" t="s">
        <v>23</v>
      </c>
      <c r="L460" s="31">
        <f t="shared" si="17"/>
        <v>11299.524000000001</v>
      </c>
      <c r="M460" s="31">
        <v>1877.22</v>
      </c>
      <c r="N460" s="22">
        <f>_xlfn.XLOOKUP(Snitch_Fashion_Sales_cleaned!$J460,Table2[City],Table2[City_Key],"not found")</f>
        <v>3</v>
      </c>
      <c r="O460" s="21">
        <f>_xlfn.XLOOKUP(Snitch_Fashion_Sales_cleaned!$D460,Table4[Product_Name],Table4[Product_Key],"not found")</f>
        <v>2</v>
      </c>
      <c r="P460" s="25">
        <f>_xlfn.XLOOKUP(Snitch_Fashion_Sales_cleaned!$I460,Table3[Order_Date],Table3[Date_Key])</f>
        <v>5</v>
      </c>
    </row>
    <row r="461" spans="1:16" x14ac:dyDescent="0.3">
      <c r="A461" s="34">
        <v>1459</v>
      </c>
      <c r="B461" s="32" t="s">
        <v>507</v>
      </c>
      <c r="C461" s="32" t="s">
        <v>28</v>
      </c>
      <c r="D461" s="33" t="s">
        <v>39</v>
      </c>
      <c r="E461" s="34">
        <v>3</v>
      </c>
      <c r="F461" s="35">
        <v>2494.9899999999998</v>
      </c>
      <c r="G461" s="36">
        <v>0.98</v>
      </c>
      <c r="H461" s="35">
        <f t="shared" si="16"/>
        <v>7484.9699999999993</v>
      </c>
      <c r="I461" s="37">
        <v>45308</v>
      </c>
      <c r="J461" s="33" t="s">
        <v>43</v>
      </c>
      <c r="K461" s="33" t="s">
        <v>23</v>
      </c>
      <c r="L461" s="38">
        <f t="shared" si="17"/>
        <v>149.69940000000011</v>
      </c>
      <c r="M461" s="38">
        <v>37.424850000000028</v>
      </c>
      <c r="N461" s="24">
        <f>_xlfn.XLOOKUP(Snitch_Fashion_Sales_cleaned!$J461,Table2[City],Table2[City_Key],"not found")</f>
        <v>6</v>
      </c>
      <c r="O461" s="23">
        <f>_xlfn.XLOOKUP(Snitch_Fashion_Sales_cleaned!$D461,Table4[Product_Name],Table4[Product_Key],"not found")</f>
        <v>8</v>
      </c>
      <c r="P461" s="32">
        <f>_xlfn.XLOOKUP(Snitch_Fashion_Sales_cleaned!$I461,Table3[Order_Date],Table3[Date_Key])</f>
        <v>253</v>
      </c>
    </row>
    <row r="462" spans="1:16" x14ac:dyDescent="0.3">
      <c r="A462" s="27">
        <v>1460</v>
      </c>
      <c r="B462" s="25" t="s">
        <v>508</v>
      </c>
      <c r="C462" s="25" t="s">
        <v>20</v>
      </c>
      <c r="D462" s="26" t="s">
        <v>118</v>
      </c>
      <c r="E462" s="27">
        <v>3.5</v>
      </c>
      <c r="F462" s="28">
        <v>4264.16</v>
      </c>
      <c r="G462" s="29">
        <v>0.51</v>
      </c>
      <c r="H462" s="28">
        <f t="shared" si="16"/>
        <v>14924.56</v>
      </c>
      <c r="I462" s="30">
        <v>45577</v>
      </c>
      <c r="J462" s="26" t="s">
        <v>15</v>
      </c>
      <c r="K462" s="26" t="s">
        <v>23</v>
      </c>
      <c r="L462" s="31">
        <f t="shared" si="17"/>
        <v>7313.0343999999996</v>
      </c>
      <c r="M462" s="31">
        <v>921.96</v>
      </c>
      <c r="N462" s="22">
        <f>_xlfn.XLOOKUP(Snitch_Fashion_Sales_cleaned!$J462,Table2[City],Table2[City_Key],"not found")</f>
        <v>1</v>
      </c>
      <c r="O462" s="21">
        <f>_xlfn.XLOOKUP(Snitch_Fashion_Sales_cleaned!$D462,Table4[Product_Name],Table4[Product_Key],"not found")</f>
        <v>23</v>
      </c>
      <c r="P462" s="25">
        <f>_xlfn.XLOOKUP(Snitch_Fashion_Sales_cleaned!$I462,Table3[Order_Date],Table3[Date_Key])</f>
        <v>254</v>
      </c>
    </row>
    <row r="463" spans="1:16" x14ac:dyDescent="0.3">
      <c r="A463" s="34">
        <v>1461</v>
      </c>
      <c r="B463" s="32" t="s">
        <v>509</v>
      </c>
      <c r="C463" s="32" t="s">
        <v>36</v>
      </c>
      <c r="D463" s="33" t="s">
        <v>37</v>
      </c>
      <c r="E463" s="34">
        <v>4</v>
      </c>
      <c r="F463" s="35">
        <v>2708.35</v>
      </c>
      <c r="G463" s="36">
        <v>0.51</v>
      </c>
      <c r="H463" s="35">
        <f t="shared" si="16"/>
        <v>10833.4</v>
      </c>
      <c r="I463" s="37">
        <v>45647</v>
      </c>
      <c r="J463" s="33" t="s">
        <v>52</v>
      </c>
      <c r="K463" s="33" t="s">
        <v>16</v>
      </c>
      <c r="L463" s="38">
        <f t="shared" si="17"/>
        <v>5308.366</v>
      </c>
      <c r="M463" s="38">
        <v>941.87</v>
      </c>
      <c r="N463" s="24">
        <f>_xlfn.XLOOKUP(Snitch_Fashion_Sales_cleaned!$J463,Table2[City],Table2[City_Key],"not found")</f>
        <v>5</v>
      </c>
      <c r="O463" s="23">
        <f>_xlfn.XLOOKUP(Snitch_Fashion_Sales_cleaned!$D463,Table4[Product_Name],Table4[Product_Key],"not found")</f>
        <v>7</v>
      </c>
      <c r="P463" s="32">
        <f>_xlfn.XLOOKUP(Snitch_Fashion_Sales_cleaned!$I463,Table3[Order_Date],Table3[Date_Key])</f>
        <v>5</v>
      </c>
    </row>
    <row r="464" spans="1:16" x14ac:dyDescent="0.3">
      <c r="A464" s="27">
        <v>1462</v>
      </c>
      <c r="B464" s="25" t="s">
        <v>510</v>
      </c>
      <c r="C464" s="25" t="s">
        <v>20</v>
      </c>
      <c r="D464" s="26" t="s">
        <v>21</v>
      </c>
      <c r="E464" s="27">
        <v>4</v>
      </c>
      <c r="F464" s="28">
        <v>2579.8000000000002</v>
      </c>
      <c r="G464" s="29">
        <v>0.51</v>
      </c>
      <c r="H464" s="28">
        <f t="shared" si="16"/>
        <v>10319.200000000001</v>
      </c>
      <c r="I464" s="30">
        <v>45725</v>
      </c>
      <c r="J464" s="26" t="s">
        <v>15</v>
      </c>
      <c r="K464" s="26" t="s">
        <v>16</v>
      </c>
      <c r="L464" s="31">
        <f t="shared" si="17"/>
        <v>5056.4080000000004</v>
      </c>
      <c r="M464" s="31">
        <v>372.63</v>
      </c>
      <c r="N464" s="22">
        <f>_xlfn.XLOOKUP(Snitch_Fashion_Sales_cleaned!$J464,Table2[City],Table2[City_Key],"not found")</f>
        <v>1</v>
      </c>
      <c r="O464" s="21">
        <f>_xlfn.XLOOKUP(Snitch_Fashion_Sales_cleaned!$D464,Table4[Product_Name],Table4[Product_Key],"not found")</f>
        <v>2</v>
      </c>
      <c r="P464" s="25">
        <f>_xlfn.XLOOKUP(Snitch_Fashion_Sales_cleaned!$I464,Table3[Order_Date],Table3[Date_Key])</f>
        <v>255</v>
      </c>
    </row>
    <row r="465" spans="1:16" x14ac:dyDescent="0.3">
      <c r="A465" s="34">
        <v>1463</v>
      </c>
      <c r="B465" s="32" t="s">
        <v>511</v>
      </c>
      <c r="C465" s="32" t="s">
        <v>36</v>
      </c>
      <c r="D465" s="33" t="s">
        <v>59</v>
      </c>
      <c r="E465" s="34">
        <v>1</v>
      </c>
      <c r="F465" s="35">
        <v>4606.09</v>
      </c>
      <c r="G465" s="36">
        <v>0.51</v>
      </c>
      <c r="H465" s="35">
        <f t="shared" si="16"/>
        <v>4606.09</v>
      </c>
      <c r="I465" s="37">
        <v>45825</v>
      </c>
      <c r="J465" s="33" t="s">
        <v>15</v>
      </c>
      <c r="K465" s="33" t="s">
        <v>23</v>
      </c>
      <c r="L465" s="38">
        <f t="shared" si="17"/>
        <v>2256.9841000000001</v>
      </c>
      <c r="M465" s="38">
        <v>-877.13</v>
      </c>
      <c r="N465" s="24">
        <f>_xlfn.XLOOKUP(Snitch_Fashion_Sales_cleaned!$J465,Table2[City],Table2[City_Key],"not found")</f>
        <v>1</v>
      </c>
      <c r="O465" s="23">
        <f>_xlfn.XLOOKUP(Snitch_Fashion_Sales_cleaned!$D465,Table4[Product_Name],Table4[Product_Key],"not found")</f>
        <v>13</v>
      </c>
      <c r="P465" s="32">
        <f>_xlfn.XLOOKUP(Snitch_Fashion_Sales_cleaned!$I465,Table3[Order_Date],Table3[Date_Key])</f>
        <v>256</v>
      </c>
    </row>
    <row r="466" spans="1:16" x14ac:dyDescent="0.3">
      <c r="A466" s="27">
        <v>1464</v>
      </c>
      <c r="B466" s="25" t="s">
        <v>512</v>
      </c>
      <c r="C466" s="25" t="s">
        <v>36</v>
      </c>
      <c r="D466" s="26" t="s">
        <v>59</v>
      </c>
      <c r="E466" s="27">
        <v>3</v>
      </c>
      <c r="F466" s="28">
        <v>2765.26</v>
      </c>
      <c r="G466" s="29">
        <v>0.51</v>
      </c>
      <c r="H466" s="28">
        <f t="shared" si="16"/>
        <v>8295.7800000000007</v>
      </c>
      <c r="I466" s="30">
        <v>45783</v>
      </c>
      <c r="J466" s="26" t="s">
        <v>2540</v>
      </c>
      <c r="K466" s="26" t="s">
        <v>16</v>
      </c>
      <c r="L466" s="31">
        <f t="shared" si="17"/>
        <v>4064.9322000000002</v>
      </c>
      <c r="M466" s="31">
        <v>837.3</v>
      </c>
      <c r="N466" s="22">
        <f>_xlfn.XLOOKUP(Snitch_Fashion_Sales_cleaned!$J466,Table2[City],Table2[City_Key],"not found")</f>
        <v>4</v>
      </c>
      <c r="O466" s="21">
        <f>_xlfn.XLOOKUP(Snitch_Fashion_Sales_cleaned!$D466,Table4[Product_Name],Table4[Product_Key],"not found")</f>
        <v>13</v>
      </c>
      <c r="P466" s="25">
        <f>_xlfn.XLOOKUP(Snitch_Fashion_Sales_cleaned!$I466,Table3[Order_Date],Table3[Date_Key])</f>
        <v>257</v>
      </c>
    </row>
    <row r="467" spans="1:16" x14ac:dyDescent="0.3">
      <c r="A467" s="34">
        <v>1465</v>
      </c>
      <c r="B467" s="32" t="s">
        <v>513</v>
      </c>
      <c r="C467" s="32" t="s">
        <v>28</v>
      </c>
      <c r="D467" s="33" t="s">
        <v>29</v>
      </c>
      <c r="E467" s="34">
        <v>3</v>
      </c>
      <c r="F467" s="35">
        <v>2215.4</v>
      </c>
      <c r="G467" s="36">
        <v>0.96</v>
      </c>
      <c r="H467" s="35">
        <f t="shared" si="16"/>
        <v>6646.2000000000007</v>
      </c>
      <c r="I467" s="37">
        <v>45708</v>
      </c>
      <c r="J467" s="33" t="s">
        <v>52</v>
      </c>
      <c r="K467" s="33" t="s">
        <v>23</v>
      </c>
      <c r="L467" s="38">
        <f t="shared" si="17"/>
        <v>265.84800000000024</v>
      </c>
      <c r="M467" s="38">
        <v>-85.73</v>
      </c>
      <c r="N467" s="24">
        <f>_xlfn.XLOOKUP(Snitch_Fashion_Sales_cleaned!$J467,Table2[City],Table2[City_Key],"not found")</f>
        <v>5</v>
      </c>
      <c r="O467" s="23">
        <f>_xlfn.XLOOKUP(Snitch_Fashion_Sales_cleaned!$D467,Table4[Product_Name],Table4[Product_Key],"not found")</f>
        <v>4</v>
      </c>
      <c r="P467" s="32">
        <f>_xlfn.XLOOKUP(Snitch_Fashion_Sales_cleaned!$I467,Table3[Order_Date],Table3[Date_Key])</f>
        <v>258</v>
      </c>
    </row>
    <row r="468" spans="1:16" x14ac:dyDescent="0.3">
      <c r="A468" s="27">
        <v>1014</v>
      </c>
      <c r="B468" s="25" t="s">
        <v>514</v>
      </c>
      <c r="C468" s="25" t="s">
        <v>36</v>
      </c>
      <c r="D468" s="26" t="s">
        <v>59</v>
      </c>
      <c r="E468" s="27">
        <v>3</v>
      </c>
      <c r="F468" s="28">
        <v>3172.11</v>
      </c>
      <c r="G468" s="29">
        <v>0.51</v>
      </c>
      <c r="H468" s="28">
        <f t="shared" si="16"/>
        <v>9516.33</v>
      </c>
      <c r="I468" s="30">
        <v>45176</v>
      </c>
      <c r="J468" s="26" t="s">
        <v>22</v>
      </c>
      <c r="K468" s="26" t="s">
        <v>16</v>
      </c>
      <c r="L468" s="31">
        <f t="shared" si="17"/>
        <v>4663.0016999999998</v>
      </c>
      <c r="M468" s="31">
        <v>673.33</v>
      </c>
      <c r="N468" s="22">
        <f>_xlfn.XLOOKUP(Snitch_Fashion_Sales_cleaned!$J468,Table2[City],Table2[City_Key],"not found")</f>
        <v>3</v>
      </c>
      <c r="O468" s="21">
        <f>_xlfn.XLOOKUP(Snitch_Fashion_Sales_cleaned!$D468,Table4[Product_Name],Table4[Product_Key],"not found")</f>
        <v>13</v>
      </c>
      <c r="P468" s="25">
        <f>_xlfn.XLOOKUP(Snitch_Fashion_Sales_cleaned!$I468,Table3[Order_Date],Table3[Date_Key])</f>
        <v>259</v>
      </c>
    </row>
    <row r="469" spans="1:16" x14ac:dyDescent="0.3">
      <c r="A469" s="34">
        <v>1030</v>
      </c>
      <c r="B469" s="32" t="s">
        <v>515</v>
      </c>
      <c r="C469" s="32" t="s">
        <v>25</v>
      </c>
      <c r="D469" s="33" t="s">
        <v>50</v>
      </c>
      <c r="E469" s="34">
        <v>4</v>
      </c>
      <c r="F469" s="35">
        <v>3389.44</v>
      </c>
      <c r="G469" s="36">
        <v>0.09</v>
      </c>
      <c r="H469" s="35">
        <f t="shared" si="16"/>
        <v>13557.76</v>
      </c>
      <c r="I469" s="37">
        <v>45628</v>
      </c>
      <c r="J469" s="33" t="s">
        <v>15</v>
      </c>
      <c r="K469" s="33" t="s">
        <v>23</v>
      </c>
      <c r="L469" s="38">
        <f t="shared" si="17"/>
        <v>12337.561600000001</v>
      </c>
      <c r="M469" s="38">
        <v>1663.45</v>
      </c>
      <c r="N469" s="24">
        <f>_xlfn.XLOOKUP(Snitch_Fashion_Sales_cleaned!$J469,Table2[City],Table2[City_Key],"not found")</f>
        <v>1</v>
      </c>
      <c r="O469" s="23">
        <f>_xlfn.XLOOKUP(Snitch_Fashion_Sales_cleaned!$D469,Table4[Product_Name],Table4[Product_Key],"not found")</f>
        <v>11</v>
      </c>
      <c r="P469" s="32">
        <f>_xlfn.XLOOKUP(Snitch_Fashion_Sales_cleaned!$I469,Table3[Order_Date],Table3[Date_Key])</f>
        <v>147</v>
      </c>
    </row>
    <row r="470" spans="1:16" x14ac:dyDescent="0.3">
      <c r="A470" s="27">
        <v>1468</v>
      </c>
      <c r="B470" s="25" t="s">
        <v>516</v>
      </c>
      <c r="C470" s="25" t="s">
        <v>31</v>
      </c>
      <c r="D470" s="26" t="s">
        <v>78</v>
      </c>
      <c r="E470" s="27">
        <v>4</v>
      </c>
      <c r="F470" s="28">
        <v>3332.84</v>
      </c>
      <c r="G470" s="29">
        <v>0.27</v>
      </c>
      <c r="H470" s="28">
        <f t="shared" si="16"/>
        <v>13331.36</v>
      </c>
      <c r="I470" s="30">
        <v>45153</v>
      </c>
      <c r="J470" s="26" t="s">
        <v>18</v>
      </c>
      <c r="K470" s="26" t="s">
        <v>23</v>
      </c>
      <c r="L470" s="31">
        <f t="shared" si="17"/>
        <v>9731.8927999999996</v>
      </c>
      <c r="M470" s="31">
        <v>733.66</v>
      </c>
      <c r="N470" s="22">
        <f>_xlfn.XLOOKUP(Snitch_Fashion_Sales_cleaned!$J470,Table2[City],Table2[City_Key],"not found")</f>
        <v>2</v>
      </c>
      <c r="O470" s="21">
        <f>_xlfn.XLOOKUP(Snitch_Fashion_Sales_cleaned!$D470,Table4[Product_Name],Table4[Product_Key],"not found")</f>
        <v>17</v>
      </c>
      <c r="P470" s="25">
        <f>_xlfn.XLOOKUP(Snitch_Fashion_Sales_cleaned!$I470,Table3[Order_Date],Table3[Date_Key])</f>
        <v>260</v>
      </c>
    </row>
    <row r="471" spans="1:16" x14ac:dyDescent="0.3">
      <c r="A471" s="34">
        <v>1469</v>
      </c>
      <c r="B471" s="32" t="s">
        <v>517</v>
      </c>
      <c r="C471" s="32" t="s">
        <v>36</v>
      </c>
      <c r="D471" s="33" t="s">
        <v>59</v>
      </c>
      <c r="E471" s="34">
        <v>3</v>
      </c>
      <c r="F471" s="35">
        <v>2665.7</v>
      </c>
      <c r="G471" s="36">
        <v>0.49</v>
      </c>
      <c r="H471" s="35">
        <f t="shared" si="16"/>
        <v>7997.0999999999995</v>
      </c>
      <c r="I471" s="37">
        <v>45682</v>
      </c>
      <c r="J471" s="33" t="s">
        <v>2540</v>
      </c>
      <c r="K471" s="33" t="s">
        <v>23</v>
      </c>
      <c r="L471" s="38">
        <f t="shared" si="17"/>
        <v>4078.5209999999997</v>
      </c>
      <c r="M471" s="38">
        <v>1644.72</v>
      </c>
      <c r="N471" s="24">
        <f>_xlfn.XLOOKUP(Snitch_Fashion_Sales_cleaned!$J471,Table2[City],Table2[City_Key],"not found")</f>
        <v>4</v>
      </c>
      <c r="O471" s="23">
        <f>_xlfn.XLOOKUP(Snitch_Fashion_Sales_cleaned!$D471,Table4[Product_Name],Table4[Product_Key],"not found")</f>
        <v>13</v>
      </c>
      <c r="P471" s="32">
        <f>_xlfn.XLOOKUP(Snitch_Fashion_Sales_cleaned!$I471,Table3[Order_Date],Table3[Date_Key])</f>
        <v>21</v>
      </c>
    </row>
    <row r="472" spans="1:16" x14ac:dyDescent="0.3">
      <c r="A472" s="27">
        <v>1470</v>
      </c>
      <c r="B472" s="25" t="s">
        <v>518</v>
      </c>
      <c r="C472" s="25" t="s">
        <v>31</v>
      </c>
      <c r="D472" s="26" t="s">
        <v>41</v>
      </c>
      <c r="E472" s="27">
        <v>3</v>
      </c>
      <c r="F472" s="28">
        <v>1376.54</v>
      </c>
      <c r="G472" s="29">
        <v>0.51</v>
      </c>
      <c r="H472" s="28">
        <f t="shared" si="16"/>
        <v>4129.62</v>
      </c>
      <c r="I472" s="30">
        <v>45647</v>
      </c>
      <c r="J472" s="26" t="s">
        <v>52</v>
      </c>
      <c r="K472" s="26" t="s">
        <v>23</v>
      </c>
      <c r="L472" s="31">
        <f t="shared" si="17"/>
        <v>2023.5137999999999</v>
      </c>
      <c r="M472" s="31">
        <v>0.59</v>
      </c>
      <c r="N472" s="22">
        <f>_xlfn.XLOOKUP(Snitch_Fashion_Sales_cleaned!$J472,Table2[City],Table2[City_Key],"not found")</f>
        <v>5</v>
      </c>
      <c r="O472" s="21">
        <f>_xlfn.XLOOKUP(Snitch_Fashion_Sales_cleaned!$D472,Table4[Product_Name],Table4[Product_Key],"not found")</f>
        <v>9</v>
      </c>
      <c r="P472" s="25">
        <f>_xlfn.XLOOKUP(Snitch_Fashion_Sales_cleaned!$I472,Table3[Order_Date],Table3[Date_Key])</f>
        <v>5</v>
      </c>
    </row>
    <row r="473" spans="1:16" x14ac:dyDescent="0.3">
      <c r="A473" s="34">
        <v>1471</v>
      </c>
      <c r="B473" s="32" t="s">
        <v>519</v>
      </c>
      <c r="C473" s="32" t="s">
        <v>28</v>
      </c>
      <c r="D473" s="33" t="s">
        <v>29</v>
      </c>
      <c r="E473" s="34">
        <v>3</v>
      </c>
      <c r="F473" s="35">
        <v>4882.03</v>
      </c>
      <c r="G473" s="36">
        <v>0.23</v>
      </c>
      <c r="H473" s="35">
        <f t="shared" si="16"/>
        <v>14646.09</v>
      </c>
      <c r="I473" s="37">
        <v>45159</v>
      </c>
      <c r="J473" s="33" t="s">
        <v>52</v>
      </c>
      <c r="K473" s="33" t="s">
        <v>16</v>
      </c>
      <c r="L473" s="38">
        <f t="shared" si="17"/>
        <v>11277.489300000001</v>
      </c>
      <c r="M473" s="38">
        <v>-605.66999999999996</v>
      </c>
      <c r="N473" s="24">
        <f>_xlfn.XLOOKUP(Snitch_Fashion_Sales_cleaned!$J473,Table2[City],Table2[City_Key],"not found")</f>
        <v>5</v>
      </c>
      <c r="O473" s="23">
        <f>_xlfn.XLOOKUP(Snitch_Fashion_Sales_cleaned!$D473,Table4[Product_Name],Table4[Product_Key],"not found")</f>
        <v>4</v>
      </c>
      <c r="P473" s="32">
        <f>_xlfn.XLOOKUP(Snitch_Fashion_Sales_cleaned!$I473,Table3[Order_Date],Table3[Date_Key])</f>
        <v>261</v>
      </c>
    </row>
    <row r="474" spans="1:16" x14ac:dyDescent="0.3">
      <c r="A474" s="27">
        <v>1472</v>
      </c>
      <c r="B474" s="25" t="s">
        <v>520</v>
      </c>
      <c r="C474" s="25" t="s">
        <v>28</v>
      </c>
      <c r="D474" s="26" t="s">
        <v>29</v>
      </c>
      <c r="E474" s="27">
        <v>3</v>
      </c>
      <c r="F474" s="28">
        <v>2515.415</v>
      </c>
      <c r="G474" s="29">
        <v>0.51</v>
      </c>
      <c r="H474" s="28">
        <f t="shared" si="16"/>
        <v>7546.2449999999999</v>
      </c>
      <c r="I474" s="30">
        <v>45591</v>
      </c>
      <c r="J474" s="26" t="s">
        <v>22</v>
      </c>
      <c r="K474" s="26" t="s">
        <v>16</v>
      </c>
      <c r="L474" s="31">
        <f t="shared" si="17"/>
        <v>3697.66005</v>
      </c>
      <c r="M474" s="31">
        <v>-69.28</v>
      </c>
      <c r="N474" s="22">
        <f>_xlfn.XLOOKUP(Snitch_Fashion_Sales_cleaned!$J474,Table2[City],Table2[City_Key],"not found")</f>
        <v>3</v>
      </c>
      <c r="O474" s="21">
        <f>_xlfn.XLOOKUP(Snitch_Fashion_Sales_cleaned!$D474,Table4[Product_Name],Table4[Product_Key],"not found")</f>
        <v>4</v>
      </c>
      <c r="P474" s="25">
        <f>_xlfn.XLOOKUP(Snitch_Fashion_Sales_cleaned!$I474,Table3[Order_Date],Table3[Date_Key])</f>
        <v>12</v>
      </c>
    </row>
    <row r="475" spans="1:16" x14ac:dyDescent="0.3">
      <c r="A475" s="34">
        <v>1473</v>
      </c>
      <c r="B475" s="32" t="s">
        <v>521</v>
      </c>
      <c r="C475" s="32" t="s">
        <v>31</v>
      </c>
      <c r="D475" s="33" t="s">
        <v>78</v>
      </c>
      <c r="E475" s="34">
        <v>4</v>
      </c>
      <c r="F475" s="35">
        <v>2599.75</v>
      </c>
      <c r="G475" s="36">
        <v>0.08</v>
      </c>
      <c r="H475" s="35">
        <f t="shared" si="16"/>
        <v>10399</v>
      </c>
      <c r="I475" s="37">
        <v>45647</v>
      </c>
      <c r="J475" s="33" t="s">
        <v>2540</v>
      </c>
      <c r="K475" s="33" t="s">
        <v>16</v>
      </c>
      <c r="L475" s="38">
        <f t="shared" si="17"/>
        <v>9567.08</v>
      </c>
      <c r="M475" s="38">
        <v>1769.11</v>
      </c>
      <c r="N475" s="24">
        <f>_xlfn.XLOOKUP(Snitch_Fashion_Sales_cleaned!$J475,Table2[City],Table2[City_Key],"not found")</f>
        <v>4</v>
      </c>
      <c r="O475" s="23">
        <f>_xlfn.XLOOKUP(Snitch_Fashion_Sales_cleaned!$D475,Table4[Product_Name],Table4[Product_Key],"not found")</f>
        <v>17</v>
      </c>
      <c r="P475" s="32">
        <f>_xlfn.XLOOKUP(Snitch_Fashion_Sales_cleaned!$I475,Table3[Order_Date],Table3[Date_Key])</f>
        <v>5</v>
      </c>
    </row>
    <row r="476" spans="1:16" x14ac:dyDescent="0.3">
      <c r="A476" s="27">
        <v>1474</v>
      </c>
      <c r="B476" s="25" t="s">
        <v>522</v>
      </c>
      <c r="C476" s="25" t="s">
        <v>20</v>
      </c>
      <c r="D476" s="26" t="s">
        <v>84</v>
      </c>
      <c r="E476" s="27">
        <v>4</v>
      </c>
      <c r="F476" s="28">
        <v>2537.59</v>
      </c>
      <c r="G476" s="29">
        <v>0.51</v>
      </c>
      <c r="H476" s="28">
        <f t="shared" si="16"/>
        <v>10150.36</v>
      </c>
      <c r="I476" s="30">
        <v>45681</v>
      </c>
      <c r="J476" s="26" t="s">
        <v>2540</v>
      </c>
      <c r="K476" s="26" t="s">
        <v>16</v>
      </c>
      <c r="L476" s="31">
        <f t="shared" si="17"/>
        <v>4973.6764000000003</v>
      </c>
      <c r="M476" s="31">
        <v>1791.38</v>
      </c>
      <c r="N476" s="22">
        <f>_xlfn.XLOOKUP(Snitch_Fashion_Sales_cleaned!$J476,Table2[City],Table2[City_Key],"not found")</f>
        <v>4</v>
      </c>
      <c r="O476" s="21">
        <f>_xlfn.XLOOKUP(Snitch_Fashion_Sales_cleaned!$D476,Table4[Product_Name],Table4[Product_Key],"not found")</f>
        <v>19</v>
      </c>
      <c r="P476" s="25">
        <f>_xlfn.XLOOKUP(Snitch_Fashion_Sales_cleaned!$I476,Table3[Order_Date],Table3[Date_Key])</f>
        <v>262</v>
      </c>
    </row>
    <row r="477" spans="1:16" x14ac:dyDescent="0.3">
      <c r="A477" s="34">
        <v>1475</v>
      </c>
      <c r="B477" s="32" t="s">
        <v>523</v>
      </c>
      <c r="C477" s="32" t="s">
        <v>31</v>
      </c>
      <c r="D477" s="33" t="s">
        <v>41</v>
      </c>
      <c r="E477" s="34">
        <v>3</v>
      </c>
      <c r="F477" s="35">
        <v>3692.25</v>
      </c>
      <c r="G477" s="36">
        <v>0.51</v>
      </c>
      <c r="H477" s="35">
        <f t="shared" si="16"/>
        <v>11076.75</v>
      </c>
      <c r="I477" s="37">
        <v>45607</v>
      </c>
      <c r="J477" s="33" t="s">
        <v>22</v>
      </c>
      <c r="K477" s="33" t="s">
        <v>16</v>
      </c>
      <c r="L477" s="38">
        <f t="shared" si="17"/>
        <v>5427.6075000000001</v>
      </c>
      <c r="M477" s="38">
        <v>433.87</v>
      </c>
      <c r="N477" s="24">
        <f>_xlfn.XLOOKUP(Snitch_Fashion_Sales_cleaned!$J477,Table2[City],Table2[City_Key],"not found")</f>
        <v>3</v>
      </c>
      <c r="O477" s="23">
        <f>_xlfn.XLOOKUP(Snitch_Fashion_Sales_cleaned!$D477,Table4[Product_Name],Table4[Product_Key],"not found")</f>
        <v>9</v>
      </c>
      <c r="P477" s="32">
        <f>_xlfn.XLOOKUP(Snitch_Fashion_Sales_cleaned!$I477,Table3[Order_Date],Table3[Date_Key])</f>
        <v>104</v>
      </c>
    </row>
    <row r="478" spans="1:16" x14ac:dyDescent="0.3">
      <c r="A478" s="27">
        <v>1476</v>
      </c>
      <c r="B478" s="25" t="s">
        <v>524</v>
      </c>
      <c r="C478" s="25" t="s">
        <v>13</v>
      </c>
      <c r="D478" s="26" t="s">
        <v>98</v>
      </c>
      <c r="E478" s="27">
        <v>5</v>
      </c>
      <c r="F478" s="28">
        <v>2750.33</v>
      </c>
      <c r="G478" s="29">
        <v>0.56999999999999995</v>
      </c>
      <c r="H478" s="28">
        <f t="shared" si="16"/>
        <v>13751.65</v>
      </c>
      <c r="I478" s="30">
        <v>45859</v>
      </c>
      <c r="J478" s="26" t="s">
        <v>2540</v>
      </c>
      <c r="K478" s="26" t="s">
        <v>16</v>
      </c>
      <c r="L478" s="31">
        <f t="shared" si="17"/>
        <v>5913.2095000000008</v>
      </c>
      <c r="M478" s="31">
        <v>1476.41</v>
      </c>
      <c r="N478" s="22">
        <f>_xlfn.XLOOKUP(Snitch_Fashion_Sales_cleaned!$J478,Table2[City],Table2[City_Key],"not found")</f>
        <v>4</v>
      </c>
      <c r="O478" s="21">
        <f>_xlfn.XLOOKUP(Snitch_Fashion_Sales_cleaned!$D478,Table4[Product_Name],Table4[Product_Key],"not found")</f>
        <v>21</v>
      </c>
      <c r="P478" s="25">
        <f>_xlfn.XLOOKUP(Snitch_Fashion_Sales_cleaned!$I478,Table3[Order_Date],Table3[Date_Key])</f>
        <v>38</v>
      </c>
    </row>
    <row r="479" spans="1:16" x14ac:dyDescent="0.3">
      <c r="A479" s="34">
        <v>1477</v>
      </c>
      <c r="B479" s="32" t="s">
        <v>525</v>
      </c>
      <c r="C479" s="32" t="s">
        <v>36</v>
      </c>
      <c r="D479" s="33" t="s">
        <v>87</v>
      </c>
      <c r="E479" s="34">
        <v>4</v>
      </c>
      <c r="F479" s="35">
        <v>2277.1999999999998</v>
      </c>
      <c r="G479" s="36">
        <v>0.51</v>
      </c>
      <c r="H479" s="35">
        <f t="shared" si="16"/>
        <v>9108.7999999999993</v>
      </c>
      <c r="I479" s="37">
        <v>45749</v>
      </c>
      <c r="J479" s="33" t="s">
        <v>52</v>
      </c>
      <c r="K479" s="33" t="s">
        <v>23</v>
      </c>
      <c r="L479" s="38">
        <f t="shared" si="17"/>
        <v>4463.3119999999999</v>
      </c>
      <c r="M479" s="38">
        <v>1295.82</v>
      </c>
      <c r="N479" s="24">
        <f>_xlfn.XLOOKUP(Snitch_Fashion_Sales_cleaned!$J479,Table2[City],Table2[City_Key],"not found")</f>
        <v>5</v>
      </c>
      <c r="O479" s="23">
        <f>_xlfn.XLOOKUP(Snitch_Fashion_Sales_cleaned!$D479,Table4[Product_Name],Table4[Product_Key],"not found")</f>
        <v>20</v>
      </c>
      <c r="P479" s="32">
        <f>_xlfn.XLOOKUP(Snitch_Fashion_Sales_cleaned!$I479,Table3[Order_Date],Table3[Date_Key])</f>
        <v>153</v>
      </c>
    </row>
    <row r="480" spans="1:16" x14ac:dyDescent="0.3">
      <c r="A480" s="27">
        <v>1478</v>
      </c>
      <c r="B480" s="25" t="s">
        <v>526</v>
      </c>
      <c r="C480" s="25" t="s">
        <v>20</v>
      </c>
      <c r="D480" s="26" t="s">
        <v>84</v>
      </c>
      <c r="E480" s="27">
        <v>3</v>
      </c>
      <c r="F480" s="28">
        <v>2277.41</v>
      </c>
      <c r="G480" s="29">
        <v>0.51</v>
      </c>
      <c r="H480" s="28">
        <f t="shared" si="16"/>
        <v>6832.23</v>
      </c>
      <c r="I480" s="30">
        <v>45491</v>
      </c>
      <c r="J480" s="26" t="s">
        <v>18</v>
      </c>
      <c r="K480" s="26" t="s">
        <v>23</v>
      </c>
      <c r="L480" s="31">
        <f t="shared" si="17"/>
        <v>3347.7926999999995</v>
      </c>
      <c r="M480" s="31">
        <v>-584.69000000000005</v>
      </c>
      <c r="N480" s="22">
        <f>_xlfn.XLOOKUP(Snitch_Fashion_Sales_cleaned!$J480,Table2[City],Table2[City_Key],"not found")</f>
        <v>2</v>
      </c>
      <c r="O480" s="21">
        <f>_xlfn.XLOOKUP(Snitch_Fashion_Sales_cleaned!$D480,Table4[Product_Name],Table4[Product_Key],"not found")</f>
        <v>19</v>
      </c>
      <c r="P480" s="25">
        <f>_xlfn.XLOOKUP(Snitch_Fashion_Sales_cleaned!$I480,Table3[Order_Date],Table3[Date_Key])</f>
        <v>263</v>
      </c>
    </row>
    <row r="481" spans="1:16" x14ac:dyDescent="0.3">
      <c r="A481" s="34">
        <v>1479</v>
      </c>
      <c r="B481" s="32" t="s">
        <v>527</v>
      </c>
      <c r="C481" s="32" t="s">
        <v>36</v>
      </c>
      <c r="D481" s="33" t="s">
        <v>55</v>
      </c>
      <c r="E481" s="34">
        <v>1</v>
      </c>
      <c r="F481" s="35">
        <v>2731.6350000000002</v>
      </c>
      <c r="G481" s="36">
        <v>0.51</v>
      </c>
      <c r="H481" s="35">
        <f t="shared" si="16"/>
        <v>2731.6350000000002</v>
      </c>
      <c r="I481" s="37">
        <v>45647</v>
      </c>
      <c r="J481" s="33" t="s">
        <v>18</v>
      </c>
      <c r="K481" s="33" t="s">
        <v>16</v>
      </c>
      <c r="L481" s="38">
        <f t="shared" si="17"/>
        <v>1338.5011500000001</v>
      </c>
      <c r="M481" s="38">
        <v>-575.87</v>
      </c>
      <c r="N481" s="24">
        <f>_xlfn.XLOOKUP(Snitch_Fashion_Sales_cleaned!$J481,Table2[City],Table2[City_Key],"not found")</f>
        <v>2</v>
      </c>
      <c r="O481" s="23">
        <f>_xlfn.XLOOKUP(Snitch_Fashion_Sales_cleaned!$D481,Table4[Product_Name],Table4[Product_Key],"not found")</f>
        <v>12</v>
      </c>
      <c r="P481" s="32">
        <f>_xlfn.XLOOKUP(Snitch_Fashion_Sales_cleaned!$I481,Table3[Order_Date],Table3[Date_Key])</f>
        <v>5</v>
      </c>
    </row>
    <row r="482" spans="1:16" x14ac:dyDescent="0.3">
      <c r="A482" s="27">
        <v>1480</v>
      </c>
      <c r="B482" s="25" t="s">
        <v>528</v>
      </c>
      <c r="C482" s="25" t="s">
        <v>20</v>
      </c>
      <c r="D482" s="26" t="s">
        <v>84</v>
      </c>
      <c r="E482" s="27">
        <v>3</v>
      </c>
      <c r="F482" s="28">
        <v>755.42</v>
      </c>
      <c r="G482" s="29">
        <v>0.51</v>
      </c>
      <c r="H482" s="28">
        <f t="shared" si="16"/>
        <v>2266.2599999999998</v>
      </c>
      <c r="I482" s="30">
        <v>45420</v>
      </c>
      <c r="J482" s="26" t="s">
        <v>43</v>
      </c>
      <c r="K482" s="26" t="s">
        <v>23</v>
      </c>
      <c r="L482" s="31">
        <f t="shared" si="17"/>
        <v>1110.4673999999998</v>
      </c>
      <c r="M482" s="31">
        <v>277.61684999999994</v>
      </c>
      <c r="N482" s="22">
        <f>_xlfn.XLOOKUP(Snitch_Fashion_Sales_cleaned!$J482,Table2[City],Table2[City_Key],"not found")</f>
        <v>6</v>
      </c>
      <c r="O482" s="21">
        <f>_xlfn.XLOOKUP(Snitch_Fashion_Sales_cleaned!$D482,Table4[Product_Name],Table4[Product_Key],"not found")</f>
        <v>19</v>
      </c>
      <c r="P482" s="25">
        <f>_xlfn.XLOOKUP(Snitch_Fashion_Sales_cleaned!$I482,Table3[Order_Date],Table3[Date_Key])</f>
        <v>264</v>
      </c>
    </row>
    <row r="483" spans="1:16" x14ac:dyDescent="0.3">
      <c r="A483" s="34">
        <v>1481</v>
      </c>
      <c r="B483" s="32" t="s">
        <v>529</v>
      </c>
      <c r="C483" s="32" t="s">
        <v>28</v>
      </c>
      <c r="D483" s="33" t="s">
        <v>116</v>
      </c>
      <c r="E483" s="34">
        <v>4</v>
      </c>
      <c r="F483" s="35">
        <v>2785.79</v>
      </c>
      <c r="G483" s="36">
        <v>0.97</v>
      </c>
      <c r="H483" s="35">
        <f t="shared" si="16"/>
        <v>11143.16</v>
      </c>
      <c r="I483" s="37">
        <v>45647</v>
      </c>
      <c r="J483" s="33" t="s">
        <v>15</v>
      </c>
      <c r="K483" s="33" t="s">
        <v>16</v>
      </c>
      <c r="L483" s="38">
        <f t="shared" si="17"/>
        <v>334.29480000000029</v>
      </c>
      <c r="M483" s="38">
        <v>83.573700000000073</v>
      </c>
      <c r="N483" s="24">
        <f>_xlfn.XLOOKUP(Snitch_Fashion_Sales_cleaned!$J483,Table2[City],Table2[City_Key],"not found")</f>
        <v>1</v>
      </c>
      <c r="O483" s="23">
        <f>_xlfn.XLOOKUP(Snitch_Fashion_Sales_cleaned!$D483,Table4[Product_Name],Table4[Product_Key],"not found")</f>
        <v>22</v>
      </c>
      <c r="P483" s="32">
        <f>_xlfn.XLOOKUP(Snitch_Fashion_Sales_cleaned!$I483,Table3[Order_Date],Table3[Date_Key])</f>
        <v>5</v>
      </c>
    </row>
    <row r="484" spans="1:16" x14ac:dyDescent="0.3">
      <c r="A484" s="27">
        <v>1482</v>
      </c>
      <c r="B484" s="25" t="s">
        <v>530</v>
      </c>
      <c r="C484" s="25" t="s">
        <v>25</v>
      </c>
      <c r="D484" s="26" t="s">
        <v>62</v>
      </c>
      <c r="E484" s="27">
        <v>4</v>
      </c>
      <c r="F484" s="28">
        <v>1269.51</v>
      </c>
      <c r="G484" s="29">
        <v>0.51</v>
      </c>
      <c r="H484" s="28">
        <f t="shared" si="16"/>
        <v>5078.04</v>
      </c>
      <c r="I484" s="30">
        <v>45742</v>
      </c>
      <c r="J484" s="26" t="s">
        <v>18</v>
      </c>
      <c r="K484" s="26" t="s">
        <v>16</v>
      </c>
      <c r="L484" s="31">
        <f t="shared" si="17"/>
        <v>2488.2395999999999</v>
      </c>
      <c r="M484" s="31">
        <v>480.43</v>
      </c>
      <c r="N484" s="22">
        <f>_xlfn.XLOOKUP(Snitch_Fashion_Sales_cleaned!$J484,Table2[City],Table2[City_Key],"not found")</f>
        <v>2</v>
      </c>
      <c r="O484" s="21">
        <f>_xlfn.XLOOKUP(Snitch_Fashion_Sales_cleaned!$D484,Table4[Product_Name],Table4[Product_Key],"not found")</f>
        <v>14</v>
      </c>
      <c r="P484" s="25">
        <f>_xlfn.XLOOKUP(Snitch_Fashion_Sales_cleaned!$I484,Table3[Order_Date],Table3[Date_Key])</f>
        <v>177</v>
      </c>
    </row>
    <row r="485" spans="1:16" x14ac:dyDescent="0.3">
      <c r="A485" s="34">
        <v>1483</v>
      </c>
      <c r="B485" s="32" t="s">
        <v>531</v>
      </c>
      <c r="C485" s="32" t="s">
        <v>31</v>
      </c>
      <c r="D485" s="33" t="s">
        <v>41</v>
      </c>
      <c r="E485" s="34">
        <v>3</v>
      </c>
      <c r="F485" s="35">
        <v>2347.19</v>
      </c>
      <c r="G485" s="36">
        <v>0.51</v>
      </c>
      <c r="H485" s="35">
        <f t="shared" si="16"/>
        <v>7041.57</v>
      </c>
      <c r="I485" s="37">
        <v>45577</v>
      </c>
      <c r="J485" s="33" t="s">
        <v>2540</v>
      </c>
      <c r="K485" s="33" t="s">
        <v>23</v>
      </c>
      <c r="L485" s="38">
        <f t="shared" si="17"/>
        <v>3450.3692999999998</v>
      </c>
      <c r="M485" s="38">
        <v>2870.3</v>
      </c>
      <c r="N485" s="24">
        <f>_xlfn.XLOOKUP(Snitch_Fashion_Sales_cleaned!$J485,Table2[City],Table2[City_Key],"not found")</f>
        <v>4</v>
      </c>
      <c r="O485" s="23">
        <f>_xlfn.XLOOKUP(Snitch_Fashion_Sales_cleaned!$D485,Table4[Product_Name],Table4[Product_Key],"not found")</f>
        <v>9</v>
      </c>
      <c r="P485" s="32">
        <f>_xlfn.XLOOKUP(Snitch_Fashion_Sales_cleaned!$I485,Table3[Order_Date],Table3[Date_Key])</f>
        <v>254</v>
      </c>
    </row>
    <row r="486" spans="1:16" x14ac:dyDescent="0.3">
      <c r="A486" s="27">
        <v>1484</v>
      </c>
      <c r="B486" s="25" t="s">
        <v>532</v>
      </c>
      <c r="C486" s="25" t="s">
        <v>20</v>
      </c>
      <c r="D486" s="26" t="s">
        <v>76</v>
      </c>
      <c r="E486" s="27">
        <v>2</v>
      </c>
      <c r="F486" s="28">
        <v>818.68</v>
      </c>
      <c r="G486" s="29">
        <v>0.51</v>
      </c>
      <c r="H486" s="28">
        <f t="shared" si="16"/>
        <v>1637.36</v>
      </c>
      <c r="I486" s="30">
        <v>45289</v>
      </c>
      <c r="J486" s="26" t="s">
        <v>22</v>
      </c>
      <c r="K486" s="26" t="s">
        <v>23</v>
      </c>
      <c r="L486" s="31">
        <f t="shared" si="17"/>
        <v>802.30639999999994</v>
      </c>
      <c r="M486" s="31">
        <v>200.57659999999998</v>
      </c>
      <c r="N486" s="22">
        <f>_xlfn.XLOOKUP(Snitch_Fashion_Sales_cleaned!$J486,Table2[City],Table2[City_Key],"not found")</f>
        <v>3</v>
      </c>
      <c r="O486" s="21">
        <f>_xlfn.XLOOKUP(Snitch_Fashion_Sales_cleaned!$D486,Table4[Product_Name],Table4[Product_Key],"not found")</f>
        <v>16</v>
      </c>
      <c r="P486" s="25">
        <f>_xlfn.XLOOKUP(Snitch_Fashion_Sales_cleaned!$I486,Table3[Order_Date],Table3[Date_Key])</f>
        <v>265</v>
      </c>
    </row>
    <row r="487" spans="1:16" x14ac:dyDescent="0.3">
      <c r="A487" s="34">
        <v>1485</v>
      </c>
      <c r="B487" s="32" t="s">
        <v>533</v>
      </c>
      <c r="C487" s="32" t="s">
        <v>25</v>
      </c>
      <c r="D487" s="33" t="s">
        <v>50</v>
      </c>
      <c r="E487" s="34">
        <v>4</v>
      </c>
      <c r="F487" s="35">
        <v>2666.2200000000003</v>
      </c>
      <c r="G487" s="36">
        <v>0.51</v>
      </c>
      <c r="H487" s="35">
        <f t="shared" si="16"/>
        <v>10664.880000000001</v>
      </c>
      <c r="I487" s="37">
        <v>45510</v>
      </c>
      <c r="J487" s="33" t="s">
        <v>52</v>
      </c>
      <c r="K487" s="33" t="s">
        <v>23</v>
      </c>
      <c r="L487" s="38">
        <f t="shared" si="17"/>
        <v>5225.7912000000006</v>
      </c>
      <c r="M487" s="38">
        <v>672.88</v>
      </c>
      <c r="N487" s="24">
        <f>_xlfn.XLOOKUP(Snitch_Fashion_Sales_cleaned!$J487,Table2[City],Table2[City_Key],"not found")</f>
        <v>5</v>
      </c>
      <c r="O487" s="23">
        <f>_xlfn.XLOOKUP(Snitch_Fashion_Sales_cleaned!$D487,Table4[Product_Name],Table4[Product_Key],"not found")</f>
        <v>11</v>
      </c>
      <c r="P487" s="32">
        <f>_xlfn.XLOOKUP(Snitch_Fashion_Sales_cleaned!$I487,Table3[Order_Date],Table3[Date_Key])</f>
        <v>114</v>
      </c>
    </row>
    <row r="488" spans="1:16" x14ac:dyDescent="0.3">
      <c r="A488" s="27">
        <v>1486</v>
      </c>
      <c r="B488" s="25" t="s">
        <v>534</v>
      </c>
      <c r="C488" s="25" t="s">
        <v>13</v>
      </c>
      <c r="D488" s="26" t="s">
        <v>98</v>
      </c>
      <c r="E488" s="27">
        <v>6</v>
      </c>
      <c r="F488" s="28">
        <v>2750.33</v>
      </c>
      <c r="G488" s="29">
        <v>0.51</v>
      </c>
      <c r="H488" s="28">
        <f t="shared" si="16"/>
        <v>16501.98</v>
      </c>
      <c r="I488" s="30">
        <v>45647</v>
      </c>
      <c r="J488" s="26" t="s">
        <v>22</v>
      </c>
      <c r="K488" s="26" t="s">
        <v>23</v>
      </c>
      <c r="L488" s="31">
        <f t="shared" si="17"/>
        <v>8085.9701999999997</v>
      </c>
      <c r="M488" s="31">
        <v>2745.83</v>
      </c>
      <c r="N488" s="22">
        <f>_xlfn.XLOOKUP(Snitch_Fashion_Sales_cleaned!$J488,Table2[City],Table2[City_Key],"not found")</f>
        <v>3</v>
      </c>
      <c r="O488" s="21">
        <f>_xlfn.XLOOKUP(Snitch_Fashion_Sales_cleaned!$D488,Table4[Product_Name],Table4[Product_Key],"not found")</f>
        <v>21</v>
      </c>
      <c r="P488" s="25">
        <f>_xlfn.XLOOKUP(Snitch_Fashion_Sales_cleaned!$I488,Table3[Order_Date],Table3[Date_Key])</f>
        <v>5</v>
      </c>
    </row>
    <row r="489" spans="1:16" x14ac:dyDescent="0.3">
      <c r="A489" s="34">
        <v>1487</v>
      </c>
      <c r="B489" s="32" t="s">
        <v>535</v>
      </c>
      <c r="C489" s="32" t="s">
        <v>28</v>
      </c>
      <c r="D489" s="33" t="s">
        <v>39</v>
      </c>
      <c r="E489" s="34">
        <v>6</v>
      </c>
      <c r="F489" s="35">
        <v>1234.08</v>
      </c>
      <c r="G489" s="36">
        <v>0.71</v>
      </c>
      <c r="H489" s="35">
        <f t="shared" si="16"/>
        <v>7404.48</v>
      </c>
      <c r="I489" s="37">
        <v>45366</v>
      </c>
      <c r="J489" s="33" t="s">
        <v>15</v>
      </c>
      <c r="K489" s="33" t="s">
        <v>16</v>
      </c>
      <c r="L489" s="38">
        <f t="shared" si="17"/>
        <v>2147.2991999999999</v>
      </c>
      <c r="M489" s="38">
        <v>-849.81</v>
      </c>
      <c r="N489" s="24">
        <f>_xlfn.XLOOKUP(Snitch_Fashion_Sales_cleaned!$J489,Table2[City],Table2[City_Key],"not found")</f>
        <v>1</v>
      </c>
      <c r="O489" s="23">
        <f>_xlfn.XLOOKUP(Snitch_Fashion_Sales_cleaned!$D489,Table4[Product_Name],Table4[Product_Key],"not found")</f>
        <v>8</v>
      </c>
      <c r="P489" s="32">
        <f>_xlfn.XLOOKUP(Snitch_Fashion_Sales_cleaned!$I489,Table3[Order_Date],Table3[Date_Key])</f>
        <v>266</v>
      </c>
    </row>
    <row r="490" spans="1:16" x14ac:dyDescent="0.3">
      <c r="A490" s="27">
        <v>1488</v>
      </c>
      <c r="B490" s="25" t="s">
        <v>536</v>
      </c>
      <c r="C490" s="25" t="s">
        <v>28</v>
      </c>
      <c r="D490" s="26" t="s">
        <v>137</v>
      </c>
      <c r="E490" s="27">
        <v>3.5</v>
      </c>
      <c r="F490" s="28">
        <v>4925.93</v>
      </c>
      <c r="G490" s="29">
        <v>0.51</v>
      </c>
      <c r="H490" s="28">
        <f t="shared" si="16"/>
        <v>17240.755000000001</v>
      </c>
      <c r="I490" s="30">
        <v>45774</v>
      </c>
      <c r="J490" s="26" t="s">
        <v>2540</v>
      </c>
      <c r="K490" s="26" t="s">
        <v>16</v>
      </c>
      <c r="L490" s="31">
        <f t="shared" si="17"/>
        <v>8447.9699500000006</v>
      </c>
      <c r="M490" s="31">
        <v>2121.1999999999998</v>
      </c>
      <c r="N490" s="22">
        <f>_xlfn.XLOOKUP(Snitch_Fashion_Sales_cleaned!$J490,Table2[City],Table2[City_Key],"not found")</f>
        <v>4</v>
      </c>
      <c r="O490" s="21">
        <f>_xlfn.XLOOKUP(Snitch_Fashion_Sales_cleaned!$D490,Table4[Product_Name],Table4[Product_Key],"not found")</f>
        <v>24</v>
      </c>
      <c r="P490" s="25">
        <f>_xlfn.XLOOKUP(Snitch_Fashion_Sales_cleaned!$I490,Table3[Order_Date],Table3[Date_Key])</f>
        <v>267</v>
      </c>
    </row>
    <row r="491" spans="1:16" x14ac:dyDescent="0.3">
      <c r="A491" s="34">
        <v>1489</v>
      </c>
      <c r="B491" s="32" t="s">
        <v>537</v>
      </c>
      <c r="C491" s="32" t="s">
        <v>25</v>
      </c>
      <c r="D491" s="33" t="s">
        <v>50</v>
      </c>
      <c r="E491" s="34">
        <v>4</v>
      </c>
      <c r="F491" s="35">
        <v>2666.2200000000003</v>
      </c>
      <c r="G491" s="36">
        <v>0.51</v>
      </c>
      <c r="H491" s="35">
        <f t="shared" si="16"/>
        <v>10664.880000000001</v>
      </c>
      <c r="I491" s="37">
        <v>45785</v>
      </c>
      <c r="J491" s="33" t="s">
        <v>43</v>
      </c>
      <c r="K491" s="33" t="s">
        <v>23</v>
      </c>
      <c r="L491" s="38">
        <f t="shared" si="17"/>
        <v>5225.7912000000006</v>
      </c>
      <c r="M491" s="38">
        <v>2102.1999999999998</v>
      </c>
      <c r="N491" s="24">
        <f>_xlfn.XLOOKUP(Snitch_Fashion_Sales_cleaned!$J491,Table2[City],Table2[City_Key],"not found")</f>
        <v>6</v>
      </c>
      <c r="O491" s="23">
        <f>_xlfn.XLOOKUP(Snitch_Fashion_Sales_cleaned!$D491,Table4[Product_Name],Table4[Product_Key],"not found")</f>
        <v>11</v>
      </c>
      <c r="P491" s="32">
        <f>_xlfn.XLOOKUP(Snitch_Fashion_Sales_cleaned!$I491,Table3[Order_Date],Table3[Date_Key])</f>
        <v>58</v>
      </c>
    </row>
    <row r="492" spans="1:16" x14ac:dyDescent="0.3">
      <c r="A492" s="27">
        <v>1490</v>
      </c>
      <c r="B492" s="25" t="s">
        <v>538</v>
      </c>
      <c r="C492" s="25" t="s">
        <v>31</v>
      </c>
      <c r="D492" s="26" t="s">
        <v>68</v>
      </c>
      <c r="E492" s="27">
        <v>1</v>
      </c>
      <c r="F492" s="28">
        <v>2765.79</v>
      </c>
      <c r="G492" s="29">
        <v>0.51</v>
      </c>
      <c r="H492" s="28">
        <f t="shared" si="16"/>
        <v>2765.79</v>
      </c>
      <c r="I492" s="30">
        <v>45547</v>
      </c>
      <c r="J492" s="26" t="s">
        <v>15</v>
      </c>
      <c r="K492" s="26" t="s">
        <v>23</v>
      </c>
      <c r="L492" s="31">
        <f t="shared" si="17"/>
        <v>1355.2371000000001</v>
      </c>
      <c r="M492" s="31">
        <v>230.97</v>
      </c>
      <c r="N492" s="22">
        <f>_xlfn.XLOOKUP(Snitch_Fashion_Sales_cleaned!$J492,Table2[City],Table2[City_Key],"not found")</f>
        <v>1</v>
      </c>
      <c r="O492" s="21">
        <f>_xlfn.XLOOKUP(Snitch_Fashion_Sales_cleaned!$D492,Table4[Product_Name],Table4[Product_Key],"not found")</f>
        <v>15</v>
      </c>
      <c r="P492" s="25">
        <f>_xlfn.XLOOKUP(Snitch_Fashion_Sales_cleaned!$I492,Table3[Order_Date],Table3[Date_Key])</f>
        <v>31</v>
      </c>
    </row>
    <row r="493" spans="1:16" x14ac:dyDescent="0.3">
      <c r="A493" s="34">
        <v>1491</v>
      </c>
      <c r="B493" s="32" t="s">
        <v>539</v>
      </c>
      <c r="C493" s="32" t="s">
        <v>25</v>
      </c>
      <c r="D493" s="33" t="s">
        <v>50</v>
      </c>
      <c r="E493" s="34">
        <v>1</v>
      </c>
      <c r="F493" s="35">
        <v>2666.2200000000003</v>
      </c>
      <c r="G493" s="36">
        <v>0.28999999999999998</v>
      </c>
      <c r="H493" s="35">
        <f t="shared" si="16"/>
        <v>2666.2200000000003</v>
      </c>
      <c r="I493" s="37">
        <v>45647</v>
      </c>
      <c r="J493" s="33" t="s">
        <v>2540</v>
      </c>
      <c r="K493" s="33" t="s">
        <v>23</v>
      </c>
      <c r="L493" s="38">
        <f t="shared" si="17"/>
        <v>1893.0162</v>
      </c>
      <c r="M493" s="38">
        <v>473.25405000000001</v>
      </c>
      <c r="N493" s="24">
        <f>_xlfn.XLOOKUP(Snitch_Fashion_Sales_cleaned!$J493,Table2[City],Table2[City_Key],"not found")</f>
        <v>4</v>
      </c>
      <c r="O493" s="23">
        <f>_xlfn.XLOOKUP(Snitch_Fashion_Sales_cleaned!$D493,Table4[Product_Name],Table4[Product_Key],"not found")</f>
        <v>11</v>
      </c>
      <c r="P493" s="32">
        <f>_xlfn.XLOOKUP(Snitch_Fashion_Sales_cleaned!$I493,Table3[Order_Date],Table3[Date_Key])</f>
        <v>5</v>
      </c>
    </row>
    <row r="494" spans="1:16" x14ac:dyDescent="0.3">
      <c r="A494" s="27">
        <v>1492</v>
      </c>
      <c r="B494" s="25" t="s">
        <v>540</v>
      </c>
      <c r="C494" s="25" t="s">
        <v>31</v>
      </c>
      <c r="D494" s="26" t="s">
        <v>68</v>
      </c>
      <c r="E494" s="27">
        <v>4</v>
      </c>
      <c r="F494" s="28">
        <v>2765.79</v>
      </c>
      <c r="G494" s="29">
        <v>0.51</v>
      </c>
      <c r="H494" s="28">
        <f t="shared" si="16"/>
        <v>11063.16</v>
      </c>
      <c r="I494" s="30">
        <v>45647</v>
      </c>
      <c r="J494" s="26" t="s">
        <v>52</v>
      </c>
      <c r="K494" s="26" t="s">
        <v>23</v>
      </c>
      <c r="L494" s="31">
        <f t="shared" si="17"/>
        <v>5420.9484000000002</v>
      </c>
      <c r="M494" s="31">
        <v>-308.83</v>
      </c>
      <c r="N494" s="22">
        <f>_xlfn.XLOOKUP(Snitch_Fashion_Sales_cleaned!$J494,Table2[City],Table2[City_Key],"not found")</f>
        <v>5</v>
      </c>
      <c r="O494" s="21">
        <f>_xlfn.XLOOKUP(Snitch_Fashion_Sales_cleaned!$D494,Table4[Product_Name],Table4[Product_Key],"not found")</f>
        <v>15</v>
      </c>
      <c r="P494" s="25">
        <f>_xlfn.XLOOKUP(Snitch_Fashion_Sales_cleaned!$I494,Table3[Order_Date],Table3[Date_Key])</f>
        <v>5</v>
      </c>
    </row>
    <row r="495" spans="1:16" x14ac:dyDescent="0.3">
      <c r="A495" s="34">
        <v>1493</v>
      </c>
      <c r="B495" s="32" t="s">
        <v>541</v>
      </c>
      <c r="C495" s="32" t="s">
        <v>36</v>
      </c>
      <c r="D495" s="33" t="s">
        <v>59</v>
      </c>
      <c r="E495" s="34">
        <v>3</v>
      </c>
      <c r="F495" s="35">
        <v>2765.26</v>
      </c>
      <c r="G495" s="36">
        <v>0.03</v>
      </c>
      <c r="H495" s="35">
        <f t="shared" si="16"/>
        <v>8295.7800000000007</v>
      </c>
      <c r="I495" s="37">
        <v>45647</v>
      </c>
      <c r="J495" s="33" t="s">
        <v>52</v>
      </c>
      <c r="K495" s="33" t="s">
        <v>23</v>
      </c>
      <c r="L495" s="38">
        <f t="shared" si="17"/>
        <v>8046.9066000000003</v>
      </c>
      <c r="M495" s="38">
        <v>478.28</v>
      </c>
      <c r="N495" s="24">
        <f>_xlfn.XLOOKUP(Snitch_Fashion_Sales_cleaned!$J495,Table2[City],Table2[City_Key],"not found")</f>
        <v>5</v>
      </c>
      <c r="O495" s="23">
        <f>_xlfn.XLOOKUP(Snitch_Fashion_Sales_cleaned!$D495,Table4[Product_Name],Table4[Product_Key],"not found")</f>
        <v>13</v>
      </c>
      <c r="P495" s="32">
        <f>_xlfn.XLOOKUP(Snitch_Fashion_Sales_cleaned!$I495,Table3[Order_Date],Table3[Date_Key])</f>
        <v>5</v>
      </c>
    </row>
    <row r="496" spans="1:16" x14ac:dyDescent="0.3">
      <c r="A496" s="27">
        <v>1494</v>
      </c>
      <c r="B496" s="25" t="s">
        <v>542</v>
      </c>
      <c r="C496" s="25" t="s">
        <v>13</v>
      </c>
      <c r="D496" s="26" t="s">
        <v>46</v>
      </c>
      <c r="E496" s="27">
        <v>4</v>
      </c>
      <c r="F496" s="28">
        <v>4338.0600000000004</v>
      </c>
      <c r="G496" s="29">
        <v>0.24</v>
      </c>
      <c r="H496" s="28">
        <f t="shared" si="16"/>
        <v>17352.240000000002</v>
      </c>
      <c r="I496" s="30">
        <v>45734</v>
      </c>
      <c r="J496" s="26" t="s">
        <v>22</v>
      </c>
      <c r="K496" s="26" t="s">
        <v>23</v>
      </c>
      <c r="L496" s="31">
        <f t="shared" si="17"/>
        <v>13187.702400000002</v>
      </c>
      <c r="M496" s="31">
        <v>386.01</v>
      </c>
      <c r="N496" s="22">
        <f>_xlfn.XLOOKUP(Snitch_Fashion_Sales_cleaned!$J496,Table2[City],Table2[City_Key],"not found")</f>
        <v>3</v>
      </c>
      <c r="O496" s="21">
        <f>_xlfn.XLOOKUP(Snitch_Fashion_Sales_cleaned!$D496,Table4[Product_Name],Table4[Product_Key],"not found")</f>
        <v>10</v>
      </c>
      <c r="P496" s="25">
        <f>_xlfn.XLOOKUP(Snitch_Fashion_Sales_cleaned!$I496,Table3[Order_Date],Table3[Date_Key])</f>
        <v>268</v>
      </c>
    </row>
    <row r="497" spans="1:16" x14ac:dyDescent="0.3">
      <c r="A497" s="34">
        <v>1495</v>
      </c>
      <c r="B497" s="32" t="s">
        <v>543</v>
      </c>
      <c r="C497" s="32" t="s">
        <v>28</v>
      </c>
      <c r="D497" s="33" t="s">
        <v>116</v>
      </c>
      <c r="E497" s="34">
        <v>4</v>
      </c>
      <c r="F497" s="35">
        <v>2261.4899999999998</v>
      </c>
      <c r="G497" s="36">
        <v>0.51</v>
      </c>
      <c r="H497" s="35">
        <f t="shared" si="16"/>
        <v>9045.9599999999991</v>
      </c>
      <c r="I497" s="37">
        <v>45601</v>
      </c>
      <c r="J497" s="33" t="s">
        <v>2540</v>
      </c>
      <c r="K497" s="33" t="s">
        <v>16</v>
      </c>
      <c r="L497" s="38">
        <f t="shared" si="17"/>
        <v>4432.5203999999994</v>
      </c>
      <c r="M497" s="38">
        <v>2044.15</v>
      </c>
      <c r="N497" s="24">
        <f>_xlfn.XLOOKUP(Snitch_Fashion_Sales_cleaned!$J497,Table2[City],Table2[City_Key],"not found")</f>
        <v>4</v>
      </c>
      <c r="O497" s="23">
        <f>_xlfn.XLOOKUP(Snitch_Fashion_Sales_cleaned!$D497,Table4[Product_Name],Table4[Product_Key],"not found")</f>
        <v>22</v>
      </c>
      <c r="P497" s="32">
        <f>_xlfn.XLOOKUP(Snitch_Fashion_Sales_cleaned!$I497,Table3[Order_Date],Table3[Date_Key])</f>
        <v>45</v>
      </c>
    </row>
    <row r="498" spans="1:16" x14ac:dyDescent="0.3">
      <c r="A498" s="27">
        <v>1496</v>
      </c>
      <c r="B498" s="25" t="s">
        <v>544</v>
      </c>
      <c r="C498" s="25" t="s">
        <v>20</v>
      </c>
      <c r="D498" s="26" t="s">
        <v>84</v>
      </c>
      <c r="E498" s="27">
        <v>3</v>
      </c>
      <c r="F498" s="28">
        <v>4874.76</v>
      </c>
      <c r="G498" s="29">
        <v>0.51</v>
      </c>
      <c r="H498" s="28">
        <f t="shared" si="16"/>
        <v>14624.28</v>
      </c>
      <c r="I498" s="30">
        <v>45655</v>
      </c>
      <c r="J498" s="26" t="s">
        <v>18</v>
      </c>
      <c r="K498" s="26" t="s">
        <v>23</v>
      </c>
      <c r="L498" s="31">
        <f t="shared" si="17"/>
        <v>7165.8972000000003</v>
      </c>
      <c r="M498" s="31">
        <v>2438.13</v>
      </c>
      <c r="N498" s="22">
        <f>_xlfn.XLOOKUP(Snitch_Fashion_Sales_cleaned!$J498,Table2[City],Table2[City_Key],"not found")</f>
        <v>2</v>
      </c>
      <c r="O498" s="21">
        <f>_xlfn.XLOOKUP(Snitch_Fashion_Sales_cleaned!$D498,Table4[Product_Name],Table4[Product_Key],"not found")</f>
        <v>19</v>
      </c>
      <c r="P498" s="25">
        <f>_xlfn.XLOOKUP(Snitch_Fashion_Sales_cleaned!$I498,Table3[Order_Date],Table3[Date_Key])</f>
        <v>269</v>
      </c>
    </row>
    <row r="499" spans="1:16" x14ac:dyDescent="0.3">
      <c r="A499" s="34">
        <v>1497</v>
      </c>
      <c r="B499" s="32" t="s">
        <v>545</v>
      </c>
      <c r="C499" s="32" t="s">
        <v>28</v>
      </c>
      <c r="D499" s="33" t="s">
        <v>29</v>
      </c>
      <c r="E499" s="34">
        <v>3</v>
      </c>
      <c r="F499" s="35">
        <v>1461.5</v>
      </c>
      <c r="G499" s="36">
        <v>0.51</v>
      </c>
      <c r="H499" s="35">
        <f t="shared" si="16"/>
        <v>4384.5</v>
      </c>
      <c r="I499" s="37">
        <v>45526</v>
      </c>
      <c r="J499" s="33" t="s">
        <v>43</v>
      </c>
      <c r="K499" s="33" t="s">
        <v>16</v>
      </c>
      <c r="L499" s="38">
        <f t="shared" si="17"/>
        <v>2148.4049999999997</v>
      </c>
      <c r="M499" s="38">
        <v>1561.06</v>
      </c>
      <c r="N499" s="24">
        <f>_xlfn.XLOOKUP(Snitch_Fashion_Sales_cleaned!$J499,Table2[City],Table2[City_Key],"not found")</f>
        <v>6</v>
      </c>
      <c r="O499" s="23">
        <f>_xlfn.XLOOKUP(Snitch_Fashion_Sales_cleaned!$D499,Table4[Product_Name],Table4[Product_Key],"not found")</f>
        <v>4</v>
      </c>
      <c r="P499" s="32">
        <f>_xlfn.XLOOKUP(Snitch_Fashion_Sales_cleaned!$I499,Table3[Order_Date],Table3[Date_Key])</f>
        <v>10</v>
      </c>
    </row>
    <row r="500" spans="1:16" x14ac:dyDescent="0.3">
      <c r="A500" s="27">
        <v>1498</v>
      </c>
      <c r="B500" s="25" t="s">
        <v>546</v>
      </c>
      <c r="C500" s="25" t="s">
        <v>13</v>
      </c>
      <c r="D500" s="26" t="s">
        <v>46</v>
      </c>
      <c r="E500" s="27">
        <v>6</v>
      </c>
      <c r="F500" s="28">
        <v>3771.67</v>
      </c>
      <c r="G500" s="29">
        <v>0.51</v>
      </c>
      <c r="H500" s="28">
        <f t="shared" si="16"/>
        <v>22630.02</v>
      </c>
      <c r="I500" s="30">
        <v>45566</v>
      </c>
      <c r="J500" s="26" t="s">
        <v>22</v>
      </c>
      <c r="K500" s="26" t="s">
        <v>16</v>
      </c>
      <c r="L500" s="31">
        <f t="shared" si="17"/>
        <v>11088.709800000001</v>
      </c>
      <c r="M500" s="31">
        <v>2442.42</v>
      </c>
      <c r="N500" s="22">
        <f>_xlfn.XLOOKUP(Snitch_Fashion_Sales_cleaned!$J500,Table2[City],Table2[City_Key],"not found")</f>
        <v>3</v>
      </c>
      <c r="O500" s="21">
        <f>_xlfn.XLOOKUP(Snitch_Fashion_Sales_cleaned!$D500,Table4[Product_Name],Table4[Product_Key],"not found")</f>
        <v>10</v>
      </c>
      <c r="P500" s="25">
        <f>_xlfn.XLOOKUP(Snitch_Fashion_Sales_cleaned!$I500,Table3[Order_Date],Table3[Date_Key])</f>
        <v>111</v>
      </c>
    </row>
    <row r="501" spans="1:16" x14ac:dyDescent="0.3">
      <c r="A501" s="34">
        <v>1499</v>
      </c>
      <c r="B501" s="32" t="s">
        <v>547</v>
      </c>
      <c r="C501" s="32" t="s">
        <v>31</v>
      </c>
      <c r="D501" s="33" t="s">
        <v>32</v>
      </c>
      <c r="E501" s="34">
        <v>2</v>
      </c>
      <c r="F501" s="35">
        <v>2001.5500000000002</v>
      </c>
      <c r="G501" s="36">
        <v>0.51</v>
      </c>
      <c r="H501" s="35">
        <f t="shared" si="16"/>
        <v>4003.1000000000004</v>
      </c>
      <c r="I501" s="37">
        <v>45647</v>
      </c>
      <c r="J501" s="33" t="s">
        <v>2540</v>
      </c>
      <c r="K501" s="33" t="s">
        <v>16</v>
      </c>
      <c r="L501" s="38">
        <f t="shared" si="17"/>
        <v>1961.5190000000002</v>
      </c>
      <c r="M501" s="38">
        <v>490.37975000000006</v>
      </c>
      <c r="N501" s="24">
        <f>_xlfn.XLOOKUP(Snitch_Fashion_Sales_cleaned!$J501,Table2[City],Table2[City_Key],"not found")</f>
        <v>4</v>
      </c>
      <c r="O501" s="23">
        <f>_xlfn.XLOOKUP(Snitch_Fashion_Sales_cleaned!$D501,Table4[Product_Name],Table4[Product_Key],"not found")</f>
        <v>5</v>
      </c>
      <c r="P501" s="32">
        <f>_xlfn.XLOOKUP(Snitch_Fashion_Sales_cleaned!$I501,Table3[Order_Date],Table3[Date_Key])</f>
        <v>5</v>
      </c>
    </row>
    <row r="502" spans="1:16" x14ac:dyDescent="0.3">
      <c r="A502" s="27">
        <v>1500</v>
      </c>
      <c r="B502" s="25" t="s">
        <v>548</v>
      </c>
      <c r="C502" s="25" t="s">
        <v>13</v>
      </c>
      <c r="D502" s="26" t="s">
        <v>46</v>
      </c>
      <c r="E502" s="27">
        <v>4</v>
      </c>
      <c r="F502" s="28">
        <v>2128.7399999999998</v>
      </c>
      <c r="G502" s="29">
        <v>0.51</v>
      </c>
      <c r="H502" s="28">
        <f t="shared" si="16"/>
        <v>8514.9599999999991</v>
      </c>
      <c r="I502" s="30">
        <v>45588</v>
      </c>
      <c r="J502" s="26" t="s">
        <v>18</v>
      </c>
      <c r="K502" s="26" t="s">
        <v>23</v>
      </c>
      <c r="L502" s="31">
        <f t="shared" si="17"/>
        <v>4172.3303999999998</v>
      </c>
      <c r="M502" s="31">
        <v>-648.94000000000005</v>
      </c>
      <c r="N502" s="22">
        <f>_xlfn.XLOOKUP(Snitch_Fashion_Sales_cleaned!$J502,Table2[City],Table2[City_Key],"not found")</f>
        <v>2</v>
      </c>
      <c r="O502" s="21">
        <f>_xlfn.XLOOKUP(Snitch_Fashion_Sales_cleaned!$D502,Table4[Product_Name],Table4[Product_Key],"not found")</f>
        <v>10</v>
      </c>
      <c r="P502" s="25">
        <f>_xlfn.XLOOKUP(Snitch_Fashion_Sales_cleaned!$I502,Table3[Order_Date],Table3[Date_Key])</f>
        <v>85</v>
      </c>
    </row>
    <row r="503" spans="1:16" x14ac:dyDescent="0.3">
      <c r="A503" s="34">
        <v>1501</v>
      </c>
      <c r="B503" s="32" t="s">
        <v>549</v>
      </c>
      <c r="C503" s="32" t="s">
        <v>31</v>
      </c>
      <c r="D503" s="33" t="s">
        <v>32</v>
      </c>
      <c r="E503" s="34">
        <v>4</v>
      </c>
      <c r="F503" s="35">
        <v>2001.5500000000002</v>
      </c>
      <c r="G503" s="36">
        <v>0.65</v>
      </c>
      <c r="H503" s="35">
        <f t="shared" si="16"/>
        <v>8006.2000000000007</v>
      </c>
      <c r="I503" s="37">
        <v>45647</v>
      </c>
      <c r="J503" s="33" t="s">
        <v>2540</v>
      </c>
      <c r="K503" s="33" t="s">
        <v>23</v>
      </c>
      <c r="L503" s="38">
        <f t="shared" si="17"/>
        <v>2802.17</v>
      </c>
      <c r="M503" s="38">
        <v>-957.83</v>
      </c>
      <c r="N503" s="24">
        <f>_xlfn.XLOOKUP(Snitch_Fashion_Sales_cleaned!$J503,Table2[City],Table2[City_Key],"not found")</f>
        <v>4</v>
      </c>
      <c r="O503" s="23">
        <f>_xlfn.XLOOKUP(Snitch_Fashion_Sales_cleaned!$D503,Table4[Product_Name],Table4[Product_Key],"not found")</f>
        <v>5</v>
      </c>
      <c r="P503" s="32">
        <f>_xlfn.XLOOKUP(Snitch_Fashion_Sales_cleaned!$I503,Table3[Order_Date],Table3[Date_Key])</f>
        <v>5</v>
      </c>
    </row>
    <row r="504" spans="1:16" x14ac:dyDescent="0.3">
      <c r="A504" s="27">
        <v>1502</v>
      </c>
      <c r="B504" s="25" t="s">
        <v>550</v>
      </c>
      <c r="C504" s="25" t="s">
        <v>36</v>
      </c>
      <c r="D504" s="26" t="s">
        <v>87</v>
      </c>
      <c r="E504" s="27">
        <v>4</v>
      </c>
      <c r="F504" s="28">
        <v>4260.95</v>
      </c>
      <c r="G504" s="29">
        <v>0.51</v>
      </c>
      <c r="H504" s="28">
        <f t="shared" si="16"/>
        <v>17043.8</v>
      </c>
      <c r="I504" s="30">
        <v>45551</v>
      </c>
      <c r="J504" s="26" t="s">
        <v>15</v>
      </c>
      <c r="K504" s="26" t="s">
        <v>23</v>
      </c>
      <c r="L504" s="31">
        <f t="shared" si="17"/>
        <v>8351.4619999999995</v>
      </c>
      <c r="M504" s="31">
        <v>-86.64</v>
      </c>
      <c r="N504" s="22">
        <f>_xlfn.XLOOKUP(Snitch_Fashion_Sales_cleaned!$J504,Table2[City],Table2[City_Key],"not found")</f>
        <v>1</v>
      </c>
      <c r="O504" s="21">
        <f>_xlfn.XLOOKUP(Snitch_Fashion_Sales_cleaned!$D504,Table4[Product_Name],Table4[Product_Key],"not found")</f>
        <v>20</v>
      </c>
      <c r="P504" s="25">
        <f>_xlfn.XLOOKUP(Snitch_Fashion_Sales_cleaned!$I504,Table3[Order_Date],Table3[Date_Key])</f>
        <v>270</v>
      </c>
    </row>
    <row r="505" spans="1:16" x14ac:dyDescent="0.3">
      <c r="A505" s="34">
        <v>1503</v>
      </c>
      <c r="B505" s="32" t="s">
        <v>551</v>
      </c>
      <c r="C505" s="32" t="s">
        <v>31</v>
      </c>
      <c r="D505" s="33" t="s">
        <v>41</v>
      </c>
      <c r="E505" s="34">
        <v>2</v>
      </c>
      <c r="F505" s="35">
        <v>4621.79</v>
      </c>
      <c r="G505" s="36">
        <v>0.32</v>
      </c>
      <c r="H505" s="35">
        <f t="shared" si="16"/>
        <v>9243.58</v>
      </c>
      <c r="I505" s="37">
        <v>45795</v>
      </c>
      <c r="J505" s="33" t="s">
        <v>15</v>
      </c>
      <c r="K505" s="33" t="s">
        <v>16</v>
      </c>
      <c r="L505" s="38">
        <f t="shared" si="17"/>
        <v>6285.634399999999</v>
      </c>
      <c r="M505" s="38">
        <v>1350.48</v>
      </c>
      <c r="N505" s="24">
        <f>_xlfn.XLOOKUP(Snitch_Fashion_Sales_cleaned!$J505,Table2[City],Table2[City_Key],"not found")</f>
        <v>1</v>
      </c>
      <c r="O505" s="23">
        <f>_xlfn.XLOOKUP(Snitch_Fashion_Sales_cleaned!$D505,Table4[Product_Name],Table4[Product_Key],"not found")</f>
        <v>9</v>
      </c>
      <c r="P505" s="32">
        <f>_xlfn.XLOOKUP(Snitch_Fashion_Sales_cleaned!$I505,Table3[Order_Date],Table3[Date_Key])</f>
        <v>271</v>
      </c>
    </row>
    <row r="506" spans="1:16" x14ac:dyDescent="0.3">
      <c r="A506" s="27">
        <v>1504</v>
      </c>
      <c r="B506" s="25" t="s">
        <v>552</v>
      </c>
      <c r="C506" s="25" t="s">
        <v>25</v>
      </c>
      <c r="D506" s="26" t="s">
        <v>26</v>
      </c>
      <c r="E506" s="27">
        <v>2</v>
      </c>
      <c r="F506" s="28">
        <v>2558.4299999999998</v>
      </c>
      <c r="G506" s="29">
        <v>0.51</v>
      </c>
      <c r="H506" s="28">
        <f t="shared" si="16"/>
        <v>5116.8599999999997</v>
      </c>
      <c r="I506" s="30">
        <v>45604</v>
      </c>
      <c r="J506" s="26" t="s">
        <v>2540</v>
      </c>
      <c r="K506" s="26" t="s">
        <v>23</v>
      </c>
      <c r="L506" s="31">
        <f t="shared" si="17"/>
        <v>2507.2613999999999</v>
      </c>
      <c r="M506" s="31">
        <v>-360.49</v>
      </c>
      <c r="N506" s="22">
        <f>_xlfn.XLOOKUP(Snitch_Fashion_Sales_cleaned!$J506,Table2[City],Table2[City_Key],"not found")</f>
        <v>4</v>
      </c>
      <c r="O506" s="21">
        <f>_xlfn.XLOOKUP(Snitch_Fashion_Sales_cleaned!$D506,Table4[Product_Name],Table4[Product_Key],"not found")</f>
        <v>3</v>
      </c>
      <c r="P506" s="25">
        <f>_xlfn.XLOOKUP(Snitch_Fashion_Sales_cleaned!$I506,Table3[Order_Date],Table3[Date_Key])</f>
        <v>101</v>
      </c>
    </row>
    <row r="507" spans="1:16" x14ac:dyDescent="0.3">
      <c r="A507" s="34">
        <v>1048</v>
      </c>
      <c r="B507" s="32" t="s">
        <v>553</v>
      </c>
      <c r="C507" s="32" t="s">
        <v>28</v>
      </c>
      <c r="D507" s="33" t="s">
        <v>116</v>
      </c>
      <c r="E507" s="34">
        <v>4</v>
      </c>
      <c r="F507" s="35">
        <v>1316.64</v>
      </c>
      <c r="G507" s="36">
        <v>0.51</v>
      </c>
      <c r="H507" s="35">
        <f t="shared" si="16"/>
        <v>5266.56</v>
      </c>
      <c r="I507" s="37">
        <v>45151</v>
      </c>
      <c r="J507" s="33" t="s">
        <v>2540</v>
      </c>
      <c r="K507" s="33" t="s">
        <v>16</v>
      </c>
      <c r="L507" s="38">
        <f t="shared" si="17"/>
        <v>2580.6143999999999</v>
      </c>
      <c r="M507" s="38">
        <v>1390.52</v>
      </c>
      <c r="N507" s="24">
        <f>_xlfn.XLOOKUP(Snitch_Fashion_Sales_cleaned!$J507,Table2[City],Table2[City_Key],"not found")</f>
        <v>4</v>
      </c>
      <c r="O507" s="23">
        <f>_xlfn.XLOOKUP(Snitch_Fashion_Sales_cleaned!$D507,Table4[Product_Name],Table4[Product_Key],"not found")</f>
        <v>22</v>
      </c>
      <c r="P507" s="32">
        <f>_xlfn.XLOOKUP(Snitch_Fashion_Sales_cleaned!$I507,Table3[Order_Date],Table3[Date_Key])</f>
        <v>272</v>
      </c>
    </row>
    <row r="508" spans="1:16" x14ac:dyDescent="0.3">
      <c r="A508" s="27">
        <v>1506</v>
      </c>
      <c r="B508" s="25" t="s">
        <v>554</v>
      </c>
      <c r="C508" s="25" t="s">
        <v>31</v>
      </c>
      <c r="D508" s="26" t="s">
        <v>32</v>
      </c>
      <c r="E508" s="27">
        <v>4</v>
      </c>
      <c r="F508" s="28">
        <v>2001.5500000000002</v>
      </c>
      <c r="G508" s="29">
        <v>0.51</v>
      </c>
      <c r="H508" s="28">
        <f t="shared" si="16"/>
        <v>8006.2000000000007</v>
      </c>
      <c r="I508" s="30">
        <v>45821</v>
      </c>
      <c r="J508" s="26" t="s">
        <v>2540</v>
      </c>
      <c r="K508" s="26" t="s">
        <v>16</v>
      </c>
      <c r="L508" s="31">
        <f t="shared" si="17"/>
        <v>3923.0380000000005</v>
      </c>
      <c r="M508" s="31">
        <v>1406.62</v>
      </c>
      <c r="N508" s="22">
        <f>_xlfn.XLOOKUP(Snitch_Fashion_Sales_cleaned!$J508,Table2[City],Table2[City_Key],"not found")</f>
        <v>4</v>
      </c>
      <c r="O508" s="21">
        <f>_xlfn.XLOOKUP(Snitch_Fashion_Sales_cleaned!$D508,Table4[Product_Name],Table4[Product_Key],"not found")</f>
        <v>5</v>
      </c>
      <c r="P508" s="25">
        <f>_xlfn.XLOOKUP(Snitch_Fashion_Sales_cleaned!$I508,Table3[Order_Date],Table3[Date_Key])</f>
        <v>273</v>
      </c>
    </row>
    <row r="509" spans="1:16" x14ac:dyDescent="0.3">
      <c r="A509" s="34">
        <v>1507</v>
      </c>
      <c r="B509" s="32" t="s">
        <v>555</v>
      </c>
      <c r="C509" s="32" t="s">
        <v>20</v>
      </c>
      <c r="D509" s="33" t="s">
        <v>21</v>
      </c>
      <c r="E509" s="34">
        <v>4</v>
      </c>
      <c r="F509" s="35">
        <v>3597.73</v>
      </c>
      <c r="G509" s="36">
        <v>0.51</v>
      </c>
      <c r="H509" s="35">
        <f t="shared" si="16"/>
        <v>14390.92</v>
      </c>
      <c r="I509" s="37">
        <v>45560</v>
      </c>
      <c r="J509" s="33" t="s">
        <v>15</v>
      </c>
      <c r="K509" s="33" t="s">
        <v>23</v>
      </c>
      <c r="L509" s="38">
        <f t="shared" si="17"/>
        <v>7051.5508</v>
      </c>
      <c r="M509" s="38">
        <v>-857.53</v>
      </c>
      <c r="N509" s="24">
        <f>_xlfn.XLOOKUP(Snitch_Fashion_Sales_cleaned!$J509,Table2[City],Table2[City_Key],"not found")</f>
        <v>1</v>
      </c>
      <c r="O509" s="23">
        <f>_xlfn.XLOOKUP(Snitch_Fashion_Sales_cleaned!$D509,Table4[Product_Name],Table4[Product_Key],"not found")</f>
        <v>2</v>
      </c>
      <c r="P509" s="32">
        <f>_xlfn.XLOOKUP(Snitch_Fashion_Sales_cleaned!$I509,Table3[Order_Date],Table3[Date_Key])</f>
        <v>274</v>
      </c>
    </row>
    <row r="510" spans="1:16" x14ac:dyDescent="0.3">
      <c r="A510" s="27">
        <v>1508</v>
      </c>
      <c r="B510" s="25" t="s">
        <v>556</v>
      </c>
      <c r="C510" s="25" t="s">
        <v>36</v>
      </c>
      <c r="D510" s="26" t="s">
        <v>87</v>
      </c>
      <c r="E510" s="27">
        <v>4</v>
      </c>
      <c r="F510" s="28">
        <v>2889.5349999999999</v>
      </c>
      <c r="G510" s="29">
        <v>0.51</v>
      </c>
      <c r="H510" s="28">
        <f t="shared" si="16"/>
        <v>11558.14</v>
      </c>
      <c r="I510" s="30">
        <v>45530</v>
      </c>
      <c r="J510" s="26" t="s">
        <v>18</v>
      </c>
      <c r="K510" s="26" t="s">
        <v>23</v>
      </c>
      <c r="L510" s="31">
        <f t="shared" si="17"/>
        <v>5663.4885999999997</v>
      </c>
      <c r="M510" s="31">
        <v>1796.35</v>
      </c>
      <c r="N510" s="22">
        <f>_xlfn.XLOOKUP(Snitch_Fashion_Sales_cleaned!$J510,Table2[City],Table2[City_Key],"not found")</f>
        <v>2</v>
      </c>
      <c r="O510" s="21">
        <f>_xlfn.XLOOKUP(Snitch_Fashion_Sales_cleaned!$D510,Table4[Product_Name],Table4[Product_Key],"not found")</f>
        <v>20</v>
      </c>
      <c r="P510" s="25">
        <f>_xlfn.XLOOKUP(Snitch_Fashion_Sales_cleaned!$I510,Table3[Order_Date],Table3[Date_Key])</f>
        <v>275</v>
      </c>
    </row>
    <row r="511" spans="1:16" x14ac:dyDescent="0.3">
      <c r="A511" s="34">
        <v>1509</v>
      </c>
      <c r="B511" s="32" t="s">
        <v>557</v>
      </c>
      <c r="C511" s="32" t="s">
        <v>36</v>
      </c>
      <c r="D511" s="33" t="s">
        <v>87</v>
      </c>
      <c r="E511" s="34">
        <v>4</v>
      </c>
      <c r="F511" s="35">
        <v>2889.5349999999999</v>
      </c>
      <c r="G511" s="36">
        <v>0.28000000000000003</v>
      </c>
      <c r="H511" s="35">
        <f t="shared" si="16"/>
        <v>11558.14</v>
      </c>
      <c r="I511" s="37">
        <v>45584</v>
      </c>
      <c r="J511" s="33" t="s">
        <v>2540</v>
      </c>
      <c r="K511" s="33" t="s">
        <v>23</v>
      </c>
      <c r="L511" s="38">
        <f t="shared" si="17"/>
        <v>8321.8607999999986</v>
      </c>
      <c r="M511" s="38">
        <v>1333.87</v>
      </c>
      <c r="N511" s="24">
        <f>_xlfn.XLOOKUP(Snitch_Fashion_Sales_cleaned!$J511,Table2[City],Table2[City_Key],"not found")</f>
        <v>4</v>
      </c>
      <c r="O511" s="23">
        <f>_xlfn.XLOOKUP(Snitch_Fashion_Sales_cleaned!$D511,Table4[Product_Name],Table4[Product_Key],"not found")</f>
        <v>20</v>
      </c>
      <c r="P511" s="32">
        <f>_xlfn.XLOOKUP(Snitch_Fashion_Sales_cleaned!$I511,Table3[Order_Date],Table3[Date_Key])</f>
        <v>276</v>
      </c>
    </row>
    <row r="512" spans="1:16" x14ac:dyDescent="0.3">
      <c r="A512" s="27">
        <v>1510</v>
      </c>
      <c r="B512" s="25" t="s">
        <v>558</v>
      </c>
      <c r="C512" s="25" t="s">
        <v>31</v>
      </c>
      <c r="D512" s="26" t="s">
        <v>78</v>
      </c>
      <c r="E512" s="27">
        <v>4</v>
      </c>
      <c r="F512" s="28">
        <v>1897.11</v>
      </c>
      <c r="G512" s="29">
        <v>0.51</v>
      </c>
      <c r="H512" s="28">
        <f t="shared" si="16"/>
        <v>7588.44</v>
      </c>
      <c r="I512" s="30">
        <v>45781</v>
      </c>
      <c r="J512" s="26" t="s">
        <v>15</v>
      </c>
      <c r="K512" s="26" t="s">
        <v>16</v>
      </c>
      <c r="L512" s="31">
        <f t="shared" si="17"/>
        <v>3718.3355999999999</v>
      </c>
      <c r="M512" s="31">
        <v>-345.3</v>
      </c>
      <c r="N512" s="22">
        <f>_xlfn.XLOOKUP(Snitch_Fashion_Sales_cleaned!$J512,Table2[City],Table2[City_Key],"not found")</f>
        <v>1</v>
      </c>
      <c r="O512" s="21">
        <f>_xlfn.XLOOKUP(Snitch_Fashion_Sales_cleaned!$D512,Table4[Product_Name],Table4[Product_Key],"not found")</f>
        <v>17</v>
      </c>
      <c r="P512" s="25">
        <f>_xlfn.XLOOKUP(Snitch_Fashion_Sales_cleaned!$I512,Table3[Order_Date],Table3[Date_Key])</f>
        <v>277</v>
      </c>
    </row>
    <row r="513" spans="1:16" x14ac:dyDescent="0.3">
      <c r="A513" s="34">
        <v>1511</v>
      </c>
      <c r="B513" s="32" t="s">
        <v>559</v>
      </c>
      <c r="C513" s="32" t="s">
        <v>20</v>
      </c>
      <c r="D513" s="33" t="s">
        <v>21</v>
      </c>
      <c r="E513" s="34">
        <v>4</v>
      </c>
      <c r="F513" s="35">
        <v>2579.8000000000002</v>
      </c>
      <c r="G513" s="36">
        <v>0.93</v>
      </c>
      <c r="H513" s="35">
        <f t="shared" si="16"/>
        <v>10319.200000000001</v>
      </c>
      <c r="I513" s="37">
        <v>45606</v>
      </c>
      <c r="J513" s="33" t="s">
        <v>52</v>
      </c>
      <c r="K513" s="33" t="s">
        <v>23</v>
      </c>
      <c r="L513" s="38">
        <f t="shared" si="17"/>
        <v>722.3439999999996</v>
      </c>
      <c r="M513" s="38">
        <v>-521.84</v>
      </c>
      <c r="N513" s="24">
        <f>_xlfn.XLOOKUP(Snitch_Fashion_Sales_cleaned!$J513,Table2[City],Table2[City_Key],"not found")</f>
        <v>5</v>
      </c>
      <c r="O513" s="23">
        <f>_xlfn.XLOOKUP(Snitch_Fashion_Sales_cleaned!$D513,Table4[Product_Name],Table4[Product_Key],"not found")</f>
        <v>2</v>
      </c>
      <c r="P513" s="32">
        <f>_xlfn.XLOOKUP(Snitch_Fashion_Sales_cleaned!$I513,Table3[Order_Date],Table3[Date_Key])</f>
        <v>278</v>
      </c>
    </row>
    <row r="514" spans="1:16" x14ac:dyDescent="0.3">
      <c r="A514" s="27">
        <v>1512</v>
      </c>
      <c r="B514" s="25" t="s">
        <v>560</v>
      </c>
      <c r="C514" s="25" t="s">
        <v>28</v>
      </c>
      <c r="D514" s="26" t="s">
        <v>39</v>
      </c>
      <c r="E514" s="27">
        <v>3</v>
      </c>
      <c r="F514" s="28">
        <v>2577.6350000000002</v>
      </c>
      <c r="G514" s="29">
        <v>0.51</v>
      </c>
      <c r="H514" s="28">
        <f t="shared" si="16"/>
        <v>7732.9050000000007</v>
      </c>
      <c r="I514" s="30">
        <v>45458</v>
      </c>
      <c r="J514" s="26" t="s">
        <v>15</v>
      </c>
      <c r="K514" s="26" t="s">
        <v>16</v>
      </c>
      <c r="L514" s="31">
        <f t="shared" si="17"/>
        <v>3789.12345</v>
      </c>
      <c r="M514" s="31">
        <v>352.91</v>
      </c>
      <c r="N514" s="22">
        <f>_xlfn.XLOOKUP(Snitch_Fashion_Sales_cleaned!$J514,Table2[City],Table2[City_Key],"not found")</f>
        <v>1</v>
      </c>
      <c r="O514" s="21">
        <f>_xlfn.XLOOKUP(Snitch_Fashion_Sales_cleaned!$D514,Table4[Product_Name],Table4[Product_Key],"not found")</f>
        <v>8</v>
      </c>
      <c r="P514" s="25">
        <f>_xlfn.XLOOKUP(Snitch_Fashion_Sales_cleaned!$I514,Table3[Order_Date],Table3[Date_Key])</f>
        <v>279</v>
      </c>
    </row>
    <row r="515" spans="1:16" x14ac:dyDescent="0.3">
      <c r="A515" s="34">
        <v>1513</v>
      </c>
      <c r="B515" s="32" t="s">
        <v>561</v>
      </c>
      <c r="C515" s="32" t="s">
        <v>20</v>
      </c>
      <c r="D515" s="33" t="s">
        <v>118</v>
      </c>
      <c r="E515" s="34">
        <v>6</v>
      </c>
      <c r="F515" s="35">
        <v>2752.99</v>
      </c>
      <c r="G515" s="36">
        <v>0.51</v>
      </c>
      <c r="H515" s="35">
        <f t="shared" si="16"/>
        <v>16517.939999999999</v>
      </c>
      <c r="I515" s="37">
        <v>45402</v>
      </c>
      <c r="J515" s="33" t="s">
        <v>15</v>
      </c>
      <c r="K515" s="33" t="s">
        <v>16</v>
      </c>
      <c r="L515" s="38">
        <f t="shared" si="17"/>
        <v>8093.7905999999994</v>
      </c>
      <c r="M515" s="38">
        <v>156.52000000000001</v>
      </c>
      <c r="N515" s="24">
        <f>_xlfn.XLOOKUP(Snitch_Fashion_Sales_cleaned!$J515,Table2[City],Table2[City_Key],"not found")</f>
        <v>1</v>
      </c>
      <c r="O515" s="23">
        <f>_xlfn.XLOOKUP(Snitch_Fashion_Sales_cleaned!$D515,Table4[Product_Name],Table4[Product_Key],"not found")</f>
        <v>23</v>
      </c>
      <c r="P515" s="32">
        <f>_xlfn.XLOOKUP(Snitch_Fashion_Sales_cleaned!$I515,Table3[Order_Date],Table3[Date_Key])</f>
        <v>280</v>
      </c>
    </row>
    <row r="516" spans="1:16" x14ac:dyDescent="0.3">
      <c r="A516" s="27">
        <v>1514</v>
      </c>
      <c r="B516" s="25" t="s">
        <v>562</v>
      </c>
      <c r="C516" s="25" t="s">
        <v>31</v>
      </c>
      <c r="D516" s="26" t="s">
        <v>41</v>
      </c>
      <c r="E516" s="27">
        <v>3</v>
      </c>
      <c r="F516" s="28">
        <v>2343.7199999999998</v>
      </c>
      <c r="G516" s="29">
        <v>0.51</v>
      </c>
      <c r="H516" s="28">
        <f t="shared" si="16"/>
        <v>7031.16</v>
      </c>
      <c r="I516" s="30">
        <v>45810</v>
      </c>
      <c r="J516" s="26" t="s">
        <v>22</v>
      </c>
      <c r="K516" s="26" t="s">
        <v>23</v>
      </c>
      <c r="L516" s="31">
        <f t="shared" si="17"/>
        <v>3445.2683999999999</v>
      </c>
      <c r="M516" s="31">
        <v>-760.9</v>
      </c>
      <c r="N516" s="22">
        <f>_xlfn.XLOOKUP(Snitch_Fashion_Sales_cleaned!$J516,Table2[City],Table2[City_Key],"not found")</f>
        <v>3</v>
      </c>
      <c r="O516" s="21">
        <f>_xlfn.XLOOKUP(Snitch_Fashion_Sales_cleaned!$D516,Table4[Product_Name],Table4[Product_Key],"not found")</f>
        <v>9</v>
      </c>
      <c r="P516" s="25">
        <f>_xlfn.XLOOKUP(Snitch_Fashion_Sales_cleaned!$I516,Table3[Order_Date],Table3[Date_Key])</f>
        <v>180</v>
      </c>
    </row>
    <row r="517" spans="1:16" x14ac:dyDescent="0.3">
      <c r="A517" s="34">
        <v>1515</v>
      </c>
      <c r="B517" s="32" t="s">
        <v>563</v>
      </c>
      <c r="C517" s="32" t="s">
        <v>28</v>
      </c>
      <c r="D517" s="33" t="s">
        <v>39</v>
      </c>
      <c r="E517" s="34">
        <v>3</v>
      </c>
      <c r="F517" s="35">
        <v>4596.03</v>
      </c>
      <c r="G517" s="36">
        <v>0.51</v>
      </c>
      <c r="H517" s="35">
        <f t="shared" si="16"/>
        <v>13788.09</v>
      </c>
      <c r="I517" s="37">
        <v>45839</v>
      </c>
      <c r="J517" s="33" t="s">
        <v>15</v>
      </c>
      <c r="K517" s="33" t="s">
        <v>23</v>
      </c>
      <c r="L517" s="38">
        <f t="shared" si="17"/>
        <v>6756.1641</v>
      </c>
      <c r="M517" s="38">
        <v>-866.29</v>
      </c>
      <c r="N517" s="24">
        <f>_xlfn.XLOOKUP(Snitch_Fashion_Sales_cleaned!$J517,Table2[City],Table2[City_Key],"not found")</f>
        <v>1</v>
      </c>
      <c r="O517" s="23">
        <f>_xlfn.XLOOKUP(Snitch_Fashion_Sales_cleaned!$D517,Table4[Product_Name],Table4[Product_Key],"not found")</f>
        <v>8</v>
      </c>
      <c r="P517" s="32">
        <f>_xlfn.XLOOKUP(Snitch_Fashion_Sales_cleaned!$I517,Table3[Order_Date],Table3[Date_Key])</f>
        <v>200</v>
      </c>
    </row>
    <row r="518" spans="1:16" x14ac:dyDescent="0.3">
      <c r="A518" s="27">
        <v>1516</v>
      </c>
      <c r="B518" s="25" t="s">
        <v>564</v>
      </c>
      <c r="C518" s="25" t="s">
        <v>36</v>
      </c>
      <c r="D518" s="26" t="s">
        <v>37</v>
      </c>
      <c r="E518" s="27">
        <v>4</v>
      </c>
      <c r="F518" s="28">
        <v>1039.31</v>
      </c>
      <c r="G518" s="29">
        <v>0.94</v>
      </c>
      <c r="H518" s="28">
        <f t="shared" ref="H518:H581" si="18">E518*F518</f>
        <v>4157.24</v>
      </c>
      <c r="I518" s="30">
        <v>45647</v>
      </c>
      <c r="J518" s="26" t="s">
        <v>18</v>
      </c>
      <c r="K518" s="26" t="s">
        <v>23</v>
      </c>
      <c r="L518" s="31">
        <f t="shared" ref="L518:L581" si="19">H518*(1-G518)</f>
        <v>249.43440000000021</v>
      </c>
      <c r="M518" s="31">
        <v>-104.79</v>
      </c>
      <c r="N518" s="22">
        <f>_xlfn.XLOOKUP(Snitch_Fashion_Sales_cleaned!$J518,Table2[City],Table2[City_Key],"not found")</f>
        <v>2</v>
      </c>
      <c r="O518" s="21">
        <f>_xlfn.XLOOKUP(Snitch_Fashion_Sales_cleaned!$D518,Table4[Product_Name],Table4[Product_Key],"not found")</f>
        <v>7</v>
      </c>
      <c r="P518" s="25">
        <f>_xlfn.XLOOKUP(Snitch_Fashion_Sales_cleaned!$I518,Table3[Order_Date],Table3[Date_Key])</f>
        <v>5</v>
      </c>
    </row>
    <row r="519" spans="1:16" x14ac:dyDescent="0.3">
      <c r="A519" s="34">
        <v>1517</v>
      </c>
      <c r="B519" s="32" t="s">
        <v>565</v>
      </c>
      <c r="C519" s="32" t="s">
        <v>13</v>
      </c>
      <c r="D519" s="33" t="s">
        <v>14</v>
      </c>
      <c r="E519" s="34">
        <v>4</v>
      </c>
      <c r="F519" s="35">
        <v>4944.25</v>
      </c>
      <c r="G519" s="36">
        <v>0.51</v>
      </c>
      <c r="H519" s="35">
        <f t="shared" si="18"/>
        <v>19777</v>
      </c>
      <c r="I519" s="37">
        <v>45570</v>
      </c>
      <c r="J519" s="33" t="s">
        <v>18</v>
      </c>
      <c r="K519" s="33" t="s">
        <v>23</v>
      </c>
      <c r="L519" s="38">
        <f t="shared" si="19"/>
        <v>9690.73</v>
      </c>
      <c r="M519" s="38">
        <v>-157.21</v>
      </c>
      <c r="N519" s="24">
        <f>_xlfn.XLOOKUP(Snitch_Fashion_Sales_cleaned!$J519,Table2[City],Table2[City_Key],"not found")</f>
        <v>2</v>
      </c>
      <c r="O519" s="23">
        <f>_xlfn.XLOOKUP(Snitch_Fashion_Sales_cleaned!$D519,Table4[Product_Name],Table4[Product_Key],"not found")</f>
        <v>1</v>
      </c>
      <c r="P519" s="32">
        <f>_xlfn.XLOOKUP(Snitch_Fashion_Sales_cleaned!$I519,Table3[Order_Date],Table3[Date_Key])</f>
        <v>95</v>
      </c>
    </row>
    <row r="520" spans="1:16" x14ac:dyDescent="0.3">
      <c r="A520" s="27">
        <v>1518</v>
      </c>
      <c r="B520" s="25" t="s">
        <v>566</v>
      </c>
      <c r="C520" s="25" t="s">
        <v>13</v>
      </c>
      <c r="D520" s="26" t="s">
        <v>14</v>
      </c>
      <c r="E520" s="27">
        <v>4</v>
      </c>
      <c r="F520" s="28">
        <v>706.71</v>
      </c>
      <c r="G520" s="29">
        <v>0.51</v>
      </c>
      <c r="H520" s="28">
        <f t="shared" si="18"/>
        <v>2826.84</v>
      </c>
      <c r="I520" s="30">
        <v>45831</v>
      </c>
      <c r="J520" s="26" t="s">
        <v>15</v>
      </c>
      <c r="K520" s="26" t="s">
        <v>23</v>
      </c>
      <c r="L520" s="31">
        <f t="shared" si="19"/>
        <v>1385.1516000000001</v>
      </c>
      <c r="M520" s="31">
        <v>-285.44</v>
      </c>
      <c r="N520" s="22">
        <f>_xlfn.XLOOKUP(Snitch_Fashion_Sales_cleaned!$J520,Table2[City],Table2[City_Key],"not found")</f>
        <v>1</v>
      </c>
      <c r="O520" s="21">
        <f>_xlfn.XLOOKUP(Snitch_Fashion_Sales_cleaned!$D520,Table4[Product_Name],Table4[Product_Key],"not found")</f>
        <v>1</v>
      </c>
      <c r="P520" s="25">
        <f>_xlfn.XLOOKUP(Snitch_Fashion_Sales_cleaned!$I520,Table3[Order_Date],Table3[Date_Key])</f>
        <v>281</v>
      </c>
    </row>
    <row r="521" spans="1:16" x14ac:dyDescent="0.3">
      <c r="A521" s="34">
        <v>1519</v>
      </c>
      <c r="B521" s="32" t="s">
        <v>567</v>
      </c>
      <c r="C521" s="32" t="s">
        <v>28</v>
      </c>
      <c r="D521" s="33" t="s">
        <v>29</v>
      </c>
      <c r="E521" s="34">
        <v>1</v>
      </c>
      <c r="F521" s="35">
        <v>3762.86</v>
      </c>
      <c r="G521" s="36">
        <v>0.51</v>
      </c>
      <c r="H521" s="35">
        <f t="shared" si="18"/>
        <v>3762.86</v>
      </c>
      <c r="I521" s="37">
        <v>45582</v>
      </c>
      <c r="J521" s="33" t="s">
        <v>22</v>
      </c>
      <c r="K521" s="33" t="s">
        <v>23</v>
      </c>
      <c r="L521" s="38">
        <f t="shared" si="19"/>
        <v>1843.8014000000001</v>
      </c>
      <c r="M521" s="38">
        <v>460.95035000000001</v>
      </c>
      <c r="N521" s="24">
        <f>_xlfn.XLOOKUP(Snitch_Fashion_Sales_cleaned!$J521,Table2[City],Table2[City_Key],"not found")</f>
        <v>3</v>
      </c>
      <c r="O521" s="23">
        <f>_xlfn.XLOOKUP(Snitch_Fashion_Sales_cleaned!$D521,Table4[Product_Name],Table4[Product_Key],"not found")</f>
        <v>4</v>
      </c>
      <c r="P521" s="32">
        <f>_xlfn.XLOOKUP(Snitch_Fashion_Sales_cleaned!$I521,Table3[Order_Date],Table3[Date_Key])</f>
        <v>96</v>
      </c>
    </row>
    <row r="522" spans="1:16" x14ac:dyDescent="0.3">
      <c r="A522" s="27">
        <v>1520</v>
      </c>
      <c r="B522" s="25" t="s">
        <v>568</v>
      </c>
      <c r="C522" s="25" t="s">
        <v>31</v>
      </c>
      <c r="D522" s="26" t="s">
        <v>32</v>
      </c>
      <c r="E522" s="27">
        <v>4</v>
      </c>
      <c r="F522" s="28">
        <v>2001.5500000000002</v>
      </c>
      <c r="G522" s="29">
        <v>0.71</v>
      </c>
      <c r="H522" s="28">
        <f t="shared" si="18"/>
        <v>8006.2000000000007</v>
      </c>
      <c r="I522" s="30">
        <v>45777</v>
      </c>
      <c r="J522" s="26" t="s">
        <v>22</v>
      </c>
      <c r="K522" s="26" t="s">
        <v>23</v>
      </c>
      <c r="L522" s="31">
        <f t="shared" si="19"/>
        <v>2321.7980000000007</v>
      </c>
      <c r="M522" s="31">
        <v>-822.18</v>
      </c>
      <c r="N522" s="22">
        <f>_xlfn.XLOOKUP(Snitch_Fashion_Sales_cleaned!$J522,Table2[City],Table2[City_Key],"not found")</f>
        <v>3</v>
      </c>
      <c r="O522" s="21">
        <f>_xlfn.XLOOKUP(Snitch_Fashion_Sales_cleaned!$D522,Table4[Product_Name],Table4[Product_Key],"not found")</f>
        <v>5</v>
      </c>
      <c r="P522" s="25">
        <f>_xlfn.XLOOKUP(Snitch_Fashion_Sales_cleaned!$I522,Table3[Order_Date],Table3[Date_Key])</f>
        <v>282</v>
      </c>
    </row>
    <row r="523" spans="1:16" x14ac:dyDescent="0.3">
      <c r="A523" s="34">
        <v>1521</v>
      </c>
      <c r="B523" s="32" t="s">
        <v>569</v>
      </c>
      <c r="C523" s="32" t="s">
        <v>13</v>
      </c>
      <c r="D523" s="33" t="s">
        <v>46</v>
      </c>
      <c r="E523" s="34">
        <v>4</v>
      </c>
      <c r="F523" s="35">
        <v>2362.0300000000002</v>
      </c>
      <c r="G523" s="36">
        <v>0.51</v>
      </c>
      <c r="H523" s="35">
        <f t="shared" si="18"/>
        <v>9448.1200000000008</v>
      </c>
      <c r="I523" s="37">
        <v>45788</v>
      </c>
      <c r="J523" s="33" t="s">
        <v>52</v>
      </c>
      <c r="K523" s="33" t="s">
        <v>23</v>
      </c>
      <c r="L523" s="38">
        <f t="shared" si="19"/>
        <v>4629.5788000000002</v>
      </c>
      <c r="M523" s="38">
        <v>-943.46</v>
      </c>
      <c r="N523" s="24">
        <f>_xlfn.XLOOKUP(Snitch_Fashion_Sales_cleaned!$J523,Table2[City],Table2[City_Key],"not found")</f>
        <v>5</v>
      </c>
      <c r="O523" s="23">
        <f>_xlfn.XLOOKUP(Snitch_Fashion_Sales_cleaned!$D523,Table4[Product_Name],Table4[Product_Key],"not found")</f>
        <v>10</v>
      </c>
      <c r="P523" s="32">
        <f>_xlfn.XLOOKUP(Snitch_Fashion_Sales_cleaned!$I523,Table3[Order_Date],Table3[Date_Key])</f>
        <v>196</v>
      </c>
    </row>
    <row r="524" spans="1:16" x14ac:dyDescent="0.3">
      <c r="A524" s="27">
        <v>1522</v>
      </c>
      <c r="B524" s="25" t="s">
        <v>570</v>
      </c>
      <c r="C524" s="25" t="s">
        <v>28</v>
      </c>
      <c r="D524" s="26" t="s">
        <v>39</v>
      </c>
      <c r="E524" s="27">
        <v>6</v>
      </c>
      <c r="F524" s="28">
        <v>2577.6350000000002</v>
      </c>
      <c r="G524" s="29">
        <v>0.44</v>
      </c>
      <c r="H524" s="28">
        <f t="shared" si="18"/>
        <v>15465.810000000001</v>
      </c>
      <c r="I524" s="30">
        <v>45503</v>
      </c>
      <c r="J524" s="26" t="s">
        <v>2540</v>
      </c>
      <c r="K524" s="26" t="s">
        <v>23</v>
      </c>
      <c r="L524" s="31">
        <f t="shared" si="19"/>
        <v>8660.8536000000022</v>
      </c>
      <c r="M524" s="31">
        <v>547.09</v>
      </c>
      <c r="N524" s="22">
        <f>_xlfn.XLOOKUP(Snitch_Fashion_Sales_cleaned!$J524,Table2[City],Table2[City_Key],"not found")</f>
        <v>4</v>
      </c>
      <c r="O524" s="21">
        <f>_xlfn.XLOOKUP(Snitch_Fashion_Sales_cleaned!$D524,Table4[Product_Name],Table4[Product_Key],"not found")</f>
        <v>8</v>
      </c>
      <c r="P524" s="25">
        <f>_xlfn.XLOOKUP(Snitch_Fashion_Sales_cleaned!$I524,Table3[Order_Date],Table3[Date_Key])</f>
        <v>283</v>
      </c>
    </row>
    <row r="525" spans="1:16" x14ac:dyDescent="0.3">
      <c r="A525" s="34">
        <v>1523</v>
      </c>
      <c r="B525" s="32" t="s">
        <v>571</v>
      </c>
      <c r="C525" s="32" t="s">
        <v>31</v>
      </c>
      <c r="D525" s="33" t="s">
        <v>41</v>
      </c>
      <c r="E525" s="34">
        <v>3</v>
      </c>
      <c r="F525" s="35">
        <v>3027.66</v>
      </c>
      <c r="G525" s="36">
        <v>0.13</v>
      </c>
      <c r="H525" s="35">
        <f t="shared" si="18"/>
        <v>9082.98</v>
      </c>
      <c r="I525" s="37">
        <v>45276</v>
      </c>
      <c r="J525" s="33" t="s">
        <v>18</v>
      </c>
      <c r="K525" s="33" t="s">
        <v>23</v>
      </c>
      <c r="L525" s="38">
        <f t="shared" si="19"/>
        <v>7902.1925999999994</v>
      </c>
      <c r="M525" s="38">
        <v>1475.12</v>
      </c>
      <c r="N525" s="24">
        <f>_xlfn.XLOOKUP(Snitch_Fashion_Sales_cleaned!$J525,Table2[City],Table2[City_Key],"not found")</f>
        <v>2</v>
      </c>
      <c r="O525" s="23">
        <f>_xlfn.XLOOKUP(Snitch_Fashion_Sales_cleaned!$D525,Table4[Product_Name],Table4[Product_Key],"not found")</f>
        <v>9</v>
      </c>
      <c r="P525" s="32">
        <f>_xlfn.XLOOKUP(Snitch_Fashion_Sales_cleaned!$I525,Table3[Order_Date],Table3[Date_Key])</f>
        <v>284</v>
      </c>
    </row>
    <row r="526" spans="1:16" x14ac:dyDescent="0.3">
      <c r="A526" s="27">
        <v>1524</v>
      </c>
      <c r="B526" s="25" t="s">
        <v>572</v>
      </c>
      <c r="C526" s="25" t="s">
        <v>36</v>
      </c>
      <c r="D526" s="26" t="s">
        <v>59</v>
      </c>
      <c r="E526" s="27">
        <v>3</v>
      </c>
      <c r="F526" s="28">
        <v>2765.26</v>
      </c>
      <c r="G526" s="29">
        <v>0.47</v>
      </c>
      <c r="H526" s="28">
        <f t="shared" si="18"/>
        <v>8295.7800000000007</v>
      </c>
      <c r="I526" s="30">
        <v>45853</v>
      </c>
      <c r="J526" s="26" t="s">
        <v>52</v>
      </c>
      <c r="K526" s="26" t="s">
        <v>16</v>
      </c>
      <c r="L526" s="31">
        <f t="shared" si="19"/>
        <v>4396.7634000000007</v>
      </c>
      <c r="M526" s="31">
        <v>2668.06</v>
      </c>
      <c r="N526" s="22">
        <f>_xlfn.XLOOKUP(Snitch_Fashion_Sales_cleaned!$J526,Table2[City],Table2[City_Key],"not found")</f>
        <v>5</v>
      </c>
      <c r="O526" s="21">
        <f>_xlfn.XLOOKUP(Snitch_Fashion_Sales_cleaned!$D526,Table4[Product_Name],Table4[Product_Key],"not found")</f>
        <v>13</v>
      </c>
      <c r="P526" s="25">
        <f>_xlfn.XLOOKUP(Snitch_Fashion_Sales_cleaned!$I526,Table3[Order_Date],Table3[Date_Key])</f>
        <v>2</v>
      </c>
    </row>
    <row r="527" spans="1:16" x14ac:dyDescent="0.3">
      <c r="A527" s="34">
        <v>1525</v>
      </c>
      <c r="B527" s="32" t="s">
        <v>573</v>
      </c>
      <c r="C527" s="32" t="s">
        <v>28</v>
      </c>
      <c r="D527" s="33" t="s">
        <v>116</v>
      </c>
      <c r="E527" s="34">
        <v>5</v>
      </c>
      <c r="F527" s="35">
        <v>4591.26</v>
      </c>
      <c r="G527" s="36">
        <v>0.51</v>
      </c>
      <c r="H527" s="35">
        <f t="shared" si="18"/>
        <v>22956.300000000003</v>
      </c>
      <c r="I527" s="37">
        <v>45660</v>
      </c>
      <c r="J527" s="33" t="s">
        <v>52</v>
      </c>
      <c r="K527" s="33" t="s">
        <v>23</v>
      </c>
      <c r="L527" s="38">
        <f t="shared" si="19"/>
        <v>11248.587000000001</v>
      </c>
      <c r="M527" s="38">
        <v>-602.79999999999995</v>
      </c>
      <c r="N527" s="24">
        <f>_xlfn.XLOOKUP(Snitch_Fashion_Sales_cleaned!$J527,Table2[City],Table2[City_Key],"not found")</f>
        <v>5</v>
      </c>
      <c r="O527" s="23">
        <f>_xlfn.XLOOKUP(Snitch_Fashion_Sales_cleaned!$D527,Table4[Product_Name],Table4[Product_Key],"not found")</f>
        <v>22</v>
      </c>
      <c r="P527" s="32">
        <f>_xlfn.XLOOKUP(Snitch_Fashion_Sales_cleaned!$I527,Table3[Order_Date],Table3[Date_Key])</f>
        <v>210</v>
      </c>
    </row>
    <row r="528" spans="1:16" x14ac:dyDescent="0.3">
      <c r="A528" s="27">
        <v>1526</v>
      </c>
      <c r="B528" s="25" t="s">
        <v>574</v>
      </c>
      <c r="C528" s="25" t="s">
        <v>25</v>
      </c>
      <c r="D528" s="26" t="s">
        <v>50</v>
      </c>
      <c r="E528" s="27">
        <v>2</v>
      </c>
      <c r="F528" s="28">
        <v>1884.25</v>
      </c>
      <c r="G528" s="29">
        <v>0.51</v>
      </c>
      <c r="H528" s="28">
        <f t="shared" si="18"/>
        <v>3768.5</v>
      </c>
      <c r="I528" s="30">
        <v>45576</v>
      </c>
      <c r="J528" s="26" t="s">
        <v>2540</v>
      </c>
      <c r="K528" s="26" t="s">
        <v>23</v>
      </c>
      <c r="L528" s="31">
        <f t="shared" si="19"/>
        <v>1846.5650000000001</v>
      </c>
      <c r="M528" s="31">
        <v>1177.57</v>
      </c>
      <c r="N528" s="22">
        <f>_xlfn.XLOOKUP(Snitch_Fashion_Sales_cleaned!$J528,Table2[City],Table2[City_Key],"not found")</f>
        <v>4</v>
      </c>
      <c r="O528" s="21">
        <f>_xlfn.XLOOKUP(Snitch_Fashion_Sales_cleaned!$D528,Table4[Product_Name],Table4[Product_Key],"not found")</f>
        <v>11</v>
      </c>
      <c r="P528" s="25">
        <f>_xlfn.XLOOKUP(Snitch_Fashion_Sales_cleaned!$I528,Table3[Order_Date],Table3[Date_Key])</f>
        <v>285</v>
      </c>
    </row>
    <row r="529" spans="1:16" x14ac:dyDescent="0.3">
      <c r="A529" s="34">
        <v>1527</v>
      </c>
      <c r="B529" s="32" t="s">
        <v>575</v>
      </c>
      <c r="C529" s="32" t="s">
        <v>13</v>
      </c>
      <c r="D529" s="33" t="s">
        <v>14</v>
      </c>
      <c r="E529" s="34">
        <v>4</v>
      </c>
      <c r="F529" s="35">
        <v>3431.26</v>
      </c>
      <c r="G529" s="36">
        <v>0.51</v>
      </c>
      <c r="H529" s="35">
        <f t="shared" si="18"/>
        <v>13725.04</v>
      </c>
      <c r="I529" s="37">
        <v>45153</v>
      </c>
      <c r="J529" s="33" t="s">
        <v>2540</v>
      </c>
      <c r="K529" s="33" t="s">
        <v>16</v>
      </c>
      <c r="L529" s="38">
        <f t="shared" si="19"/>
        <v>6725.2696000000005</v>
      </c>
      <c r="M529" s="38">
        <v>1931.28</v>
      </c>
      <c r="N529" s="24">
        <f>_xlfn.XLOOKUP(Snitch_Fashion_Sales_cleaned!$J529,Table2[City],Table2[City_Key],"not found")</f>
        <v>4</v>
      </c>
      <c r="O529" s="23">
        <f>_xlfn.XLOOKUP(Snitch_Fashion_Sales_cleaned!$D529,Table4[Product_Name],Table4[Product_Key],"not found")</f>
        <v>1</v>
      </c>
      <c r="P529" s="32">
        <f>_xlfn.XLOOKUP(Snitch_Fashion_Sales_cleaned!$I529,Table3[Order_Date],Table3[Date_Key])</f>
        <v>260</v>
      </c>
    </row>
    <row r="530" spans="1:16" x14ac:dyDescent="0.3">
      <c r="A530" s="27">
        <v>1026</v>
      </c>
      <c r="B530" s="25" t="s">
        <v>576</v>
      </c>
      <c r="C530" s="25" t="s">
        <v>31</v>
      </c>
      <c r="D530" s="26" t="s">
        <v>32</v>
      </c>
      <c r="E530" s="27">
        <v>4</v>
      </c>
      <c r="F530" s="28">
        <v>2001.5500000000002</v>
      </c>
      <c r="G530" s="29">
        <v>0.51</v>
      </c>
      <c r="H530" s="28">
        <f t="shared" si="18"/>
        <v>8006.2000000000007</v>
      </c>
      <c r="I530" s="30">
        <v>45230</v>
      </c>
      <c r="J530" s="26" t="s">
        <v>15</v>
      </c>
      <c r="K530" s="26" t="s">
        <v>23</v>
      </c>
      <c r="L530" s="31">
        <f t="shared" si="19"/>
        <v>3923.0380000000005</v>
      </c>
      <c r="M530" s="31">
        <v>2916.18</v>
      </c>
      <c r="N530" s="22">
        <f>_xlfn.XLOOKUP(Snitch_Fashion_Sales_cleaned!$J530,Table2[City],Table2[City_Key],"not found")</f>
        <v>1</v>
      </c>
      <c r="O530" s="21">
        <f>_xlfn.XLOOKUP(Snitch_Fashion_Sales_cleaned!$D530,Table4[Product_Name],Table4[Product_Key],"not found")</f>
        <v>5</v>
      </c>
      <c r="P530" s="25">
        <f>_xlfn.XLOOKUP(Snitch_Fashion_Sales_cleaned!$I530,Table3[Order_Date],Table3[Date_Key])</f>
        <v>286</v>
      </c>
    </row>
    <row r="531" spans="1:16" x14ac:dyDescent="0.3">
      <c r="A531" s="34">
        <v>1529</v>
      </c>
      <c r="B531" s="32" t="s">
        <v>577</v>
      </c>
      <c r="C531" s="32" t="s">
        <v>31</v>
      </c>
      <c r="D531" s="33" t="s">
        <v>68</v>
      </c>
      <c r="E531" s="34">
        <v>4</v>
      </c>
      <c r="F531" s="35">
        <v>3381.7</v>
      </c>
      <c r="G531" s="36">
        <v>0.51</v>
      </c>
      <c r="H531" s="35">
        <f t="shared" si="18"/>
        <v>13526.8</v>
      </c>
      <c r="I531" s="37">
        <v>45734</v>
      </c>
      <c r="J531" s="33" t="s">
        <v>15</v>
      </c>
      <c r="K531" s="33" t="s">
        <v>23</v>
      </c>
      <c r="L531" s="38">
        <f t="shared" si="19"/>
        <v>6628.1319999999996</v>
      </c>
      <c r="M531" s="38">
        <v>2953.76</v>
      </c>
      <c r="N531" s="24">
        <f>_xlfn.XLOOKUP(Snitch_Fashion_Sales_cleaned!$J531,Table2[City],Table2[City_Key],"not found")</f>
        <v>1</v>
      </c>
      <c r="O531" s="23">
        <f>_xlfn.XLOOKUP(Snitch_Fashion_Sales_cleaned!$D531,Table4[Product_Name],Table4[Product_Key],"not found")</f>
        <v>15</v>
      </c>
      <c r="P531" s="32">
        <f>_xlfn.XLOOKUP(Snitch_Fashion_Sales_cleaned!$I531,Table3[Order_Date],Table3[Date_Key])</f>
        <v>268</v>
      </c>
    </row>
    <row r="532" spans="1:16" x14ac:dyDescent="0.3">
      <c r="A532" s="27">
        <v>1530</v>
      </c>
      <c r="B532" s="25" t="s">
        <v>578</v>
      </c>
      <c r="C532" s="25" t="s">
        <v>20</v>
      </c>
      <c r="D532" s="26" t="s">
        <v>84</v>
      </c>
      <c r="E532" s="27">
        <v>6</v>
      </c>
      <c r="F532" s="28">
        <v>2537.59</v>
      </c>
      <c r="G532" s="29">
        <v>0.51</v>
      </c>
      <c r="H532" s="28">
        <f t="shared" si="18"/>
        <v>15225.54</v>
      </c>
      <c r="I532" s="30">
        <v>45565</v>
      </c>
      <c r="J532" s="26" t="s">
        <v>52</v>
      </c>
      <c r="K532" s="26" t="s">
        <v>16</v>
      </c>
      <c r="L532" s="31">
        <f t="shared" si="19"/>
        <v>7460.5146000000004</v>
      </c>
      <c r="M532" s="31">
        <v>1451.55</v>
      </c>
      <c r="N532" s="22">
        <f>_xlfn.XLOOKUP(Snitch_Fashion_Sales_cleaned!$J532,Table2[City],Table2[City_Key],"not found")</f>
        <v>5</v>
      </c>
      <c r="O532" s="21">
        <f>_xlfn.XLOOKUP(Snitch_Fashion_Sales_cleaned!$D532,Table4[Product_Name],Table4[Product_Key],"not found")</f>
        <v>19</v>
      </c>
      <c r="P532" s="25">
        <f>_xlfn.XLOOKUP(Snitch_Fashion_Sales_cleaned!$I532,Table3[Order_Date],Table3[Date_Key])</f>
        <v>287</v>
      </c>
    </row>
    <row r="533" spans="1:16" x14ac:dyDescent="0.3">
      <c r="A533" s="34">
        <v>1531</v>
      </c>
      <c r="B533" s="32" t="s">
        <v>579</v>
      </c>
      <c r="C533" s="32" t="s">
        <v>13</v>
      </c>
      <c r="D533" s="33" t="s">
        <v>98</v>
      </c>
      <c r="E533" s="34">
        <v>5</v>
      </c>
      <c r="F533" s="35">
        <v>2750.33</v>
      </c>
      <c r="G533" s="36">
        <v>0.37</v>
      </c>
      <c r="H533" s="35">
        <f t="shared" si="18"/>
        <v>13751.65</v>
      </c>
      <c r="I533" s="37">
        <v>45819</v>
      </c>
      <c r="J533" s="33" t="s">
        <v>18</v>
      </c>
      <c r="K533" s="33" t="s">
        <v>23</v>
      </c>
      <c r="L533" s="38">
        <f t="shared" si="19"/>
        <v>8663.539499999999</v>
      </c>
      <c r="M533" s="38">
        <v>-173.83</v>
      </c>
      <c r="N533" s="24">
        <f>_xlfn.XLOOKUP(Snitch_Fashion_Sales_cleaned!$J533,Table2[City],Table2[City_Key],"not found")</f>
        <v>2</v>
      </c>
      <c r="O533" s="23">
        <f>_xlfn.XLOOKUP(Snitch_Fashion_Sales_cleaned!$D533,Table4[Product_Name],Table4[Product_Key],"not found")</f>
        <v>21</v>
      </c>
      <c r="P533" s="32">
        <f>_xlfn.XLOOKUP(Snitch_Fashion_Sales_cleaned!$I533,Table3[Order_Date],Table3[Date_Key])</f>
        <v>70</v>
      </c>
    </row>
    <row r="534" spans="1:16" x14ac:dyDescent="0.3">
      <c r="A534" s="27">
        <v>1532</v>
      </c>
      <c r="B534" s="25" t="s">
        <v>580</v>
      </c>
      <c r="C534" s="25" t="s">
        <v>31</v>
      </c>
      <c r="D534" s="26" t="s">
        <v>41</v>
      </c>
      <c r="E534" s="27">
        <v>3</v>
      </c>
      <c r="F534" s="28">
        <v>3027.66</v>
      </c>
      <c r="G534" s="29">
        <v>0.33</v>
      </c>
      <c r="H534" s="28">
        <f t="shared" si="18"/>
        <v>9082.98</v>
      </c>
      <c r="I534" s="30">
        <v>45167</v>
      </c>
      <c r="J534" s="26" t="s">
        <v>22</v>
      </c>
      <c r="K534" s="26" t="s">
        <v>23</v>
      </c>
      <c r="L534" s="31">
        <f t="shared" si="19"/>
        <v>6085.5965999999989</v>
      </c>
      <c r="M534" s="31">
        <v>2512.66</v>
      </c>
      <c r="N534" s="22">
        <f>_xlfn.XLOOKUP(Snitch_Fashion_Sales_cleaned!$J534,Table2[City],Table2[City_Key],"not found")</f>
        <v>3</v>
      </c>
      <c r="O534" s="21">
        <f>_xlfn.XLOOKUP(Snitch_Fashion_Sales_cleaned!$D534,Table4[Product_Name],Table4[Product_Key],"not found")</f>
        <v>9</v>
      </c>
      <c r="P534" s="25">
        <f>_xlfn.XLOOKUP(Snitch_Fashion_Sales_cleaned!$I534,Table3[Order_Date],Table3[Date_Key])</f>
        <v>288</v>
      </c>
    </row>
    <row r="535" spans="1:16" x14ac:dyDescent="0.3">
      <c r="A535" s="34">
        <v>1533</v>
      </c>
      <c r="B535" s="32" t="s">
        <v>581</v>
      </c>
      <c r="C535" s="32" t="s">
        <v>36</v>
      </c>
      <c r="D535" s="33" t="s">
        <v>87</v>
      </c>
      <c r="E535" s="34">
        <v>4</v>
      </c>
      <c r="F535" s="35">
        <v>3965.94</v>
      </c>
      <c r="G535" s="36">
        <v>0.51</v>
      </c>
      <c r="H535" s="35">
        <f t="shared" si="18"/>
        <v>15863.76</v>
      </c>
      <c r="I535" s="37">
        <v>45637</v>
      </c>
      <c r="J535" s="33" t="s">
        <v>22</v>
      </c>
      <c r="K535" s="33" t="s">
        <v>23</v>
      </c>
      <c r="L535" s="38">
        <f t="shared" si="19"/>
        <v>7773.2424000000001</v>
      </c>
      <c r="M535" s="38">
        <v>-759.07</v>
      </c>
      <c r="N535" s="24">
        <f>_xlfn.XLOOKUP(Snitch_Fashion_Sales_cleaned!$J535,Table2[City],Table2[City_Key],"not found")</f>
        <v>3</v>
      </c>
      <c r="O535" s="23">
        <f>_xlfn.XLOOKUP(Snitch_Fashion_Sales_cleaned!$D535,Table4[Product_Name],Table4[Product_Key],"not found")</f>
        <v>20</v>
      </c>
      <c r="P535" s="32">
        <f>_xlfn.XLOOKUP(Snitch_Fashion_Sales_cleaned!$I535,Table3[Order_Date],Table3[Date_Key])</f>
        <v>289</v>
      </c>
    </row>
    <row r="536" spans="1:16" x14ac:dyDescent="0.3">
      <c r="A536" s="27">
        <v>1534</v>
      </c>
      <c r="B536" s="25" t="s">
        <v>582</v>
      </c>
      <c r="C536" s="25" t="s">
        <v>31</v>
      </c>
      <c r="D536" s="26" t="s">
        <v>78</v>
      </c>
      <c r="E536" s="27">
        <v>4</v>
      </c>
      <c r="F536" s="28">
        <v>2599.75</v>
      </c>
      <c r="G536" s="29">
        <v>0.51</v>
      </c>
      <c r="H536" s="28">
        <f t="shared" si="18"/>
        <v>10399</v>
      </c>
      <c r="I536" s="30">
        <v>45772</v>
      </c>
      <c r="J536" s="26" t="s">
        <v>15</v>
      </c>
      <c r="K536" s="26" t="s">
        <v>23</v>
      </c>
      <c r="L536" s="31">
        <f t="shared" si="19"/>
        <v>5095.51</v>
      </c>
      <c r="M536" s="31">
        <v>-836.06</v>
      </c>
      <c r="N536" s="22">
        <f>_xlfn.XLOOKUP(Snitch_Fashion_Sales_cleaned!$J536,Table2[City],Table2[City_Key],"not found")</f>
        <v>1</v>
      </c>
      <c r="O536" s="21">
        <f>_xlfn.XLOOKUP(Snitch_Fashion_Sales_cleaned!$D536,Table4[Product_Name],Table4[Product_Key],"not found")</f>
        <v>17</v>
      </c>
      <c r="P536" s="25">
        <f>_xlfn.XLOOKUP(Snitch_Fashion_Sales_cleaned!$I536,Table3[Order_Date],Table3[Date_Key])</f>
        <v>140</v>
      </c>
    </row>
    <row r="537" spans="1:16" x14ac:dyDescent="0.3">
      <c r="A537" s="34">
        <v>1535</v>
      </c>
      <c r="B537" s="32" t="s">
        <v>583</v>
      </c>
      <c r="C537" s="32" t="s">
        <v>28</v>
      </c>
      <c r="D537" s="33" t="s">
        <v>137</v>
      </c>
      <c r="E537" s="34">
        <v>3.5</v>
      </c>
      <c r="F537" s="35">
        <v>720.35</v>
      </c>
      <c r="G537" s="36">
        <v>0.51</v>
      </c>
      <c r="H537" s="35">
        <f t="shared" si="18"/>
        <v>2521.2249999999999</v>
      </c>
      <c r="I537" s="37">
        <v>45282</v>
      </c>
      <c r="J537" s="33" t="s">
        <v>2540</v>
      </c>
      <c r="K537" s="33" t="s">
        <v>23</v>
      </c>
      <c r="L537" s="38">
        <f t="shared" si="19"/>
        <v>1235.4002499999999</v>
      </c>
      <c r="M537" s="38">
        <v>308.85006249999998</v>
      </c>
      <c r="N537" s="24">
        <f>_xlfn.XLOOKUP(Snitch_Fashion_Sales_cleaned!$J537,Table2[City],Table2[City_Key],"not found")</f>
        <v>4</v>
      </c>
      <c r="O537" s="23">
        <f>_xlfn.XLOOKUP(Snitch_Fashion_Sales_cleaned!$D537,Table4[Product_Name],Table4[Product_Key],"not found")</f>
        <v>24</v>
      </c>
      <c r="P537" s="32">
        <f>_xlfn.XLOOKUP(Snitch_Fashion_Sales_cleaned!$I537,Table3[Order_Date],Table3[Date_Key])</f>
        <v>290</v>
      </c>
    </row>
    <row r="538" spans="1:16" x14ac:dyDescent="0.3">
      <c r="A538" s="27">
        <v>1536</v>
      </c>
      <c r="B538" s="25" t="s">
        <v>584</v>
      </c>
      <c r="C538" s="25" t="s">
        <v>36</v>
      </c>
      <c r="D538" s="26" t="s">
        <v>87</v>
      </c>
      <c r="E538" s="27">
        <v>1</v>
      </c>
      <c r="F538" s="28">
        <v>2889.5349999999999</v>
      </c>
      <c r="G538" s="29">
        <v>0.51</v>
      </c>
      <c r="H538" s="28">
        <f t="shared" si="18"/>
        <v>2889.5349999999999</v>
      </c>
      <c r="I538" s="30">
        <v>45790</v>
      </c>
      <c r="J538" s="26" t="s">
        <v>15</v>
      </c>
      <c r="K538" s="26" t="s">
        <v>23</v>
      </c>
      <c r="L538" s="31">
        <f t="shared" si="19"/>
        <v>1415.8721499999999</v>
      </c>
      <c r="M538" s="31">
        <v>353.96803749999998</v>
      </c>
      <c r="N538" s="22">
        <f>_xlfn.XLOOKUP(Snitch_Fashion_Sales_cleaned!$J538,Table2[City],Table2[City_Key],"not found")</f>
        <v>1</v>
      </c>
      <c r="O538" s="21">
        <f>_xlfn.XLOOKUP(Snitch_Fashion_Sales_cleaned!$D538,Table4[Product_Name],Table4[Product_Key],"not found")</f>
        <v>20</v>
      </c>
      <c r="P538" s="25">
        <f>_xlfn.XLOOKUP(Snitch_Fashion_Sales_cleaned!$I538,Table3[Order_Date],Table3[Date_Key])</f>
        <v>291</v>
      </c>
    </row>
    <row r="539" spans="1:16" x14ac:dyDescent="0.3">
      <c r="A539" s="34">
        <v>1537</v>
      </c>
      <c r="B539" s="32" t="s">
        <v>585</v>
      </c>
      <c r="C539" s="32" t="s">
        <v>13</v>
      </c>
      <c r="D539" s="33" t="s">
        <v>98</v>
      </c>
      <c r="E539" s="34">
        <v>5</v>
      </c>
      <c r="F539" s="35">
        <v>2750.33</v>
      </c>
      <c r="G539" s="36">
        <v>0.9</v>
      </c>
      <c r="H539" s="35">
        <f t="shared" si="18"/>
        <v>13751.65</v>
      </c>
      <c r="I539" s="37">
        <v>45647</v>
      </c>
      <c r="J539" s="33" t="s">
        <v>2540</v>
      </c>
      <c r="K539" s="33" t="s">
        <v>23</v>
      </c>
      <c r="L539" s="38">
        <f t="shared" si="19"/>
        <v>1375.1649999999997</v>
      </c>
      <c r="M539" s="38">
        <v>68.260000000000005</v>
      </c>
      <c r="N539" s="24">
        <f>_xlfn.XLOOKUP(Snitch_Fashion_Sales_cleaned!$J539,Table2[City],Table2[City_Key],"not found")</f>
        <v>4</v>
      </c>
      <c r="O539" s="23">
        <f>_xlfn.XLOOKUP(Snitch_Fashion_Sales_cleaned!$D539,Table4[Product_Name],Table4[Product_Key],"not found")</f>
        <v>21</v>
      </c>
      <c r="P539" s="32">
        <f>_xlfn.XLOOKUP(Snitch_Fashion_Sales_cleaned!$I539,Table3[Order_Date],Table3[Date_Key])</f>
        <v>5</v>
      </c>
    </row>
    <row r="540" spans="1:16" x14ac:dyDescent="0.3">
      <c r="A540" s="27">
        <v>1538</v>
      </c>
      <c r="B540" s="25" t="s">
        <v>586</v>
      </c>
      <c r="C540" s="25" t="s">
        <v>36</v>
      </c>
      <c r="D540" s="26" t="s">
        <v>87</v>
      </c>
      <c r="E540" s="27">
        <v>4</v>
      </c>
      <c r="F540" s="28">
        <v>4767.6099999999997</v>
      </c>
      <c r="G540" s="29">
        <v>0.01</v>
      </c>
      <c r="H540" s="28">
        <f t="shared" si="18"/>
        <v>19070.439999999999</v>
      </c>
      <c r="I540" s="30">
        <v>45647</v>
      </c>
      <c r="J540" s="26" t="s">
        <v>18</v>
      </c>
      <c r="K540" s="26" t="s">
        <v>23</v>
      </c>
      <c r="L540" s="31">
        <f t="shared" si="19"/>
        <v>18879.7356</v>
      </c>
      <c r="M540" s="31">
        <v>-956.8</v>
      </c>
      <c r="N540" s="22">
        <f>_xlfn.XLOOKUP(Snitch_Fashion_Sales_cleaned!$J540,Table2[City],Table2[City_Key],"not found")</f>
        <v>2</v>
      </c>
      <c r="O540" s="21">
        <f>_xlfn.XLOOKUP(Snitch_Fashion_Sales_cleaned!$D540,Table4[Product_Name],Table4[Product_Key],"not found")</f>
        <v>20</v>
      </c>
      <c r="P540" s="25">
        <f>_xlfn.XLOOKUP(Snitch_Fashion_Sales_cleaned!$I540,Table3[Order_Date],Table3[Date_Key])</f>
        <v>5</v>
      </c>
    </row>
    <row r="541" spans="1:16" x14ac:dyDescent="0.3">
      <c r="A541" s="34">
        <v>1539</v>
      </c>
      <c r="B541" s="32" t="s">
        <v>587</v>
      </c>
      <c r="C541" s="32" t="s">
        <v>13</v>
      </c>
      <c r="D541" s="33" t="s">
        <v>46</v>
      </c>
      <c r="E541" s="34">
        <v>4</v>
      </c>
      <c r="F541" s="35">
        <v>2891.64</v>
      </c>
      <c r="G541" s="36">
        <v>0.51</v>
      </c>
      <c r="H541" s="35">
        <f t="shared" si="18"/>
        <v>11566.56</v>
      </c>
      <c r="I541" s="37">
        <v>45647</v>
      </c>
      <c r="J541" s="33" t="s">
        <v>22</v>
      </c>
      <c r="K541" s="33" t="s">
        <v>23</v>
      </c>
      <c r="L541" s="38">
        <f t="shared" si="19"/>
        <v>5667.6143999999995</v>
      </c>
      <c r="M541" s="38">
        <v>2309.23</v>
      </c>
      <c r="N541" s="24">
        <f>_xlfn.XLOOKUP(Snitch_Fashion_Sales_cleaned!$J541,Table2[City],Table2[City_Key],"not found")</f>
        <v>3</v>
      </c>
      <c r="O541" s="23">
        <f>_xlfn.XLOOKUP(Snitch_Fashion_Sales_cleaned!$D541,Table4[Product_Name],Table4[Product_Key],"not found")</f>
        <v>10</v>
      </c>
      <c r="P541" s="32">
        <f>_xlfn.XLOOKUP(Snitch_Fashion_Sales_cleaned!$I541,Table3[Order_Date],Table3[Date_Key])</f>
        <v>5</v>
      </c>
    </row>
    <row r="542" spans="1:16" x14ac:dyDescent="0.3">
      <c r="A542" s="27">
        <v>1540</v>
      </c>
      <c r="B542" s="25" t="s">
        <v>588</v>
      </c>
      <c r="C542" s="25" t="s">
        <v>20</v>
      </c>
      <c r="D542" s="26" t="s">
        <v>21</v>
      </c>
      <c r="E542" s="27">
        <v>4</v>
      </c>
      <c r="F542" s="28">
        <v>2579.8000000000002</v>
      </c>
      <c r="G542" s="29">
        <v>0.51</v>
      </c>
      <c r="H542" s="28">
        <f t="shared" si="18"/>
        <v>10319.200000000001</v>
      </c>
      <c r="I542" s="30">
        <v>45663</v>
      </c>
      <c r="J542" s="26" t="s">
        <v>18</v>
      </c>
      <c r="K542" s="26" t="s">
        <v>23</v>
      </c>
      <c r="L542" s="31">
        <f t="shared" si="19"/>
        <v>5056.4080000000004</v>
      </c>
      <c r="M542" s="31">
        <v>815.28</v>
      </c>
      <c r="N542" s="22">
        <f>_xlfn.XLOOKUP(Snitch_Fashion_Sales_cleaned!$J542,Table2[City],Table2[City_Key],"not found")</f>
        <v>2</v>
      </c>
      <c r="O542" s="21">
        <f>_xlfn.XLOOKUP(Snitch_Fashion_Sales_cleaned!$D542,Table4[Product_Name],Table4[Product_Key],"not found")</f>
        <v>2</v>
      </c>
      <c r="P542" s="25">
        <f>_xlfn.XLOOKUP(Snitch_Fashion_Sales_cleaned!$I542,Table3[Order_Date],Table3[Date_Key])</f>
        <v>292</v>
      </c>
    </row>
    <row r="543" spans="1:16" x14ac:dyDescent="0.3">
      <c r="A543" s="34">
        <v>1541</v>
      </c>
      <c r="B543" s="32" t="s">
        <v>589</v>
      </c>
      <c r="C543" s="32" t="s">
        <v>28</v>
      </c>
      <c r="D543" s="33" t="s">
        <v>137</v>
      </c>
      <c r="E543" s="34">
        <v>3.5</v>
      </c>
      <c r="F543" s="35">
        <v>2989.4</v>
      </c>
      <c r="G543" s="36">
        <v>0.51</v>
      </c>
      <c r="H543" s="35">
        <f t="shared" si="18"/>
        <v>10462.9</v>
      </c>
      <c r="I543" s="37">
        <v>45745</v>
      </c>
      <c r="J543" s="33" t="s">
        <v>22</v>
      </c>
      <c r="K543" s="33" t="s">
        <v>16</v>
      </c>
      <c r="L543" s="38">
        <f t="shared" si="19"/>
        <v>5126.8209999999999</v>
      </c>
      <c r="M543" s="38">
        <v>-530.72</v>
      </c>
      <c r="N543" s="24">
        <f>_xlfn.XLOOKUP(Snitch_Fashion_Sales_cleaned!$J543,Table2[City],Table2[City_Key],"not found")</f>
        <v>3</v>
      </c>
      <c r="O543" s="23">
        <f>_xlfn.XLOOKUP(Snitch_Fashion_Sales_cleaned!$D543,Table4[Product_Name],Table4[Product_Key],"not found")</f>
        <v>24</v>
      </c>
      <c r="P543" s="32">
        <f>_xlfn.XLOOKUP(Snitch_Fashion_Sales_cleaned!$I543,Table3[Order_Date],Table3[Date_Key])</f>
        <v>293</v>
      </c>
    </row>
    <row r="544" spans="1:16" x14ac:dyDescent="0.3">
      <c r="A544" s="27">
        <v>1542</v>
      </c>
      <c r="B544" s="25" t="s">
        <v>590</v>
      </c>
      <c r="C544" s="25" t="s">
        <v>20</v>
      </c>
      <c r="D544" s="26" t="s">
        <v>76</v>
      </c>
      <c r="E544" s="27">
        <v>1</v>
      </c>
      <c r="F544" s="28">
        <v>2044.17</v>
      </c>
      <c r="G544" s="29">
        <v>0.51</v>
      </c>
      <c r="H544" s="28">
        <f t="shared" si="18"/>
        <v>2044.17</v>
      </c>
      <c r="I544" s="30">
        <v>45647</v>
      </c>
      <c r="J544" s="26" t="s">
        <v>43</v>
      </c>
      <c r="K544" s="26" t="s">
        <v>23</v>
      </c>
      <c r="L544" s="31">
        <f t="shared" si="19"/>
        <v>1001.6433000000001</v>
      </c>
      <c r="M544" s="31">
        <v>-798.37</v>
      </c>
      <c r="N544" s="22">
        <f>_xlfn.XLOOKUP(Snitch_Fashion_Sales_cleaned!$J544,Table2[City],Table2[City_Key],"not found")</f>
        <v>6</v>
      </c>
      <c r="O544" s="21">
        <f>_xlfn.XLOOKUP(Snitch_Fashion_Sales_cleaned!$D544,Table4[Product_Name],Table4[Product_Key],"not found")</f>
        <v>16</v>
      </c>
      <c r="P544" s="25">
        <f>_xlfn.XLOOKUP(Snitch_Fashion_Sales_cleaned!$I544,Table3[Order_Date],Table3[Date_Key])</f>
        <v>5</v>
      </c>
    </row>
    <row r="545" spans="1:16" x14ac:dyDescent="0.3">
      <c r="A545" s="34">
        <v>1543</v>
      </c>
      <c r="B545" s="32" t="s">
        <v>591</v>
      </c>
      <c r="C545" s="32" t="s">
        <v>36</v>
      </c>
      <c r="D545" s="33" t="s">
        <v>87</v>
      </c>
      <c r="E545" s="34">
        <v>1</v>
      </c>
      <c r="F545" s="35">
        <v>4440.24</v>
      </c>
      <c r="G545" s="36">
        <v>0.32</v>
      </c>
      <c r="H545" s="35">
        <f t="shared" si="18"/>
        <v>4440.24</v>
      </c>
      <c r="I545" s="37">
        <v>45647</v>
      </c>
      <c r="J545" s="33" t="s">
        <v>18</v>
      </c>
      <c r="K545" s="33" t="s">
        <v>23</v>
      </c>
      <c r="L545" s="38">
        <f t="shared" si="19"/>
        <v>3019.3631999999998</v>
      </c>
      <c r="M545" s="38">
        <v>1884.06</v>
      </c>
      <c r="N545" s="24">
        <f>_xlfn.XLOOKUP(Snitch_Fashion_Sales_cleaned!$J545,Table2[City],Table2[City_Key],"not found")</f>
        <v>2</v>
      </c>
      <c r="O545" s="23">
        <f>_xlfn.XLOOKUP(Snitch_Fashion_Sales_cleaned!$D545,Table4[Product_Name],Table4[Product_Key],"not found")</f>
        <v>20</v>
      </c>
      <c r="P545" s="32">
        <f>_xlfn.XLOOKUP(Snitch_Fashion_Sales_cleaned!$I545,Table3[Order_Date],Table3[Date_Key])</f>
        <v>5</v>
      </c>
    </row>
    <row r="546" spans="1:16" x14ac:dyDescent="0.3">
      <c r="A546" s="27">
        <v>1544</v>
      </c>
      <c r="B546" s="25" t="s">
        <v>592</v>
      </c>
      <c r="C546" s="25" t="s">
        <v>36</v>
      </c>
      <c r="D546" s="26" t="s">
        <v>55</v>
      </c>
      <c r="E546" s="27">
        <v>6</v>
      </c>
      <c r="F546" s="28">
        <v>2731.6350000000002</v>
      </c>
      <c r="G546" s="29">
        <v>0.51</v>
      </c>
      <c r="H546" s="28">
        <f t="shared" si="18"/>
        <v>16389.810000000001</v>
      </c>
      <c r="I546" s="30">
        <v>45647</v>
      </c>
      <c r="J546" s="26" t="s">
        <v>2540</v>
      </c>
      <c r="K546" s="26" t="s">
        <v>23</v>
      </c>
      <c r="L546" s="31">
        <f t="shared" si="19"/>
        <v>8031.0069000000003</v>
      </c>
      <c r="M546" s="31">
        <v>87.47</v>
      </c>
      <c r="N546" s="22">
        <f>_xlfn.XLOOKUP(Snitch_Fashion_Sales_cleaned!$J546,Table2[City],Table2[City_Key],"not found")</f>
        <v>4</v>
      </c>
      <c r="O546" s="21">
        <f>_xlfn.XLOOKUP(Snitch_Fashion_Sales_cleaned!$D546,Table4[Product_Name],Table4[Product_Key],"not found")</f>
        <v>12</v>
      </c>
      <c r="P546" s="25">
        <f>_xlfn.XLOOKUP(Snitch_Fashion_Sales_cleaned!$I546,Table3[Order_Date],Table3[Date_Key])</f>
        <v>5</v>
      </c>
    </row>
    <row r="547" spans="1:16" x14ac:dyDescent="0.3">
      <c r="A547" s="34">
        <v>1545</v>
      </c>
      <c r="B547" s="32" t="s">
        <v>593</v>
      </c>
      <c r="C547" s="32" t="s">
        <v>36</v>
      </c>
      <c r="D547" s="33" t="s">
        <v>37</v>
      </c>
      <c r="E547" s="34">
        <v>1</v>
      </c>
      <c r="F547" s="35">
        <v>2975.64</v>
      </c>
      <c r="G547" s="36">
        <v>0.51</v>
      </c>
      <c r="H547" s="35">
        <f t="shared" si="18"/>
        <v>2975.64</v>
      </c>
      <c r="I547" s="37">
        <v>45827</v>
      </c>
      <c r="J547" s="33" t="s">
        <v>52</v>
      </c>
      <c r="K547" s="33" t="s">
        <v>23</v>
      </c>
      <c r="L547" s="38">
        <f t="shared" si="19"/>
        <v>1458.0636</v>
      </c>
      <c r="M547" s="38">
        <v>364.51589999999999</v>
      </c>
      <c r="N547" s="24">
        <f>_xlfn.XLOOKUP(Snitch_Fashion_Sales_cleaned!$J547,Table2[City],Table2[City_Key],"not found")</f>
        <v>5</v>
      </c>
      <c r="O547" s="23">
        <f>_xlfn.XLOOKUP(Snitch_Fashion_Sales_cleaned!$D547,Table4[Product_Name],Table4[Product_Key],"not found")</f>
        <v>7</v>
      </c>
      <c r="P547" s="32">
        <f>_xlfn.XLOOKUP(Snitch_Fashion_Sales_cleaned!$I547,Table3[Order_Date],Table3[Date_Key])</f>
        <v>247</v>
      </c>
    </row>
    <row r="548" spans="1:16" x14ac:dyDescent="0.3">
      <c r="A548" s="27">
        <v>1546</v>
      </c>
      <c r="B548" s="25" t="s">
        <v>594</v>
      </c>
      <c r="C548" s="25" t="s">
        <v>31</v>
      </c>
      <c r="D548" s="26" t="s">
        <v>41</v>
      </c>
      <c r="E548" s="27">
        <v>3</v>
      </c>
      <c r="F548" s="28">
        <v>3027.66</v>
      </c>
      <c r="G548" s="29">
        <v>0.51</v>
      </c>
      <c r="H548" s="28">
        <f t="shared" si="18"/>
        <v>9082.98</v>
      </c>
      <c r="I548" s="30">
        <v>45538</v>
      </c>
      <c r="J548" s="26" t="s">
        <v>18</v>
      </c>
      <c r="K548" s="26" t="s">
        <v>23</v>
      </c>
      <c r="L548" s="31">
        <f t="shared" si="19"/>
        <v>4450.6601999999993</v>
      </c>
      <c r="M548" s="31">
        <v>1978.16</v>
      </c>
      <c r="N548" s="22">
        <f>_xlfn.XLOOKUP(Snitch_Fashion_Sales_cleaned!$J548,Table2[City],Table2[City_Key],"not found")</f>
        <v>2</v>
      </c>
      <c r="O548" s="21">
        <f>_xlfn.XLOOKUP(Snitch_Fashion_Sales_cleaned!$D548,Table4[Product_Name],Table4[Product_Key],"not found")</f>
        <v>9</v>
      </c>
      <c r="P548" s="25">
        <f>_xlfn.XLOOKUP(Snitch_Fashion_Sales_cleaned!$I548,Table3[Order_Date],Table3[Date_Key])</f>
        <v>294</v>
      </c>
    </row>
    <row r="549" spans="1:16" x14ac:dyDescent="0.3">
      <c r="A549" s="34">
        <v>1547</v>
      </c>
      <c r="B549" s="32" t="s">
        <v>595</v>
      </c>
      <c r="C549" s="32" t="s">
        <v>36</v>
      </c>
      <c r="D549" s="33" t="s">
        <v>55</v>
      </c>
      <c r="E549" s="34">
        <v>6</v>
      </c>
      <c r="F549" s="35">
        <v>2731.6350000000002</v>
      </c>
      <c r="G549" s="36">
        <v>0.95</v>
      </c>
      <c r="H549" s="35">
        <f t="shared" si="18"/>
        <v>16389.810000000001</v>
      </c>
      <c r="I549" s="37">
        <v>45792</v>
      </c>
      <c r="J549" s="33" t="s">
        <v>43</v>
      </c>
      <c r="K549" s="33" t="s">
        <v>23</v>
      </c>
      <c r="L549" s="38">
        <f t="shared" si="19"/>
        <v>819.49050000000079</v>
      </c>
      <c r="M549" s="38">
        <v>204.8726250000002</v>
      </c>
      <c r="N549" s="24">
        <f>_xlfn.XLOOKUP(Snitch_Fashion_Sales_cleaned!$J549,Table2[City],Table2[City_Key],"not found")</f>
        <v>6</v>
      </c>
      <c r="O549" s="23">
        <f>_xlfn.XLOOKUP(Snitch_Fashion_Sales_cleaned!$D549,Table4[Product_Name],Table4[Product_Key],"not found")</f>
        <v>12</v>
      </c>
      <c r="P549" s="32">
        <f>_xlfn.XLOOKUP(Snitch_Fashion_Sales_cleaned!$I549,Table3[Order_Date],Table3[Date_Key])</f>
        <v>295</v>
      </c>
    </row>
    <row r="550" spans="1:16" x14ac:dyDescent="0.3">
      <c r="A550" s="27">
        <v>1548</v>
      </c>
      <c r="B550" s="25" t="s">
        <v>596</v>
      </c>
      <c r="C550" s="25" t="s">
        <v>20</v>
      </c>
      <c r="D550" s="26" t="s">
        <v>76</v>
      </c>
      <c r="E550" s="27">
        <v>3</v>
      </c>
      <c r="F550" s="28">
        <v>2273.15</v>
      </c>
      <c r="G550" s="29">
        <v>0.51</v>
      </c>
      <c r="H550" s="28">
        <f t="shared" si="18"/>
        <v>6819.4500000000007</v>
      </c>
      <c r="I550" s="30">
        <v>45647</v>
      </c>
      <c r="J550" s="26" t="s">
        <v>18</v>
      </c>
      <c r="K550" s="26" t="s">
        <v>16</v>
      </c>
      <c r="L550" s="31">
        <f t="shared" si="19"/>
        <v>3341.5305000000003</v>
      </c>
      <c r="M550" s="31">
        <v>-701.47</v>
      </c>
      <c r="N550" s="22">
        <f>_xlfn.XLOOKUP(Snitch_Fashion_Sales_cleaned!$J550,Table2[City],Table2[City_Key],"not found")</f>
        <v>2</v>
      </c>
      <c r="O550" s="21">
        <f>_xlfn.XLOOKUP(Snitch_Fashion_Sales_cleaned!$D550,Table4[Product_Name],Table4[Product_Key],"not found")</f>
        <v>16</v>
      </c>
      <c r="P550" s="25">
        <f>_xlfn.XLOOKUP(Snitch_Fashion_Sales_cleaned!$I550,Table3[Order_Date],Table3[Date_Key])</f>
        <v>5</v>
      </c>
    </row>
    <row r="551" spans="1:16" x14ac:dyDescent="0.3">
      <c r="A551" s="34">
        <v>1549</v>
      </c>
      <c r="B551" s="32" t="s">
        <v>597</v>
      </c>
      <c r="C551" s="32" t="s">
        <v>28</v>
      </c>
      <c r="D551" s="33" t="s">
        <v>39</v>
      </c>
      <c r="E551" s="34">
        <v>3</v>
      </c>
      <c r="F551" s="35">
        <v>2465.23</v>
      </c>
      <c r="G551" s="36">
        <v>0.42</v>
      </c>
      <c r="H551" s="35">
        <f t="shared" si="18"/>
        <v>7395.6900000000005</v>
      </c>
      <c r="I551" s="37">
        <v>45647</v>
      </c>
      <c r="J551" s="33" t="s">
        <v>2540</v>
      </c>
      <c r="K551" s="33" t="s">
        <v>23</v>
      </c>
      <c r="L551" s="38">
        <f t="shared" si="19"/>
        <v>4289.5002000000004</v>
      </c>
      <c r="M551" s="38">
        <v>256.3</v>
      </c>
      <c r="N551" s="24">
        <f>_xlfn.XLOOKUP(Snitch_Fashion_Sales_cleaned!$J551,Table2[City],Table2[City_Key],"not found")</f>
        <v>4</v>
      </c>
      <c r="O551" s="23">
        <f>_xlfn.XLOOKUP(Snitch_Fashion_Sales_cleaned!$D551,Table4[Product_Name],Table4[Product_Key],"not found")</f>
        <v>8</v>
      </c>
      <c r="P551" s="32">
        <f>_xlfn.XLOOKUP(Snitch_Fashion_Sales_cleaned!$I551,Table3[Order_Date],Table3[Date_Key])</f>
        <v>5</v>
      </c>
    </row>
    <row r="552" spans="1:16" x14ac:dyDescent="0.3">
      <c r="A552" s="27">
        <v>1550</v>
      </c>
      <c r="B552" s="25" t="s">
        <v>598</v>
      </c>
      <c r="C552" s="25" t="s">
        <v>20</v>
      </c>
      <c r="D552" s="26" t="s">
        <v>118</v>
      </c>
      <c r="E552" s="27">
        <v>1</v>
      </c>
      <c r="F552" s="28">
        <v>2752.99</v>
      </c>
      <c r="G552" s="29">
        <v>0.1</v>
      </c>
      <c r="H552" s="28">
        <f t="shared" si="18"/>
        <v>2752.99</v>
      </c>
      <c r="I552" s="30">
        <v>45566</v>
      </c>
      <c r="J552" s="26" t="s">
        <v>43</v>
      </c>
      <c r="K552" s="26" t="s">
        <v>16</v>
      </c>
      <c r="L552" s="31">
        <f t="shared" si="19"/>
        <v>2477.6909999999998</v>
      </c>
      <c r="M552" s="31">
        <v>2195.27</v>
      </c>
      <c r="N552" s="22">
        <f>_xlfn.XLOOKUP(Snitch_Fashion_Sales_cleaned!$J552,Table2[City],Table2[City_Key],"not found")</f>
        <v>6</v>
      </c>
      <c r="O552" s="21">
        <f>_xlfn.XLOOKUP(Snitch_Fashion_Sales_cleaned!$D552,Table4[Product_Name],Table4[Product_Key],"not found")</f>
        <v>23</v>
      </c>
      <c r="P552" s="25">
        <f>_xlfn.XLOOKUP(Snitch_Fashion_Sales_cleaned!$I552,Table3[Order_Date],Table3[Date_Key])</f>
        <v>111</v>
      </c>
    </row>
    <row r="553" spans="1:16" x14ac:dyDescent="0.3">
      <c r="A553" s="34">
        <v>1551</v>
      </c>
      <c r="B553" s="32" t="s">
        <v>599</v>
      </c>
      <c r="C553" s="32" t="s">
        <v>20</v>
      </c>
      <c r="D553" s="33" t="s">
        <v>118</v>
      </c>
      <c r="E553" s="34">
        <v>3.5</v>
      </c>
      <c r="F553" s="35">
        <v>2656.77</v>
      </c>
      <c r="G553" s="36">
        <v>0.51</v>
      </c>
      <c r="H553" s="35">
        <f t="shared" si="18"/>
        <v>9298.6949999999997</v>
      </c>
      <c r="I553" s="37">
        <v>45647</v>
      </c>
      <c r="J553" s="33" t="s">
        <v>22</v>
      </c>
      <c r="K553" s="33" t="s">
        <v>16</v>
      </c>
      <c r="L553" s="38">
        <f t="shared" si="19"/>
        <v>4556.3605499999994</v>
      </c>
      <c r="M553" s="38">
        <v>2293.08</v>
      </c>
      <c r="N553" s="24">
        <f>_xlfn.XLOOKUP(Snitch_Fashion_Sales_cleaned!$J553,Table2[City],Table2[City_Key],"not found")</f>
        <v>3</v>
      </c>
      <c r="O553" s="23">
        <f>_xlfn.XLOOKUP(Snitch_Fashion_Sales_cleaned!$D553,Table4[Product_Name],Table4[Product_Key],"not found")</f>
        <v>23</v>
      </c>
      <c r="P553" s="32">
        <f>_xlfn.XLOOKUP(Snitch_Fashion_Sales_cleaned!$I553,Table3[Order_Date],Table3[Date_Key])</f>
        <v>5</v>
      </c>
    </row>
    <row r="554" spans="1:16" x14ac:dyDescent="0.3">
      <c r="A554" s="27">
        <v>1552</v>
      </c>
      <c r="B554" s="25" t="s">
        <v>600</v>
      </c>
      <c r="C554" s="25" t="s">
        <v>25</v>
      </c>
      <c r="D554" s="26" t="s">
        <v>62</v>
      </c>
      <c r="E554" s="27">
        <v>4</v>
      </c>
      <c r="F554" s="28">
        <v>883.76</v>
      </c>
      <c r="G554" s="29">
        <v>0.51</v>
      </c>
      <c r="H554" s="28">
        <f t="shared" si="18"/>
        <v>3535.04</v>
      </c>
      <c r="I554" s="30">
        <v>45647</v>
      </c>
      <c r="J554" s="26" t="s">
        <v>18</v>
      </c>
      <c r="K554" s="26" t="s">
        <v>23</v>
      </c>
      <c r="L554" s="31">
        <f t="shared" si="19"/>
        <v>1732.1695999999999</v>
      </c>
      <c r="M554" s="31">
        <v>-572.62</v>
      </c>
      <c r="N554" s="22">
        <f>_xlfn.XLOOKUP(Snitch_Fashion_Sales_cleaned!$J554,Table2[City],Table2[City_Key],"not found")</f>
        <v>2</v>
      </c>
      <c r="O554" s="21">
        <f>_xlfn.XLOOKUP(Snitch_Fashion_Sales_cleaned!$D554,Table4[Product_Name],Table4[Product_Key],"not found")</f>
        <v>14</v>
      </c>
      <c r="P554" s="25">
        <f>_xlfn.XLOOKUP(Snitch_Fashion_Sales_cleaned!$I554,Table3[Order_Date],Table3[Date_Key])</f>
        <v>5</v>
      </c>
    </row>
    <row r="555" spans="1:16" x14ac:dyDescent="0.3">
      <c r="A555" s="34">
        <v>1553</v>
      </c>
      <c r="B555" s="32" t="s">
        <v>601</v>
      </c>
      <c r="C555" s="32" t="s">
        <v>28</v>
      </c>
      <c r="D555" s="33" t="s">
        <v>29</v>
      </c>
      <c r="E555" s="34">
        <v>1</v>
      </c>
      <c r="F555" s="35">
        <v>2515.415</v>
      </c>
      <c r="G555" s="36">
        <v>0.51</v>
      </c>
      <c r="H555" s="35">
        <f t="shared" si="18"/>
        <v>2515.415</v>
      </c>
      <c r="I555" s="37">
        <v>45647</v>
      </c>
      <c r="J555" s="33" t="s">
        <v>52</v>
      </c>
      <c r="K555" s="33" t="s">
        <v>16</v>
      </c>
      <c r="L555" s="38">
        <f t="shared" si="19"/>
        <v>1232.5533499999999</v>
      </c>
      <c r="M555" s="38">
        <v>308.13833749999998</v>
      </c>
      <c r="N555" s="24">
        <f>_xlfn.XLOOKUP(Snitch_Fashion_Sales_cleaned!$J555,Table2[City],Table2[City_Key],"not found")</f>
        <v>5</v>
      </c>
      <c r="O555" s="23">
        <f>_xlfn.XLOOKUP(Snitch_Fashion_Sales_cleaned!$D555,Table4[Product_Name],Table4[Product_Key],"not found")</f>
        <v>4</v>
      </c>
      <c r="P555" s="32">
        <f>_xlfn.XLOOKUP(Snitch_Fashion_Sales_cleaned!$I555,Table3[Order_Date],Table3[Date_Key])</f>
        <v>5</v>
      </c>
    </row>
    <row r="556" spans="1:16" x14ac:dyDescent="0.3">
      <c r="A556" s="27">
        <v>1554</v>
      </c>
      <c r="B556" s="25" t="s">
        <v>602</v>
      </c>
      <c r="C556" s="25" t="s">
        <v>25</v>
      </c>
      <c r="D556" s="26" t="s">
        <v>26</v>
      </c>
      <c r="E556" s="27">
        <v>4</v>
      </c>
      <c r="F556" s="28">
        <v>2345.71</v>
      </c>
      <c r="G556" s="29">
        <v>0.51</v>
      </c>
      <c r="H556" s="28">
        <f t="shared" si="18"/>
        <v>9382.84</v>
      </c>
      <c r="I556" s="30">
        <v>45769</v>
      </c>
      <c r="J556" s="26" t="s">
        <v>43</v>
      </c>
      <c r="K556" s="26" t="s">
        <v>23</v>
      </c>
      <c r="L556" s="31">
        <f t="shared" si="19"/>
        <v>4597.5915999999997</v>
      </c>
      <c r="M556" s="31">
        <v>2041.71</v>
      </c>
      <c r="N556" s="22">
        <f>_xlfn.XLOOKUP(Snitch_Fashion_Sales_cleaned!$J556,Table2[City],Table2[City_Key],"not found")</f>
        <v>6</v>
      </c>
      <c r="O556" s="21">
        <f>_xlfn.XLOOKUP(Snitch_Fashion_Sales_cleaned!$D556,Table4[Product_Name],Table4[Product_Key],"not found")</f>
        <v>3</v>
      </c>
      <c r="P556" s="25">
        <f>_xlfn.XLOOKUP(Snitch_Fashion_Sales_cleaned!$I556,Table3[Order_Date],Table3[Date_Key])</f>
        <v>187</v>
      </c>
    </row>
    <row r="557" spans="1:16" x14ac:dyDescent="0.3">
      <c r="A557" s="34">
        <v>1555</v>
      </c>
      <c r="B557" s="32" t="s">
        <v>603</v>
      </c>
      <c r="C557" s="32" t="s">
        <v>28</v>
      </c>
      <c r="D557" s="33" t="s">
        <v>29</v>
      </c>
      <c r="E557" s="34">
        <v>3</v>
      </c>
      <c r="F557" s="35">
        <v>2515.415</v>
      </c>
      <c r="G557" s="36">
        <v>0.51</v>
      </c>
      <c r="H557" s="35">
        <f t="shared" si="18"/>
        <v>7546.2449999999999</v>
      </c>
      <c r="I557" s="37">
        <v>45647</v>
      </c>
      <c r="J557" s="33" t="s">
        <v>2540</v>
      </c>
      <c r="K557" s="33" t="s">
        <v>16</v>
      </c>
      <c r="L557" s="38">
        <f t="shared" si="19"/>
        <v>3697.66005</v>
      </c>
      <c r="M557" s="38">
        <v>312.38</v>
      </c>
      <c r="N557" s="24">
        <f>_xlfn.XLOOKUP(Snitch_Fashion_Sales_cleaned!$J557,Table2[City],Table2[City_Key],"not found")</f>
        <v>4</v>
      </c>
      <c r="O557" s="23">
        <f>_xlfn.XLOOKUP(Snitch_Fashion_Sales_cleaned!$D557,Table4[Product_Name],Table4[Product_Key],"not found")</f>
        <v>4</v>
      </c>
      <c r="P557" s="32">
        <f>_xlfn.XLOOKUP(Snitch_Fashion_Sales_cleaned!$I557,Table3[Order_Date],Table3[Date_Key])</f>
        <v>5</v>
      </c>
    </row>
    <row r="558" spans="1:16" x14ac:dyDescent="0.3">
      <c r="A558" s="27">
        <v>1556</v>
      </c>
      <c r="B558" s="25" t="s">
        <v>604</v>
      </c>
      <c r="C558" s="25" t="s">
        <v>13</v>
      </c>
      <c r="D558" s="26" t="s">
        <v>34</v>
      </c>
      <c r="E558" s="27">
        <v>3</v>
      </c>
      <c r="F558" s="28">
        <v>453.92</v>
      </c>
      <c r="G558" s="29">
        <v>0.51</v>
      </c>
      <c r="H558" s="28">
        <f t="shared" si="18"/>
        <v>1361.76</v>
      </c>
      <c r="I558" s="30">
        <v>45628</v>
      </c>
      <c r="J558" s="26" t="s">
        <v>2540</v>
      </c>
      <c r="K558" s="26" t="s">
        <v>23</v>
      </c>
      <c r="L558" s="31">
        <f t="shared" si="19"/>
        <v>667.26239999999996</v>
      </c>
      <c r="M558" s="31">
        <v>166.81559999999999</v>
      </c>
      <c r="N558" s="22">
        <f>_xlfn.XLOOKUP(Snitch_Fashion_Sales_cleaned!$J558,Table2[City],Table2[City_Key],"not found")</f>
        <v>4</v>
      </c>
      <c r="O558" s="21">
        <f>_xlfn.XLOOKUP(Snitch_Fashion_Sales_cleaned!$D558,Table4[Product_Name],Table4[Product_Key],"not found")</f>
        <v>6</v>
      </c>
      <c r="P558" s="25">
        <f>_xlfn.XLOOKUP(Snitch_Fashion_Sales_cleaned!$I558,Table3[Order_Date],Table3[Date_Key])</f>
        <v>147</v>
      </c>
    </row>
    <row r="559" spans="1:16" x14ac:dyDescent="0.3">
      <c r="A559" s="34">
        <v>1557</v>
      </c>
      <c r="B559" s="32" t="s">
        <v>605</v>
      </c>
      <c r="C559" s="32" t="s">
        <v>20</v>
      </c>
      <c r="D559" s="33" t="s">
        <v>21</v>
      </c>
      <c r="E559" s="34">
        <v>4</v>
      </c>
      <c r="F559" s="35">
        <v>4402.3999999999996</v>
      </c>
      <c r="G559" s="36">
        <v>0.51</v>
      </c>
      <c r="H559" s="35">
        <f t="shared" si="18"/>
        <v>17609.599999999999</v>
      </c>
      <c r="I559" s="37">
        <v>45669</v>
      </c>
      <c r="J559" s="33" t="s">
        <v>52</v>
      </c>
      <c r="K559" s="33" t="s">
        <v>16</v>
      </c>
      <c r="L559" s="38">
        <f t="shared" si="19"/>
        <v>8628.7039999999997</v>
      </c>
      <c r="M559" s="38">
        <v>-594.21</v>
      </c>
      <c r="N559" s="24">
        <f>_xlfn.XLOOKUP(Snitch_Fashion_Sales_cleaned!$J559,Table2[City],Table2[City_Key],"not found")</f>
        <v>5</v>
      </c>
      <c r="O559" s="23">
        <f>_xlfn.XLOOKUP(Snitch_Fashion_Sales_cleaned!$D559,Table4[Product_Name],Table4[Product_Key],"not found")</f>
        <v>2</v>
      </c>
      <c r="P559" s="32">
        <f>_xlfn.XLOOKUP(Snitch_Fashion_Sales_cleaned!$I559,Table3[Order_Date],Table3[Date_Key])</f>
        <v>296</v>
      </c>
    </row>
    <row r="560" spans="1:16" x14ac:dyDescent="0.3">
      <c r="A560" s="27">
        <v>1558</v>
      </c>
      <c r="B560" s="25" t="s">
        <v>606</v>
      </c>
      <c r="C560" s="25" t="s">
        <v>31</v>
      </c>
      <c r="D560" s="26" t="s">
        <v>78</v>
      </c>
      <c r="E560" s="27">
        <v>4</v>
      </c>
      <c r="F560" s="28">
        <v>2599.75</v>
      </c>
      <c r="G560" s="29">
        <v>0.51</v>
      </c>
      <c r="H560" s="28">
        <f t="shared" si="18"/>
        <v>10399</v>
      </c>
      <c r="I560" s="30">
        <v>45273</v>
      </c>
      <c r="J560" s="26" t="s">
        <v>43</v>
      </c>
      <c r="K560" s="26" t="s">
        <v>23</v>
      </c>
      <c r="L560" s="31">
        <f t="shared" si="19"/>
        <v>5095.51</v>
      </c>
      <c r="M560" s="31">
        <v>300.17</v>
      </c>
      <c r="N560" s="22">
        <f>_xlfn.XLOOKUP(Snitch_Fashion_Sales_cleaned!$J560,Table2[City],Table2[City_Key],"not found")</f>
        <v>6</v>
      </c>
      <c r="O560" s="21">
        <f>_xlfn.XLOOKUP(Snitch_Fashion_Sales_cleaned!$D560,Table4[Product_Name],Table4[Product_Key],"not found")</f>
        <v>17</v>
      </c>
      <c r="P560" s="25">
        <f>_xlfn.XLOOKUP(Snitch_Fashion_Sales_cleaned!$I560,Table3[Order_Date],Table3[Date_Key])</f>
        <v>297</v>
      </c>
    </row>
    <row r="561" spans="1:16" x14ac:dyDescent="0.3">
      <c r="A561" s="34">
        <v>1559</v>
      </c>
      <c r="B561" s="32" t="s">
        <v>607</v>
      </c>
      <c r="C561" s="32" t="s">
        <v>20</v>
      </c>
      <c r="D561" s="33" t="s">
        <v>118</v>
      </c>
      <c r="E561" s="34">
        <v>3.5</v>
      </c>
      <c r="F561" s="35">
        <v>2752.99</v>
      </c>
      <c r="G561" s="36">
        <v>0.09</v>
      </c>
      <c r="H561" s="35">
        <f t="shared" si="18"/>
        <v>9635.4650000000001</v>
      </c>
      <c r="I561" s="37">
        <v>45647</v>
      </c>
      <c r="J561" s="33" t="s">
        <v>22</v>
      </c>
      <c r="K561" s="33" t="s">
        <v>16</v>
      </c>
      <c r="L561" s="38">
        <f t="shared" si="19"/>
        <v>8768.2731500000009</v>
      </c>
      <c r="M561" s="38">
        <v>-548.17999999999995</v>
      </c>
      <c r="N561" s="24">
        <f>_xlfn.XLOOKUP(Snitch_Fashion_Sales_cleaned!$J561,Table2[City],Table2[City_Key],"not found")</f>
        <v>3</v>
      </c>
      <c r="O561" s="23">
        <f>_xlfn.XLOOKUP(Snitch_Fashion_Sales_cleaned!$D561,Table4[Product_Name],Table4[Product_Key],"not found")</f>
        <v>23</v>
      </c>
      <c r="P561" s="32">
        <f>_xlfn.XLOOKUP(Snitch_Fashion_Sales_cleaned!$I561,Table3[Order_Date],Table3[Date_Key])</f>
        <v>5</v>
      </c>
    </row>
    <row r="562" spans="1:16" x14ac:dyDescent="0.3">
      <c r="A562" s="27">
        <v>1560</v>
      </c>
      <c r="B562" s="25" t="s">
        <v>608</v>
      </c>
      <c r="C562" s="25" t="s">
        <v>28</v>
      </c>
      <c r="D562" s="26" t="s">
        <v>137</v>
      </c>
      <c r="E562" s="27">
        <v>3.5</v>
      </c>
      <c r="F562" s="28">
        <v>2338.04</v>
      </c>
      <c r="G562" s="29">
        <v>0.71</v>
      </c>
      <c r="H562" s="28">
        <f t="shared" si="18"/>
        <v>8183.1399999999994</v>
      </c>
      <c r="I562" s="30">
        <v>45671</v>
      </c>
      <c r="J562" s="26" t="s">
        <v>52</v>
      </c>
      <c r="K562" s="26" t="s">
        <v>23</v>
      </c>
      <c r="L562" s="31">
        <f t="shared" si="19"/>
        <v>2373.1106</v>
      </c>
      <c r="M562" s="31">
        <v>574.85</v>
      </c>
      <c r="N562" s="22">
        <f>_xlfn.XLOOKUP(Snitch_Fashion_Sales_cleaned!$J562,Table2[City],Table2[City_Key],"not found")</f>
        <v>5</v>
      </c>
      <c r="O562" s="21">
        <f>_xlfn.XLOOKUP(Snitch_Fashion_Sales_cleaned!$D562,Table4[Product_Name],Table4[Product_Key],"not found")</f>
        <v>24</v>
      </c>
      <c r="P562" s="25">
        <f>_xlfn.XLOOKUP(Snitch_Fashion_Sales_cleaned!$I562,Table3[Order_Date],Table3[Date_Key])</f>
        <v>125</v>
      </c>
    </row>
    <row r="563" spans="1:16" x14ac:dyDescent="0.3">
      <c r="A563" s="34">
        <v>1561</v>
      </c>
      <c r="B563" s="32" t="s">
        <v>609</v>
      </c>
      <c r="C563" s="32" t="s">
        <v>25</v>
      </c>
      <c r="D563" s="33" t="s">
        <v>50</v>
      </c>
      <c r="E563" s="34">
        <v>4</v>
      </c>
      <c r="F563" s="35">
        <v>2666.2200000000003</v>
      </c>
      <c r="G563" s="36">
        <v>0.51</v>
      </c>
      <c r="H563" s="35">
        <f t="shared" si="18"/>
        <v>10664.880000000001</v>
      </c>
      <c r="I563" s="37">
        <v>45668</v>
      </c>
      <c r="J563" s="33" t="s">
        <v>15</v>
      </c>
      <c r="K563" s="33" t="s">
        <v>23</v>
      </c>
      <c r="L563" s="38">
        <f t="shared" si="19"/>
        <v>5225.7912000000006</v>
      </c>
      <c r="M563" s="38">
        <v>2513.2399999999998</v>
      </c>
      <c r="N563" s="24">
        <f>_xlfn.XLOOKUP(Snitch_Fashion_Sales_cleaned!$J563,Table2[City],Table2[City_Key],"not found")</f>
        <v>1</v>
      </c>
      <c r="O563" s="23">
        <f>_xlfn.XLOOKUP(Snitch_Fashion_Sales_cleaned!$D563,Table4[Product_Name],Table4[Product_Key],"not found")</f>
        <v>11</v>
      </c>
      <c r="P563" s="32">
        <f>_xlfn.XLOOKUP(Snitch_Fashion_Sales_cleaned!$I563,Table3[Order_Date],Table3[Date_Key])</f>
        <v>298</v>
      </c>
    </row>
    <row r="564" spans="1:16" x14ac:dyDescent="0.3">
      <c r="A564" s="27">
        <v>1562</v>
      </c>
      <c r="B564" s="25" t="s">
        <v>610</v>
      </c>
      <c r="C564" s="25" t="s">
        <v>28</v>
      </c>
      <c r="D564" s="26" t="s">
        <v>137</v>
      </c>
      <c r="E564" s="27">
        <v>3.5</v>
      </c>
      <c r="F564" s="28">
        <v>2338.04</v>
      </c>
      <c r="G564" s="29">
        <v>0.51</v>
      </c>
      <c r="H564" s="28">
        <f t="shared" si="18"/>
        <v>8183.1399999999994</v>
      </c>
      <c r="I564" s="30">
        <v>45647</v>
      </c>
      <c r="J564" s="26" t="s">
        <v>52</v>
      </c>
      <c r="K564" s="26" t="s">
        <v>23</v>
      </c>
      <c r="L564" s="31">
        <f t="shared" si="19"/>
        <v>4009.7385999999997</v>
      </c>
      <c r="M564" s="31">
        <v>930.14</v>
      </c>
      <c r="N564" s="22">
        <f>_xlfn.XLOOKUP(Snitch_Fashion_Sales_cleaned!$J564,Table2[City],Table2[City_Key],"not found")</f>
        <v>5</v>
      </c>
      <c r="O564" s="21">
        <f>_xlfn.XLOOKUP(Snitch_Fashion_Sales_cleaned!$D564,Table4[Product_Name],Table4[Product_Key],"not found")</f>
        <v>24</v>
      </c>
      <c r="P564" s="25">
        <f>_xlfn.XLOOKUP(Snitch_Fashion_Sales_cleaned!$I564,Table3[Order_Date],Table3[Date_Key])</f>
        <v>5</v>
      </c>
    </row>
    <row r="565" spans="1:16" x14ac:dyDescent="0.3">
      <c r="A565" s="34">
        <v>1563</v>
      </c>
      <c r="B565" s="32" t="s">
        <v>611</v>
      </c>
      <c r="C565" s="32" t="s">
        <v>36</v>
      </c>
      <c r="D565" s="33" t="s">
        <v>55</v>
      </c>
      <c r="E565" s="34">
        <v>5</v>
      </c>
      <c r="F565" s="35">
        <v>1571.12</v>
      </c>
      <c r="G565" s="36">
        <v>0.65</v>
      </c>
      <c r="H565" s="35">
        <f t="shared" si="18"/>
        <v>7855.5999999999995</v>
      </c>
      <c r="I565" s="37">
        <v>45647</v>
      </c>
      <c r="J565" s="33" t="s">
        <v>18</v>
      </c>
      <c r="K565" s="33" t="s">
        <v>23</v>
      </c>
      <c r="L565" s="38">
        <f t="shared" si="19"/>
        <v>2749.4599999999996</v>
      </c>
      <c r="M565" s="38">
        <v>103.28</v>
      </c>
      <c r="N565" s="24">
        <f>_xlfn.XLOOKUP(Snitch_Fashion_Sales_cleaned!$J565,Table2[City],Table2[City_Key],"not found")</f>
        <v>2</v>
      </c>
      <c r="O565" s="23">
        <f>_xlfn.XLOOKUP(Snitch_Fashion_Sales_cleaned!$D565,Table4[Product_Name],Table4[Product_Key],"not found")</f>
        <v>12</v>
      </c>
      <c r="P565" s="32">
        <f>_xlfn.XLOOKUP(Snitch_Fashion_Sales_cleaned!$I565,Table3[Order_Date],Table3[Date_Key])</f>
        <v>5</v>
      </c>
    </row>
    <row r="566" spans="1:16" x14ac:dyDescent="0.3">
      <c r="A566" s="27">
        <v>1564</v>
      </c>
      <c r="B566" s="25" t="s">
        <v>612</v>
      </c>
      <c r="C566" s="25" t="s">
        <v>13</v>
      </c>
      <c r="D566" s="26" t="s">
        <v>34</v>
      </c>
      <c r="E566" s="27">
        <v>2</v>
      </c>
      <c r="F566" s="28">
        <v>3008.6549999999997</v>
      </c>
      <c r="G566" s="29">
        <v>0.67</v>
      </c>
      <c r="H566" s="28">
        <f t="shared" si="18"/>
        <v>6017.3099999999995</v>
      </c>
      <c r="I566" s="30">
        <v>45647</v>
      </c>
      <c r="J566" s="26" t="s">
        <v>43</v>
      </c>
      <c r="K566" s="26" t="s">
        <v>16</v>
      </c>
      <c r="L566" s="31">
        <f t="shared" si="19"/>
        <v>1985.7122999999997</v>
      </c>
      <c r="M566" s="31">
        <v>-953.17</v>
      </c>
      <c r="N566" s="22">
        <f>_xlfn.XLOOKUP(Snitch_Fashion_Sales_cleaned!$J566,Table2[City],Table2[City_Key],"not found")</f>
        <v>6</v>
      </c>
      <c r="O566" s="21">
        <f>_xlfn.XLOOKUP(Snitch_Fashion_Sales_cleaned!$D566,Table4[Product_Name],Table4[Product_Key],"not found")</f>
        <v>6</v>
      </c>
      <c r="P566" s="25">
        <f>_xlfn.XLOOKUP(Snitch_Fashion_Sales_cleaned!$I566,Table3[Order_Date],Table3[Date_Key])</f>
        <v>5</v>
      </c>
    </row>
    <row r="567" spans="1:16" x14ac:dyDescent="0.3">
      <c r="A567" s="34">
        <v>1565</v>
      </c>
      <c r="B567" s="32" t="s">
        <v>613</v>
      </c>
      <c r="C567" s="32" t="s">
        <v>28</v>
      </c>
      <c r="D567" s="33" t="s">
        <v>137</v>
      </c>
      <c r="E567" s="34">
        <v>3.5</v>
      </c>
      <c r="F567" s="35">
        <v>1867.24</v>
      </c>
      <c r="G567" s="36">
        <v>0.19</v>
      </c>
      <c r="H567" s="35">
        <f t="shared" si="18"/>
        <v>6535.34</v>
      </c>
      <c r="I567" s="37">
        <v>45781</v>
      </c>
      <c r="J567" s="33" t="s">
        <v>43</v>
      </c>
      <c r="K567" s="33" t="s">
        <v>23</v>
      </c>
      <c r="L567" s="38">
        <f t="shared" si="19"/>
        <v>5293.6254000000008</v>
      </c>
      <c r="M567" s="38">
        <v>784.96</v>
      </c>
      <c r="N567" s="24">
        <f>_xlfn.XLOOKUP(Snitch_Fashion_Sales_cleaned!$J567,Table2[City],Table2[City_Key],"not found")</f>
        <v>6</v>
      </c>
      <c r="O567" s="23">
        <f>_xlfn.XLOOKUP(Snitch_Fashion_Sales_cleaned!$D567,Table4[Product_Name],Table4[Product_Key],"not found")</f>
        <v>24</v>
      </c>
      <c r="P567" s="32">
        <f>_xlfn.XLOOKUP(Snitch_Fashion_Sales_cleaned!$I567,Table3[Order_Date],Table3[Date_Key])</f>
        <v>277</v>
      </c>
    </row>
    <row r="568" spans="1:16" x14ac:dyDescent="0.3">
      <c r="A568" s="27">
        <v>1566</v>
      </c>
      <c r="B568" s="25" t="s">
        <v>614</v>
      </c>
      <c r="C568" s="25" t="s">
        <v>20</v>
      </c>
      <c r="D568" s="26" t="s">
        <v>21</v>
      </c>
      <c r="E568" s="27">
        <v>4</v>
      </c>
      <c r="F568" s="28">
        <v>1696.72</v>
      </c>
      <c r="G568" s="29">
        <v>0.51</v>
      </c>
      <c r="H568" s="28">
        <f t="shared" si="18"/>
        <v>6786.88</v>
      </c>
      <c r="I568" s="30">
        <v>45516</v>
      </c>
      <c r="J568" s="26" t="s">
        <v>18</v>
      </c>
      <c r="K568" s="26" t="s">
        <v>23</v>
      </c>
      <c r="L568" s="31">
        <f t="shared" si="19"/>
        <v>3325.5711999999999</v>
      </c>
      <c r="M568" s="31">
        <v>953.07</v>
      </c>
      <c r="N568" s="22">
        <f>_xlfn.XLOOKUP(Snitch_Fashion_Sales_cleaned!$J568,Table2[City],Table2[City_Key],"not found")</f>
        <v>2</v>
      </c>
      <c r="O568" s="21">
        <f>_xlfn.XLOOKUP(Snitch_Fashion_Sales_cleaned!$D568,Table4[Product_Name],Table4[Product_Key],"not found")</f>
        <v>2</v>
      </c>
      <c r="P568" s="25">
        <f>_xlfn.XLOOKUP(Snitch_Fashion_Sales_cleaned!$I568,Table3[Order_Date],Table3[Date_Key])</f>
        <v>299</v>
      </c>
    </row>
    <row r="569" spans="1:16" x14ac:dyDescent="0.3">
      <c r="A569" s="34">
        <v>1567</v>
      </c>
      <c r="B569" s="32" t="s">
        <v>615</v>
      </c>
      <c r="C569" s="32" t="s">
        <v>28</v>
      </c>
      <c r="D569" s="33" t="s">
        <v>29</v>
      </c>
      <c r="E569" s="34">
        <v>3</v>
      </c>
      <c r="F569" s="35">
        <v>2515.415</v>
      </c>
      <c r="G569" s="36">
        <v>0.51</v>
      </c>
      <c r="H569" s="35">
        <f t="shared" si="18"/>
        <v>7546.2449999999999</v>
      </c>
      <c r="I569" s="37">
        <v>45647</v>
      </c>
      <c r="J569" s="33" t="s">
        <v>52</v>
      </c>
      <c r="K569" s="33" t="s">
        <v>23</v>
      </c>
      <c r="L569" s="38">
        <f t="shared" si="19"/>
        <v>3697.66005</v>
      </c>
      <c r="M569" s="38">
        <v>2545.25</v>
      </c>
      <c r="N569" s="24">
        <f>_xlfn.XLOOKUP(Snitch_Fashion_Sales_cleaned!$J569,Table2[City],Table2[City_Key],"not found")</f>
        <v>5</v>
      </c>
      <c r="O569" s="23">
        <f>_xlfn.XLOOKUP(Snitch_Fashion_Sales_cleaned!$D569,Table4[Product_Name],Table4[Product_Key],"not found")</f>
        <v>4</v>
      </c>
      <c r="P569" s="32">
        <f>_xlfn.XLOOKUP(Snitch_Fashion_Sales_cleaned!$I569,Table3[Order_Date],Table3[Date_Key])</f>
        <v>5</v>
      </c>
    </row>
    <row r="570" spans="1:16" x14ac:dyDescent="0.3">
      <c r="A570" s="27">
        <v>1568</v>
      </c>
      <c r="B570" s="25" t="s">
        <v>616</v>
      </c>
      <c r="C570" s="25" t="s">
        <v>13</v>
      </c>
      <c r="D570" s="26" t="s">
        <v>98</v>
      </c>
      <c r="E570" s="27">
        <v>6</v>
      </c>
      <c r="F570" s="28">
        <v>2750.33</v>
      </c>
      <c r="G570" s="29">
        <v>0.51</v>
      </c>
      <c r="H570" s="28">
        <f t="shared" si="18"/>
        <v>16501.98</v>
      </c>
      <c r="I570" s="30">
        <v>45647</v>
      </c>
      <c r="J570" s="26" t="s">
        <v>15</v>
      </c>
      <c r="K570" s="26" t="s">
        <v>16</v>
      </c>
      <c r="L570" s="31">
        <f t="shared" si="19"/>
        <v>8085.9701999999997</v>
      </c>
      <c r="M570" s="31">
        <v>2403.0100000000002</v>
      </c>
      <c r="N570" s="22">
        <f>_xlfn.XLOOKUP(Snitch_Fashion_Sales_cleaned!$J570,Table2[City],Table2[City_Key],"not found")</f>
        <v>1</v>
      </c>
      <c r="O570" s="21">
        <f>_xlfn.XLOOKUP(Snitch_Fashion_Sales_cleaned!$D570,Table4[Product_Name],Table4[Product_Key],"not found")</f>
        <v>21</v>
      </c>
      <c r="P570" s="25">
        <f>_xlfn.XLOOKUP(Snitch_Fashion_Sales_cleaned!$I570,Table3[Order_Date],Table3[Date_Key])</f>
        <v>5</v>
      </c>
    </row>
    <row r="571" spans="1:16" x14ac:dyDescent="0.3">
      <c r="A571" s="34">
        <v>1569</v>
      </c>
      <c r="B571" s="32" t="s">
        <v>617</v>
      </c>
      <c r="C571" s="32" t="s">
        <v>36</v>
      </c>
      <c r="D571" s="33" t="s">
        <v>55</v>
      </c>
      <c r="E571" s="34">
        <v>1</v>
      </c>
      <c r="F571" s="35">
        <v>2731.6350000000002</v>
      </c>
      <c r="G571" s="36">
        <v>0.02</v>
      </c>
      <c r="H571" s="35">
        <f t="shared" si="18"/>
        <v>2731.6350000000002</v>
      </c>
      <c r="I571" s="37">
        <v>45773</v>
      </c>
      <c r="J571" s="33" t="s">
        <v>18</v>
      </c>
      <c r="K571" s="33" t="s">
        <v>23</v>
      </c>
      <c r="L571" s="38">
        <f t="shared" si="19"/>
        <v>2677.0023000000001</v>
      </c>
      <c r="M571" s="38">
        <v>576.66</v>
      </c>
      <c r="N571" s="24">
        <f>_xlfn.XLOOKUP(Snitch_Fashion_Sales_cleaned!$J571,Table2[City],Table2[City_Key],"not found")</f>
        <v>2</v>
      </c>
      <c r="O571" s="23">
        <f>_xlfn.XLOOKUP(Snitch_Fashion_Sales_cleaned!$D571,Table4[Product_Name],Table4[Product_Key],"not found")</f>
        <v>12</v>
      </c>
      <c r="P571" s="32">
        <f>_xlfn.XLOOKUP(Snitch_Fashion_Sales_cleaned!$I571,Table3[Order_Date],Table3[Date_Key])</f>
        <v>36</v>
      </c>
    </row>
    <row r="572" spans="1:16" x14ac:dyDescent="0.3">
      <c r="A572" s="27">
        <v>1570</v>
      </c>
      <c r="B572" s="25" t="s">
        <v>618</v>
      </c>
      <c r="C572" s="25" t="s">
        <v>20</v>
      </c>
      <c r="D572" s="26" t="s">
        <v>118</v>
      </c>
      <c r="E572" s="27">
        <v>1</v>
      </c>
      <c r="F572" s="28">
        <v>4774.7700000000004</v>
      </c>
      <c r="G572" s="29">
        <v>0.96</v>
      </c>
      <c r="H572" s="28">
        <f t="shared" si="18"/>
        <v>4774.7700000000004</v>
      </c>
      <c r="I572" s="30">
        <v>45755</v>
      </c>
      <c r="J572" s="26" t="s">
        <v>22</v>
      </c>
      <c r="K572" s="26" t="s">
        <v>16</v>
      </c>
      <c r="L572" s="31">
        <f t="shared" si="19"/>
        <v>190.99080000000018</v>
      </c>
      <c r="M572" s="31">
        <v>-146.16999999999999</v>
      </c>
      <c r="N572" s="22">
        <f>_xlfn.XLOOKUP(Snitch_Fashion_Sales_cleaned!$J572,Table2[City],Table2[City_Key],"not found")</f>
        <v>3</v>
      </c>
      <c r="O572" s="21">
        <f>_xlfn.XLOOKUP(Snitch_Fashion_Sales_cleaned!$D572,Table4[Product_Name],Table4[Product_Key],"not found")</f>
        <v>23</v>
      </c>
      <c r="P572" s="25">
        <f>_xlfn.XLOOKUP(Snitch_Fashion_Sales_cleaned!$I572,Table3[Order_Date],Table3[Date_Key])</f>
        <v>182</v>
      </c>
    </row>
    <row r="573" spans="1:16" x14ac:dyDescent="0.3">
      <c r="A573" s="34">
        <v>1571</v>
      </c>
      <c r="B573" s="32" t="s">
        <v>619</v>
      </c>
      <c r="C573" s="32" t="s">
        <v>20</v>
      </c>
      <c r="D573" s="33" t="s">
        <v>84</v>
      </c>
      <c r="E573" s="34">
        <v>3</v>
      </c>
      <c r="F573" s="35">
        <v>1308.06</v>
      </c>
      <c r="G573" s="36">
        <v>0.51</v>
      </c>
      <c r="H573" s="35">
        <f t="shared" si="18"/>
        <v>3924.18</v>
      </c>
      <c r="I573" s="37">
        <v>45647</v>
      </c>
      <c r="J573" s="33" t="s">
        <v>43</v>
      </c>
      <c r="K573" s="33" t="s">
        <v>16</v>
      </c>
      <c r="L573" s="38">
        <f t="shared" si="19"/>
        <v>1922.8481999999999</v>
      </c>
      <c r="M573" s="38">
        <v>-246.91</v>
      </c>
      <c r="N573" s="24">
        <f>_xlfn.XLOOKUP(Snitch_Fashion_Sales_cleaned!$J573,Table2[City],Table2[City_Key],"not found")</f>
        <v>6</v>
      </c>
      <c r="O573" s="23">
        <f>_xlfn.XLOOKUP(Snitch_Fashion_Sales_cleaned!$D573,Table4[Product_Name],Table4[Product_Key],"not found")</f>
        <v>19</v>
      </c>
      <c r="P573" s="32">
        <f>_xlfn.XLOOKUP(Snitch_Fashion_Sales_cleaned!$I573,Table3[Order_Date],Table3[Date_Key])</f>
        <v>5</v>
      </c>
    </row>
    <row r="574" spans="1:16" x14ac:dyDescent="0.3">
      <c r="A574" s="27">
        <v>1572</v>
      </c>
      <c r="B574" s="25" t="s">
        <v>620</v>
      </c>
      <c r="C574" s="25" t="s">
        <v>20</v>
      </c>
      <c r="D574" s="26" t="s">
        <v>118</v>
      </c>
      <c r="E574" s="27">
        <v>4</v>
      </c>
      <c r="F574" s="28">
        <v>2752.99</v>
      </c>
      <c r="G574" s="29">
        <v>0.82</v>
      </c>
      <c r="H574" s="28">
        <f t="shared" si="18"/>
        <v>11011.96</v>
      </c>
      <c r="I574" s="30">
        <v>45707</v>
      </c>
      <c r="J574" s="26" t="s">
        <v>15</v>
      </c>
      <c r="K574" s="26" t="s">
        <v>23</v>
      </c>
      <c r="L574" s="31">
        <f t="shared" si="19"/>
        <v>1982.1528000000003</v>
      </c>
      <c r="M574" s="31">
        <v>534.6</v>
      </c>
      <c r="N574" s="22">
        <f>_xlfn.XLOOKUP(Snitch_Fashion_Sales_cleaned!$J574,Table2[City],Table2[City_Key],"not found")</f>
        <v>1</v>
      </c>
      <c r="O574" s="21">
        <f>_xlfn.XLOOKUP(Snitch_Fashion_Sales_cleaned!$D574,Table4[Product_Name],Table4[Product_Key],"not found")</f>
        <v>23</v>
      </c>
      <c r="P574" s="25">
        <f>_xlfn.XLOOKUP(Snitch_Fashion_Sales_cleaned!$I574,Table3[Order_Date],Table3[Date_Key])</f>
        <v>17</v>
      </c>
    </row>
    <row r="575" spans="1:16" x14ac:dyDescent="0.3">
      <c r="A575" s="34">
        <v>1573</v>
      </c>
      <c r="B575" s="32" t="s">
        <v>621</v>
      </c>
      <c r="C575" s="32" t="s">
        <v>13</v>
      </c>
      <c r="D575" s="33" t="s">
        <v>98</v>
      </c>
      <c r="E575" s="34">
        <v>5</v>
      </c>
      <c r="F575" s="35">
        <v>3972.78</v>
      </c>
      <c r="G575" s="36">
        <v>0.51</v>
      </c>
      <c r="H575" s="35">
        <f t="shared" si="18"/>
        <v>19863.900000000001</v>
      </c>
      <c r="I575" s="37">
        <v>45627</v>
      </c>
      <c r="J575" s="33" t="s">
        <v>52</v>
      </c>
      <c r="K575" s="33" t="s">
        <v>23</v>
      </c>
      <c r="L575" s="38">
        <f t="shared" si="19"/>
        <v>9733.3109999999997</v>
      </c>
      <c r="M575" s="38">
        <v>-902.58</v>
      </c>
      <c r="N575" s="24">
        <f>_xlfn.XLOOKUP(Snitch_Fashion_Sales_cleaned!$J575,Table2[City],Table2[City_Key],"not found")</f>
        <v>5</v>
      </c>
      <c r="O575" s="23">
        <f>_xlfn.XLOOKUP(Snitch_Fashion_Sales_cleaned!$D575,Table4[Product_Name],Table4[Product_Key],"not found")</f>
        <v>21</v>
      </c>
      <c r="P575" s="32">
        <f>_xlfn.XLOOKUP(Snitch_Fashion_Sales_cleaned!$I575,Table3[Order_Date],Table3[Date_Key])</f>
        <v>300</v>
      </c>
    </row>
    <row r="576" spans="1:16" x14ac:dyDescent="0.3">
      <c r="A576" s="27">
        <v>1574</v>
      </c>
      <c r="B576" s="25" t="s">
        <v>622</v>
      </c>
      <c r="C576" s="25" t="s">
        <v>28</v>
      </c>
      <c r="D576" s="26" t="s">
        <v>29</v>
      </c>
      <c r="E576" s="27">
        <v>3</v>
      </c>
      <c r="F576" s="28">
        <v>2515.415</v>
      </c>
      <c r="G576" s="29">
        <v>0.51</v>
      </c>
      <c r="H576" s="28">
        <f t="shared" si="18"/>
        <v>7546.2449999999999</v>
      </c>
      <c r="I576" s="30">
        <v>45729</v>
      </c>
      <c r="J576" s="26" t="s">
        <v>18</v>
      </c>
      <c r="K576" s="26" t="s">
        <v>23</v>
      </c>
      <c r="L576" s="31">
        <f t="shared" si="19"/>
        <v>3697.66005</v>
      </c>
      <c r="M576" s="31">
        <v>-803.35</v>
      </c>
      <c r="N576" s="22">
        <f>_xlfn.XLOOKUP(Snitch_Fashion_Sales_cleaned!$J576,Table2[City],Table2[City_Key],"not found")</f>
        <v>2</v>
      </c>
      <c r="O576" s="21">
        <f>_xlfn.XLOOKUP(Snitch_Fashion_Sales_cleaned!$D576,Table4[Product_Name],Table4[Product_Key],"not found")</f>
        <v>4</v>
      </c>
      <c r="P576" s="25">
        <f>_xlfn.XLOOKUP(Snitch_Fashion_Sales_cleaned!$I576,Table3[Order_Date],Table3[Date_Key])</f>
        <v>301</v>
      </c>
    </row>
    <row r="577" spans="1:16" x14ac:dyDescent="0.3">
      <c r="A577" s="34">
        <v>1575</v>
      </c>
      <c r="B577" s="32" t="s">
        <v>623</v>
      </c>
      <c r="C577" s="32" t="s">
        <v>31</v>
      </c>
      <c r="D577" s="33" t="s">
        <v>78</v>
      </c>
      <c r="E577" s="34">
        <v>4</v>
      </c>
      <c r="F577" s="35">
        <v>615.07000000000005</v>
      </c>
      <c r="G577" s="36">
        <v>0.51</v>
      </c>
      <c r="H577" s="35">
        <f t="shared" si="18"/>
        <v>2460.2800000000002</v>
      </c>
      <c r="I577" s="37">
        <v>45566</v>
      </c>
      <c r="J577" s="33" t="s">
        <v>18</v>
      </c>
      <c r="K577" s="33" t="s">
        <v>23</v>
      </c>
      <c r="L577" s="38">
        <f t="shared" si="19"/>
        <v>1205.5372</v>
      </c>
      <c r="M577" s="38">
        <v>638.16</v>
      </c>
      <c r="N577" s="24">
        <f>_xlfn.XLOOKUP(Snitch_Fashion_Sales_cleaned!$J577,Table2[City],Table2[City_Key],"not found")</f>
        <v>2</v>
      </c>
      <c r="O577" s="23">
        <f>_xlfn.XLOOKUP(Snitch_Fashion_Sales_cleaned!$D577,Table4[Product_Name],Table4[Product_Key],"not found")</f>
        <v>17</v>
      </c>
      <c r="P577" s="32">
        <f>_xlfn.XLOOKUP(Snitch_Fashion_Sales_cleaned!$I577,Table3[Order_Date],Table3[Date_Key])</f>
        <v>111</v>
      </c>
    </row>
    <row r="578" spans="1:16" x14ac:dyDescent="0.3">
      <c r="A578" s="27">
        <v>1576</v>
      </c>
      <c r="B578" s="25" t="s">
        <v>624</v>
      </c>
      <c r="C578" s="25" t="s">
        <v>20</v>
      </c>
      <c r="D578" s="26" t="s">
        <v>84</v>
      </c>
      <c r="E578" s="27">
        <v>1</v>
      </c>
      <c r="F578" s="28">
        <v>1882.14</v>
      </c>
      <c r="G578" s="29">
        <v>0.6</v>
      </c>
      <c r="H578" s="28">
        <f t="shared" si="18"/>
        <v>1882.14</v>
      </c>
      <c r="I578" s="30">
        <v>45662</v>
      </c>
      <c r="J578" s="26" t="s">
        <v>18</v>
      </c>
      <c r="K578" s="26" t="s">
        <v>23</v>
      </c>
      <c r="L578" s="31">
        <f t="shared" si="19"/>
        <v>752.85600000000011</v>
      </c>
      <c r="M578" s="31">
        <v>188.21400000000003</v>
      </c>
      <c r="N578" s="22">
        <f>_xlfn.XLOOKUP(Snitch_Fashion_Sales_cleaned!$J578,Table2[City],Table2[City_Key],"not found")</f>
        <v>2</v>
      </c>
      <c r="O578" s="21">
        <f>_xlfn.XLOOKUP(Snitch_Fashion_Sales_cleaned!$D578,Table4[Product_Name],Table4[Product_Key],"not found")</f>
        <v>19</v>
      </c>
      <c r="P578" s="25">
        <f>_xlfn.XLOOKUP(Snitch_Fashion_Sales_cleaned!$I578,Table3[Order_Date],Table3[Date_Key])</f>
        <v>302</v>
      </c>
    </row>
    <row r="579" spans="1:16" x14ac:dyDescent="0.3">
      <c r="A579" s="34">
        <v>1010</v>
      </c>
      <c r="B579" s="32" t="s">
        <v>625</v>
      </c>
      <c r="C579" s="32" t="s">
        <v>36</v>
      </c>
      <c r="D579" s="33" t="s">
        <v>37</v>
      </c>
      <c r="E579" s="34">
        <v>2</v>
      </c>
      <c r="F579" s="35">
        <v>3134.69</v>
      </c>
      <c r="G579" s="36">
        <v>7.0000000000000007E-2</v>
      </c>
      <c r="H579" s="35">
        <f t="shared" si="18"/>
        <v>6269.38</v>
      </c>
      <c r="I579" s="37">
        <v>45647</v>
      </c>
      <c r="J579" s="33" t="s">
        <v>15</v>
      </c>
      <c r="K579" s="33" t="s">
        <v>23</v>
      </c>
      <c r="L579" s="38">
        <f t="shared" si="19"/>
        <v>5830.5234</v>
      </c>
      <c r="M579" s="38">
        <v>555.44000000000005</v>
      </c>
      <c r="N579" s="24">
        <f>_xlfn.XLOOKUP(Snitch_Fashion_Sales_cleaned!$J579,Table2[City],Table2[City_Key],"not found")</f>
        <v>1</v>
      </c>
      <c r="O579" s="23">
        <f>_xlfn.XLOOKUP(Snitch_Fashion_Sales_cleaned!$D579,Table4[Product_Name],Table4[Product_Key],"not found")</f>
        <v>7</v>
      </c>
      <c r="P579" s="32">
        <f>_xlfn.XLOOKUP(Snitch_Fashion_Sales_cleaned!$I579,Table3[Order_Date],Table3[Date_Key])</f>
        <v>5</v>
      </c>
    </row>
    <row r="580" spans="1:16" x14ac:dyDescent="0.3">
      <c r="A580" s="27">
        <v>1578</v>
      </c>
      <c r="B580" s="25" t="s">
        <v>626</v>
      </c>
      <c r="C580" s="25" t="s">
        <v>36</v>
      </c>
      <c r="D580" s="26" t="s">
        <v>55</v>
      </c>
      <c r="E580" s="27">
        <v>3</v>
      </c>
      <c r="F580" s="28">
        <v>2731.6350000000002</v>
      </c>
      <c r="G580" s="29">
        <v>0.51</v>
      </c>
      <c r="H580" s="28">
        <f t="shared" si="18"/>
        <v>8194.9050000000007</v>
      </c>
      <c r="I580" s="30">
        <v>45499</v>
      </c>
      <c r="J580" s="26" t="s">
        <v>2540</v>
      </c>
      <c r="K580" s="26" t="s">
        <v>16</v>
      </c>
      <c r="L580" s="31">
        <f t="shared" si="19"/>
        <v>4015.5034500000002</v>
      </c>
      <c r="M580" s="31">
        <v>2604.12</v>
      </c>
      <c r="N580" s="22">
        <f>_xlfn.XLOOKUP(Snitch_Fashion_Sales_cleaned!$J580,Table2[City],Table2[City_Key],"not found")</f>
        <v>4</v>
      </c>
      <c r="O580" s="21">
        <f>_xlfn.XLOOKUP(Snitch_Fashion_Sales_cleaned!$D580,Table4[Product_Name],Table4[Product_Key],"not found")</f>
        <v>12</v>
      </c>
      <c r="P580" s="25">
        <f>_xlfn.XLOOKUP(Snitch_Fashion_Sales_cleaned!$I580,Table3[Order_Date],Table3[Date_Key])</f>
        <v>176</v>
      </c>
    </row>
    <row r="581" spans="1:16" x14ac:dyDescent="0.3">
      <c r="A581" s="34">
        <v>1579</v>
      </c>
      <c r="B581" s="32" t="s">
        <v>627</v>
      </c>
      <c r="C581" s="32" t="s">
        <v>25</v>
      </c>
      <c r="D581" s="33" t="s">
        <v>82</v>
      </c>
      <c r="E581" s="34">
        <v>3</v>
      </c>
      <c r="F581" s="35">
        <v>2385.5749999999998</v>
      </c>
      <c r="G581" s="36">
        <v>0.51</v>
      </c>
      <c r="H581" s="35">
        <f t="shared" si="18"/>
        <v>7156.7249999999995</v>
      </c>
      <c r="I581" s="37">
        <v>45706</v>
      </c>
      <c r="J581" s="33" t="s">
        <v>52</v>
      </c>
      <c r="K581" s="33" t="s">
        <v>23</v>
      </c>
      <c r="L581" s="38">
        <f t="shared" si="19"/>
        <v>3506.7952499999997</v>
      </c>
      <c r="M581" s="38">
        <v>-155.77000000000001</v>
      </c>
      <c r="N581" s="24">
        <f>_xlfn.XLOOKUP(Snitch_Fashion_Sales_cleaned!$J581,Table2[City],Table2[City_Key],"not found")</f>
        <v>5</v>
      </c>
      <c r="O581" s="23">
        <f>_xlfn.XLOOKUP(Snitch_Fashion_Sales_cleaned!$D581,Table4[Product_Name],Table4[Product_Key],"not found")</f>
        <v>18</v>
      </c>
      <c r="P581" s="32">
        <f>_xlfn.XLOOKUP(Snitch_Fashion_Sales_cleaned!$I581,Table3[Order_Date],Table3[Date_Key])</f>
        <v>76</v>
      </c>
    </row>
    <row r="582" spans="1:16" x14ac:dyDescent="0.3">
      <c r="A582" s="27">
        <v>1580</v>
      </c>
      <c r="B582" s="25" t="s">
        <v>628</v>
      </c>
      <c r="C582" s="25" t="s">
        <v>36</v>
      </c>
      <c r="D582" s="26" t="s">
        <v>59</v>
      </c>
      <c r="E582" s="27">
        <v>3</v>
      </c>
      <c r="F582" s="28">
        <v>2765.26</v>
      </c>
      <c r="G582" s="29">
        <v>0.51</v>
      </c>
      <c r="H582" s="28">
        <f t="shared" ref="H582:H645" si="20">E582*F582</f>
        <v>8295.7800000000007</v>
      </c>
      <c r="I582" s="30">
        <v>45830</v>
      </c>
      <c r="J582" s="26" t="s">
        <v>52</v>
      </c>
      <c r="K582" s="26" t="s">
        <v>23</v>
      </c>
      <c r="L582" s="31">
        <f t="shared" ref="L582:L645" si="21">H582*(1-G582)</f>
        <v>4064.9322000000002</v>
      </c>
      <c r="M582" s="31">
        <v>-364.57</v>
      </c>
      <c r="N582" s="22">
        <f>_xlfn.XLOOKUP(Snitch_Fashion_Sales_cleaned!$J582,Table2[City],Table2[City_Key],"not found")</f>
        <v>5</v>
      </c>
      <c r="O582" s="21">
        <f>_xlfn.XLOOKUP(Snitch_Fashion_Sales_cleaned!$D582,Table4[Product_Name],Table4[Product_Key],"not found")</f>
        <v>13</v>
      </c>
      <c r="P582" s="25">
        <f>_xlfn.XLOOKUP(Snitch_Fashion_Sales_cleaned!$I582,Table3[Order_Date],Table3[Date_Key])</f>
        <v>303</v>
      </c>
    </row>
    <row r="583" spans="1:16" x14ac:dyDescent="0.3">
      <c r="A583" s="34">
        <v>1581</v>
      </c>
      <c r="B583" s="32" t="s">
        <v>629</v>
      </c>
      <c r="C583" s="32" t="s">
        <v>13</v>
      </c>
      <c r="D583" s="33" t="s">
        <v>46</v>
      </c>
      <c r="E583" s="34">
        <v>4</v>
      </c>
      <c r="F583" s="35">
        <v>2891.64</v>
      </c>
      <c r="G583" s="36">
        <v>0.51</v>
      </c>
      <c r="H583" s="35">
        <f t="shared" si="20"/>
        <v>11566.56</v>
      </c>
      <c r="I583" s="37">
        <v>45834</v>
      </c>
      <c r="J583" s="33" t="s">
        <v>15</v>
      </c>
      <c r="K583" s="33" t="s">
        <v>23</v>
      </c>
      <c r="L583" s="38">
        <f t="shared" si="21"/>
        <v>5667.6143999999995</v>
      </c>
      <c r="M583" s="38">
        <v>1109.06</v>
      </c>
      <c r="N583" s="24">
        <f>_xlfn.XLOOKUP(Snitch_Fashion_Sales_cleaned!$J583,Table2[City],Table2[City_Key],"not found")</f>
        <v>1</v>
      </c>
      <c r="O583" s="23">
        <f>_xlfn.XLOOKUP(Snitch_Fashion_Sales_cleaned!$D583,Table4[Product_Name],Table4[Product_Key],"not found")</f>
        <v>10</v>
      </c>
      <c r="P583" s="32">
        <f>_xlfn.XLOOKUP(Snitch_Fashion_Sales_cleaned!$I583,Table3[Order_Date],Table3[Date_Key])</f>
        <v>75</v>
      </c>
    </row>
    <row r="584" spans="1:16" x14ac:dyDescent="0.3">
      <c r="A584" s="27">
        <v>1582</v>
      </c>
      <c r="B584" s="25" t="s">
        <v>630</v>
      </c>
      <c r="C584" s="25" t="s">
        <v>13</v>
      </c>
      <c r="D584" s="26" t="s">
        <v>14</v>
      </c>
      <c r="E584" s="27">
        <v>1</v>
      </c>
      <c r="F584" s="28">
        <v>4809.8999999999996</v>
      </c>
      <c r="G584" s="29">
        <v>0.92</v>
      </c>
      <c r="H584" s="28">
        <f t="shared" si="20"/>
        <v>4809.8999999999996</v>
      </c>
      <c r="I584" s="30">
        <v>45563</v>
      </c>
      <c r="J584" s="26" t="s">
        <v>22</v>
      </c>
      <c r="K584" s="26" t="s">
        <v>23</v>
      </c>
      <c r="L584" s="31">
        <f t="shared" si="21"/>
        <v>384.7919999999998</v>
      </c>
      <c r="M584" s="31">
        <v>-356.01</v>
      </c>
      <c r="N584" s="22">
        <f>_xlfn.XLOOKUP(Snitch_Fashion_Sales_cleaned!$J584,Table2[City],Table2[City_Key],"not found")</f>
        <v>3</v>
      </c>
      <c r="O584" s="21">
        <f>_xlfn.XLOOKUP(Snitch_Fashion_Sales_cleaned!$D584,Table4[Product_Name],Table4[Product_Key],"not found")</f>
        <v>1</v>
      </c>
      <c r="P584" s="25">
        <f>_xlfn.XLOOKUP(Snitch_Fashion_Sales_cleaned!$I584,Table3[Order_Date],Table3[Date_Key])</f>
        <v>134</v>
      </c>
    </row>
    <row r="585" spans="1:16" x14ac:dyDescent="0.3">
      <c r="A585" s="34">
        <v>1583</v>
      </c>
      <c r="B585" s="32" t="s">
        <v>631</v>
      </c>
      <c r="C585" s="32" t="s">
        <v>36</v>
      </c>
      <c r="D585" s="33" t="s">
        <v>37</v>
      </c>
      <c r="E585" s="34">
        <v>4</v>
      </c>
      <c r="F585" s="35">
        <v>2975.64</v>
      </c>
      <c r="G585" s="36">
        <v>0.51</v>
      </c>
      <c r="H585" s="35">
        <f t="shared" si="20"/>
        <v>11902.56</v>
      </c>
      <c r="I585" s="37">
        <v>45380</v>
      </c>
      <c r="J585" s="33" t="s">
        <v>43</v>
      </c>
      <c r="K585" s="33" t="s">
        <v>23</v>
      </c>
      <c r="L585" s="38">
        <f t="shared" si="21"/>
        <v>5832.2543999999998</v>
      </c>
      <c r="M585" s="38">
        <v>829.03</v>
      </c>
      <c r="N585" s="24">
        <f>_xlfn.XLOOKUP(Snitch_Fashion_Sales_cleaned!$J585,Table2[City],Table2[City_Key],"not found")</f>
        <v>6</v>
      </c>
      <c r="O585" s="23">
        <f>_xlfn.XLOOKUP(Snitch_Fashion_Sales_cleaned!$D585,Table4[Product_Name],Table4[Product_Key],"not found")</f>
        <v>7</v>
      </c>
      <c r="P585" s="32">
        <f>_xlfn.XLOOKUP(Snitch_Fashion_Sales_cleaned!$I585,Table3[Order_Date],Table3[Date_Key])</f>
        <v>304</v>
      </c>
    </row>
    <row r="586" spans="1:16" x14ac:dyDescent="0.3">
      <c r="A586" s="27">
        <v>1584</v>
      </c>
      <c r="B586" s="25" t="s">
        <v>632</v>
      </c>
      <c r="C586" s="25" t="s">
        <v>36</v>
      </c>
      <c r="D586" s="26" t="s">
        <v>87</v>
      </c>
      <c r="E586" s="27">
        <v>5</v>
      </c>
      <c r="F586" s="28">
        <v>2889.5349999999999</v>
      </c>
      <c r="G586" s="29">
        <v>0.15</v>
      </c>
      <c r="H586" s="28">
        <f t="shared" si="20"/>
        <v>14447.674999999999</v>
      </c>
      <c r="I586" s="30">
        <v>45531</v>
      </c>
      <c r="J586" s="26" t="s">
        <v>18</v>
      </c>
      <c r="K586" s="26" t="s">
        <v>23</v>
      </c>
      <c r="L586" s="31">
        <f t="shared" si="21"/>
        <v>12280.523749999998</v>
      </c>
      <c r="M586" s="31">
        <v>2853.8</v>
      </c>
      <c r="N586" s="22">
        <f>_xlfn.XLOOKUP(Snitch_Fashion_Sales_cleaned!$J586,Table2[City],Table2[City_Key],"not found")</f>
        <v>2</v>
      </c>
      <c r="O586" s="21">
        <f>_xlfn.XLOOKUP(Snitch_Fashion_Sales_cleaned!$D586,Table4[Product_Name],Table4[Product_Key],"not found")</f>
        <v>20</v>
      </c>
      <c r="P586" s="25">
        <f>_xlfn.XLOOKUP(Snitch_Fashion_Sales_cleaned!$I586,Table3[Order_Date],Table3[Date_Key])</f>
        <v>117</v>
      </c>
    </row>
    <row r="587" spans="1:16" x14ac:dyDescent="0.3">
      <c r="A587" s="34">
        <v>1585</v>
      </c>
      <c r="B587" s="32" t="s">
        <v>633</v>
      </c>
      <c r="C587" s="32" t="s">
        <v>25</v>
      </c>
      <c r="D587" s="33" t="s">
        <v>50</v>
      </c>
      <c r="E587" s="34">
        <v>4</v>
      </c>
      <c r="F587" s="35">
        <v>2738.72</v>
      </c>
      <c r="G587" s="36">
        <v>0.89</v>
      </c>
      <c r="H587" s="35">
        <f t="shared" si="20"/>
        <v>10954.88</v>
      </c>
      <c r="I587" s="37">
        <v>45607</v>
      </c>
      <c r="J587" s="33" t="s">
        <v>15</v>
      </c>
      <c r="K587" s="33" t="s">
        <v>23</v>
      </c>
      <c r="L587" s="38">
        <f t="shared" si="21"/>
        <v>1205.0367999999999</v>
      </c>
      <c r="M587" s="38">
        <v>-709.13</v>
      </c>
      <c r="N587" s="24">
        <f>_xlfn.XLOOKUP(Snitch_Fashion_Sales_cleaned!$J587,Table2[City],Table2[City_Key],"not found")</f>
        <v>1</v>
      </c>
      <c r="O587" s="23">
        <f>_xlfn.XLOOKUP(Snitch_Fashion_Sales_cleaned!$D587,Table4[Product_Name],Table4[Product_Key],"not found")</f>
        <v>11</v>
      </c>
      <c r="P587" s="32">
        <f>_xlfn.XLOOKUP(Snitch_Fashion_Sales_cleaned!$I587,Table3[Order_Date],Table3[Date_Key])</f>
        <v>104</v>
      </c>
    </row>
    <row r="588" spans="1:16" x14ac:dyDescent="0.3">
      <c r="A588" s="27">
        <v>1586</v>
      </c>
      <c r="B588" s="25" t="s">
        <v>634</v>
      </c>
      <c r="C588" s="25" t="s">
        <v>25</v>
      </c>
      <c r="D588" s="26" t="s">
        <v>26</v>
      </c>
      <c r="E588" s="27">
        <v>4</v>
      </c>
      <c r="F588" s="28">
        <v>2933.45</v>
      </c>
      <c r="G588" s="29">
        <v>0.78</v>
      </c>
      <c r="H588" s="28">
        <f t="shared" si="20"/>
        <v>11733.8</v>
      </c>
      <c r="I588" s="30">
        <v>45508</v>
      </c>
      <c r="J588" s="26" t="s">
        <v>43</v>
      </c>
      <c r="K588" s="26" t="s">
        <v>23</v>
      </c>
      <c r="L588" s="31">
        <f t="shared" si="21"/>
        <v>2581.4359999999997</v>
      </c>
      <c r="M588" s="31">
        <v>1765.79</v>
      </c>
      <c r="N588" s="22">
        <f>_xlfn.XLOOKUP(Snitch_Fashion_Sales_cleaned!$J588,Table2[City],Table2[City_Key],"not found")</f>
        <v>6</v>
      </c>
      <c r="O588" s="21">
        <f>_xlfn.XLOOKUP(Snitch_Fashion_Sales_cleaned!$D588,Table4[Product_Name],Table4[Product_Key],"not found")</f>
        <v>3</v>
      </c>
      <c r="P588" s="25">
        <f>_xlfn.XLOOKUP(Snitch_Fashion_Sales_cleaned!$I588,Table3[Order_Date],Table3[Date_Key])</f>
        <v>188</v>
      </c>
    </row>
    <row r="589" spans="1:16" x14ac:dyDescent="0.3">
      <c r="A589" s="34">
        <v>1587</v>
      </c>
      <c r="B589" s="32" t="s">
        <v>635</v>
      </c>
      <c r="C589" s="32" t="s">
        <v>25</v>
      </c>
      <c r="D589" s="33" t="s">
        <v>26</v>
      </c>
      <c r="E589" s="34">
        <v>4</v>
      </c>
      <c r="F589" s="35">
        <v>2933.45</v>
      </c>
      <c r="G589" s="36">
        <v>0.51</v>
      </c>
      <c r="H589" s="35">
        <f t="shared" si="20"/>
        <v>11733.8</v>
      </c>
      <c r="I589" s="37">
        <v>45647</v>
      </c>
      <c r="J589" s="33" t="s">
        <v>22</v>
      </c>
      <c r="K589" s="33" t="s">
        <v>16</v>
      </c>
      <c r="L589" s="38">
        <f t="shared" si="21"/>
        <v>5749.5619999999999</v>
      </c>
      <c r="M589" s="38">
        <v>1376.9</v>
      </c>
      <c r="N589" s="24">
        <f>_xlfn.XLOOKUP(Snitch_Fashion_Sales_cleaned!$J589,Table2[City],Table2[City_Key],"not found")</f>
        <v>3</v>
      </c>
      <c r="O589" s="23">
        <f>_xlfn.XLOOKUP(Snitch_Fashion_Sales_cleaned!$D589,Table4[Product_Name],Table4[Product_Key],"not found")</f>
        <v>3</v>
      </c>
      <c r="P589" s="32">
        <f>_xlfn.XLOOKUP(Snitch_Fashion_Sales_cleaned!$I589,Table3[Order_Date],Table3[Date_Key])</f>
        <v>5</v>
      </c>
    </row>
    <row r="590" spans="1:16" x14ac:dyDescent="0.3">
      <c r="A590" s="27">
        <v>1588</v>
      </c>
      <c r="B590" s="25" t="s">
        <v>636</v>
      </c>
      <c r="C590" s="25" t="s">
        <v>28</v>
      </c>
      <c r="D590" s="26" t="s">
        <v>39</v>
      </c>
      <c r="E590" s="27">
        <v>1</v>
      </c>
      <c r="F590" s="28">
        <v>2577.6350000000002</v>
      </c>
      <c r="G590" s="29">
        <v>0.51</v>
      </c>
      <c r="H590" s="28">
        <f t="shared" si="20"/>
        <v>2577.6350000000002</v>
      </c>
      <c r="I590" s="30">
        <v>45780</v>
      </c>
      <c r="J590" s="26" t="s">
        <v>15</v>
      </c>
      <c r="K590" s="26" t="s">
        <v>23</v>
      </c>
      <c r="L590" s="31">
        <f t="shared" si="21"/>
        <v>1263.04115</v>
      </c>
      <c r="M590" s="31">
        <v>526.32000000000005</v>
      </c>
      <c r="N590" s="22">
        <f>_xlfn.XLOOKUP(Snitch_Fashion_Sales_cleaned!$J590,Table2[City],Table2[City_Key],"not found")</f>
        <v>1</v>
      </c>
      <c r="O590" s="21">
        <f>_xlfn.XLOOKUP(Snitch_Fashion_Sales_cleaned!$D590,Table4[Product_Name],Table4[Product_Key],"not found")</f>
        <v>8</v>
      </c>
      <c r="P590" s="25">
        <f>_xlfn.XLOOKUP(Snitch_Fashion_Sales_cleaned!$I590,Table3[Order_Date],Table3[Date_Key])</f>
        <v>305</v>
      </c>
    </row>
    <row r="591" spans="1:16" x14ac:dyDescent="0.3">
      <c r="A591" s="34">
        <v>1589</v>
      </c>
      <c r="B591" s="32" t="s">
        <v>637</v>
      </c>
      <c r="C591" s="32" t="s">
        <v>25</v>
      </c>
      <c r="D591" s="33" t="s">
        <v>26</v>
      </c>
      <c r="E591" s="34">
        <v>4</v>
      </c>
      <c r="F591" s="35">
        <v>527.07000000000005</v>
      </c>
      <c r="G591" s="36">
        <v>0.45</v>
      </c>
      <c r="H591" s="35">
        <f t="shared" si="20"/>
        <v>2108.2800000000002</v>
      </c>
      <c r="I591" s="37">
        <v>45647</v>
      </c>
      <c r="J591" s="33" t="s">
        <v>22</v>
      </c>
      <c r="K591" s="33" t="s">
        <v>16</v>
      </c>
      <c r="L591" s="38">
        <f t="shared" si="21"/>
        <v>1159.5540000000003</v>
      </c>
      <c r="M591" s="38">
        <v>289.88850000000008</v>
      </c>
      <c r="N591" s="24">
        <f>_xlfn.XLOOKUP(Snitch_Fashion_Sales_cleaned!$J591,Table2[City],Table2[City_Key],"not found")</f>
        <v>3</v>
      </c>
      <c r="O591" s="23">
        <f>_xlfn.XLOOKUP(Snitch_Fashion_Sales_cleaned!$D591,Table4[Product_Name],Table4[Product_Key],"not found")</f>
        <v>3</v>
      </c>
      <c r="P591" s="32">
        <f>_xlfn.XLOOKUP(Snitch_Fashion_Sales_cleaned!$I591,Table3[Order_Date],Table3[Date_Key])</f>
        <v>5</v>
      </c>
    </row>
    <row r="592" spans="1:16" x14ac:dyDescent="0.3">
      <c r="A592" s="27">
        <v>1590</v>
      </c>
      <c r="B592" s="25" t="s">
        <v>638</v>
      </c>
      <c r="C592" s="25" t="s">
        <v>36</v>
      </c>
      <c r="D592" s="26" t="s">
        <v>55</v>
      </c>
      <c r="E592" s="27">
        <v>6</v>
      </c>
      <c r="F592" s="28">
        <v>2731.6350000000002</v>
      </c>
      <c r="G592" s="29">
        <v>0.67</v>
      </c>
      <c r="H592" s="28">
        <f t="shared" si="20"/>
        <v>16389.810000000001</v>
      </c>
      <c r="I592" s="30">
        <v>45647</v>
      </c>
      <c r="J592" s="26" t="s">
        <v>2540</v>
      </c>
      <c r="K592" s="26" t="s">
        <v>23</v>
      </c>
      <c r="L592" s="31">
        <f t="shared" si="21"/>
        <v>5408.6372999999994</v>
      </c>
      <c r="M592" s="31">
        <v>-104.43</v>
      </c>
      <c r="N592" s="22">
        <f>_xlfn.XLOOKUP(Snitch_Fashion_Sales_cleaned!$J592,Table2[City],Table2[City_Key],"not found")</f>
        <v>4</v>
      </c>
      <c r="O592" s="21">
        <f>_xlfn.XLOOKUP(Snitch_Fashion_Sales_cleaned!$D592,Table4[Product_Name],Table4[Product_Key],"not found")</f>
        <v>12</v>
      </c>
      <c r="P592" s="25">
        <f>_xlfn.XLOOKUP(Snitch_Fashion_Sales_cleaned!$I592,Table3[Order_Date],Table3[Date_Key])</f>
        <v>5</v>
      </c>
    </row>
    <row r="593" spans="1:16" x14ac:dyDescent="0.3">
      <c r="A593" s="34">
        <v>1591</v>
      </c>
      <c r="B593" s="32" t="s">
        <v>639</v>
      </c>
      <c r="C593" s="32" t="s">
        <v>31</v>
      </c>
      <c r="D593" s="33" t="s">
        <v>78</v>
      </c>
      <c r="E593" s="34">
        <v>4</v>
      </c>
      <c r="F593" s="35">
        <v>2599.75</v>
      </c>
      <c r="G593" s="36">
        <v>0.51</v>
      </c>
      <c r="H593" s="35">
        <f t="shared" si="20"/>
        <v>10399</v>
      </c>
      <c r="I593" s="37">
        <v>45808</v>
      </c>
      <c r="J593" s="33" t="s">
        <v>22</v>
      </c>
      <c r="K593" s="33" t="s">
        <v>23</v>
      </c>
      <c r="L593" s="38">
        <f t="shared" si="21"/>
        <v>5095.51</v>
      </c>
      <c r="M593" s="38">
        <v>158.05000000000001</v>
      </c>
      <c r="N593" s="24">
        <f>_xlfn.XLOOKUP(Snitch_Fashion_Sales_cleaned!$J593,Table2[City],Table2[City_Key],"not found")</f>
        <v>3</v>
      </c>
      <c r="O593" s="23">
        <f>_xlfn.XLOOKUP(Snitch_Fashion_Sales_cleaned!$D593,Table4[Product_Name],Table4[Product_Key],"not found")</f>
        <v>17</v>
      </c>
      <c r="P593" s="32">
        <f>_xlfn.XLOOKUP(Snitch_Fashion_Sales_cleaned!$I593,Table3[Order_Date],Table3[Date_Key])</f>
        <v>306</v>
      </c>
    </row>
    <row r="594" spans="1:16" x14ac:dyDescent="0.3">
      <c r="A594" s="27">
        <v>1592</v>
      </c>
      <c r="B594" s="25" t="s">
        <v>640</v>
      </c>
      <c r="C594" s="25" t="s">
        <v>25</v>
      </c>
      <c r="D594" s="26" t="s">
        <v>50</v>
      </c>
      <c r="E594" s="27">
        <v>5</v>
      </c>
      <c r="F594" s="28">
        <v>2666.2200000000003</v>
      </c>
      <c r="G594" s="29">
        <v>0.52</v>
      </c>
      <c r="H594" s="28">
        <f t="shared" si="20"/>
        <v>13331.100000000002</v>
      </c>
      <c r="I594" s="30">
        <v>45657</v>
      </c>
      <c r="J594" s="26" t="s">
        <v>22</v>
      </c>
      <c r="K594" s="26" t="s">
        <v>23</v>
      </c>
      <c r="L594" s="31">
        <f t="shared" si="21"/>
        <v>6398.9280000000008</v>
      </c>
      <c r="M594" s="31">
        <v>619.25</v>
      </c>
      <c r="N594" s="22">
        <f>_xlfn.XLOOKUP(Snitch_Fashion_Sales_cleaned!$J594,Table2[City],Table2[City_Key],"not found")</f>
        <v>3</v>
      </c>
      <c r="O594" s="21">
        <f>_xlfn.XLOOKUP(Snitch_Fashion_Sales_cleaned!$D594,Table4[Product_Name],Table4[Product_Key],"not found")</f>
        <v>11</v>
      </c>
      <c r="P594" s="25">
        <f>_xlfn.XLOOKUP(Snitch_Fashion_Sales_cleaned!$I594,Table3[Order_Date],Table3[Date_Key])</f>
        <v>82</v>
      </c>
    </row>
    <row r="595" spans="1:16" x14ac:dyDescent="0.3">
      <c r="A595" s="34">
        <v>1593</v>
      </c>
      <c r="B595" s="32" t="s">
        <v>641</v>
      </c>
      <c r="C595" s="32" t="s">
        <v>31</v>
      </c>
      <c r="D595" s="33" t="s">
        <v>78</v>
      </c>
      <c r="E595" s="34">
        <v>4</v>
      </c>
      <c r="F595" s="35">
        <v>2599.75</v>
      </c>
      <c r="G595" s="36">
        <v>0.51</v>
      </c>
      <c r="H595" s="35">
        <f t="shared" si="20"/>
        <v>10399</v>
      </c>
      <c r="I595" s="37">
        <v>45721</v>
      </c>
      <c r="J595" s="33" t="s">
        <v>22</v>
      </c>
      <c r="K595" s="33" t="s">
        <v>23</v>
      </c>
      <c r="L595" s="38">
        <f t="shared" si="21"/>
        <v>5095.51</v>
      </c>
      <c r="M595" s="38">
        <v>2598.9299999999998</v>
      </c>
      <c r="N595" s="24">
        <f>_xlfn.XLOOKUP(Snitch_Fashion_Sales_cleaned!$J595,Table2[City],Table2[City_Key],"not found")</f>
        <v>3</v>
      </c>
      <c r="O595" s="23">
        <f>_xlfn.XLOOKUP(Snitch_Fashion_Sales_cleaned!$D595,Table4[Product_Name],Table4[Product_Key],"not found")</f>
        <v>17</v>
      </c>
      <c r="P595" s="32">
        <f>_xlfn.XLOOKUP(Snitch_Fashion_Sales_cleaned!$I595,Table3[Order_Date],Table3[Date_Key])</f>
        <v>307</v>
      </c>
    </row>
    <row r="596" spans="1:16" x14ac:dyDescent="0.3">
      <c r="A596" s="27">
        <v>1594</v>
      </c>
      <c r="B596" s="25" t="s">
        <v>642</v>
      </c>
      <c r="C596" s="25" t="s">
        <v>13</v>
      </c>
      <c r="D596" s="26" t="s">
        <v>46</v>
      </c>
      <c r="E596" s="27">
        <v>4</v>
      </c>
      <c r="F596" s="28">
        <v>3784.99</v>
      </c>
      <c r="G596" s="29">
        <v>0.51</v>
      </c>
      <c r="H596" s="28">
        <f t="shared" si="20"/>
        <v>15139.96</v>
      </c>
      <c r="I596" s="30">
        <v>45647</v>
      </c>
      <c r="J596" s="26" t="s">
        <v>2540</v>
      </c>
      <c r="K596" s="26" t="s">
        <v>23</v>
      </c>
      <c r="L596" s="31">
        <f t="shared" si="21"/>
        <v>7418.5803999999998</v>
      </c>
      <c r="M596" s="31">
        <v>346.37</v>
      </c>
      <c r="N596" s="22">
        <f>_xlfn.XLOOKUP(Snitch_Fashion_Sales_cleaned!$J596,Table2[City],Table2[City_Key],"not found")</f>
        <v>4</v>
      </c>
      <c r="O596" s="21">
        <f>_xlfn.XLOOKUP(Snitch_Fashion_Sales_cleaned!$D596,Table4[Product_Name],Table4[Product_Key],"not found")</f>
        <v>10</v>
      </c>
      <c r="P596" s="25">
        <f>_xlfn.XLOOKUP(Snitch_Fashion_Sales_cleaned!$I596,Table3[Order_Date],Table3[Date_Key])</f>
        <v>5</v>
      </c>
    </row>
    <row r="597" spans="1:16" x14ac:dyDescent="0.3">
      <c r="A597" s="34">
        <v>1595</v>
      </c>
      <c r="B597" s="32" t="s">
        <v>643</v>
      </c>
      <c r="C597" s="32" t="s">
        <v>36</v>
      </c>
      <c r="D597" s="33" t="s">
        <v>87</v>
      </c>
      <c r="E597" s="34">
        <v>4</v>
      </c>
      <c r="F597" s="35">
        <v>2889.5349999999999</v>
      </c>
      <c r="G597" s="36">
        <v>0.51</v>
      </c>
      <c r="H597" s="35">
        <f t="shared" si="20"/>
        <v>11558.14</v>
      </c>
      <c r="I597" s="37">
        <v>45858</v>
      </c>
      <c r="J597" s="33" t="s">
        <v>22</v>
      </c>
      <c r="K597" s="33" t="s">
        <v>16</v>
      </c>
      <c r="L597" s="38">
        <f t="shared" si="21"/>
        <v>5663.4885999999997</v>
      </c>
      <c r="M597" s="38">
        <v>1483.7</v>
      </c>
      <c r="N597" s="24">
        <f>_xlfn.XLOOKUP(Snitch_Fashion_Sales_cleaned!$J597,Table2[City],Table2[City_Key],"not found")</f>
        <v>3</v>
      </c>
      <c r="O597" s="23">
        <f>_xlfn.XLOOKUP(Snitch_Fashion_Sales_cleaned!$D597,Table4[Product_Name],Table4[Product_Key],"not found")</f>
        <v>20</v>
      </c>
      <c r="P597" s="32">
        <f>_xlfn.XLOOKUP(Snitch_Fashion_Sales_cleaned!$I597,Table3[Order_Date],Table3[Date_Key])</f>
        <v>8</v>
      </c>
    </row>
    <row r="598" spans="1:16" x14ac:dyDescent="0.3">
      <c r="A598" s="27">
        <v>1596</v>
      </c>
      <c r="B598" s="25" t="s">
        <v>644</v>
      </c>
      <c r="C598" s="25" t="s">
        <v>20</v>
      </c>
      <c r="D598" s="26" t="s">
        <v>21</v>
      </c>
      <c r="E598" s="27">
        <v>3</v>
      </c>
      <c r="F598" s="28">
        <v>738.29</v>
      </c>
      <c r="G598" s="29">
        <v>0.51</v>
      </c>
      <c r="H598" s="28">
        <f t="shared" si="20"/>
        <v>2214.87</v>
      </c>
      <c r="I598" s="30">
        <v>45558</v>
      </c>
      <c r="J598" s="26" t="s">
        <v>18</v>
      </c>
      <c r="K598" s="26" t="s">
        <v>23</v>
      </c>
      <c r="L598" s="31">
        <f t="shared" si="21"/>
        <v>1085.2863</v>
      </c>
      <c r="M598" s="31">
        <v>-871.38</v>
      </c>
      <c r="N598" s="22">
        <f>_xlfn.XLOOKUP(Snitch_Fashion_Sales_cleaned!$J598,Table2[City],Table2[City_Key],"not found")</f>
        <v>2</v>
      </c>
      <c r="O598" s="21">
        <f>_xlfn.XLOOKUP(Snitch_Fashion_Sales_cleaned!$D598,Table4[Product_Name],Table4[Product_Key],"not found")</f>
        <v>2</v>
      </c>
      <c r="P598" s="25">
        <f>_xlfn.XLOOKUP(Snitch_Fashion_Sales_cleaned!$I598,Table3[Order_Date],Table3[Date_Key])</f>
        <v>168</v>
      </c>
    </row>
    <row r="599" spans="1:16" x14ac:dyDescent="0.3">
      <c r="A599" s="34">
        <v>1597</v>
      </c>
      <c r="B599" s="32" t="s">
        <v>645</v>
      </c>
      <c r="C599" s="32" t="s">
        <v>31</v>
      </c>
      <c r="D599" s="33" t="s">
        <v>32</v>
      </c>
      <c r="E599" s="34">
        <v>1</v>
      </c>
      <c r="F599" s="35">
        <v>657.51</v>
      </c>
      <c r="G599" s="36">
        <v>0.77</v>
      </c>
      <c r="H599" s="35">
        <f t="shared" si="20"/>
        <v>657.51</v>
      </c>
      <c r="I599" s="37">
        <v>45508</v>
      </c>
      <c r="J599" s="33" t="s">
        <v>15</v>
      </c>
      <c r="K599" s="33" t="s">
        <v>16</v>
      </c>
      <c r="L599" s="38">
        <f t="shared" si="21"/>
        <v>151.22729999999999</v>
      </c>
      <c r="M599" s="38">
        <v>37.806824999999996</v>
      </c>
      <c r="N599" s="24">
        <f>_xlfn.XLOOKUP(Snitch_Fashion_Sales_cleaned!$J599,Table2[City],Table2[City_Key],"not found")</f>
        <v>1</v>
      </c>
      <c r="O599" s="23">
        <f>_xlfn.XLOOKUP(Snitch_Fashion_Sales_cleaned!$D599,Table4[Product_Name],Table4[Product_Key],"not found")</f>
        <v>5</v>
      </c>
      <c r="P599" s="32">
        <f>_xlfn.XLOOKUP(Snitch_Fashion_Sales_cleaned!$I599,Table3[Order_Date],Table3[Date_Key])</f>
        <v>188</v>
      </c>
    </row>
    <row r="600" spans="1:16" x14ac:dyDescent="0.3">
      <c r="A600" s="27">
        <v>1598</v>
      </c>
      <c r="B600" s="25" t="s">
        <v>646</v>
      </c>
      <c r="C600" s="25" t="s">
        <v>20</v>
      </c>
      <c r="D600" s="26" t="s">
        <v>84</v>
      </c>
      <c r="E600" s="27">
        <v>3</v>
      </c>
      <c r="F600" s="28">
        <v>3311.31</v>
      </c>
      <c r="G600" s="29">
        <v>0.51</v>
      </c>
      <c r="H600" s="28">
        <f t="shared" si="20"/>
        <v>9933.93</v>
      </c>
      <c r="I600" s="30">
        <v>45647</v>
      </c>
      <c r="J600" s="26" t="s">
        <v>43</v>
      </c>
      <c r="K600" s="26" t="s">
        <v>23</v>
      </c>
      <c r="L600" s="31">
        <f t="shared" si="21"/>
        <v>4867.6257000000005</v>
      </c>
      <c r="M600" s="31">
        <v>2944.25</v>
      </c>
      <c r="N600" s="22">
        <f>_xlfn.XLOOKUP(Snitch_Fashion_Sales_cleaned!$J600,Table2[City],Table2[City_Key],"not found")</f>
        <v>6</v>
      </c>
      <c r="O600" s="21">
        <f>_xlfn.XLOOKUP(Snitch_Fashion_Sales_cleaned!$D600,Table4[Product_Name],Table4[Product_Key],"not found")</f>
        <v>19</v>
      </c>
      <c r="P600" s="25">
        <f>_xlfn.XLOOKUP(Snitch_Fashion_Sales_cleaned!$I600,Table3[Order_Date],Table3[Date_Key])</f>
        <v>5</v>
      </c>
    </row>
    <row r="601" spans="1:16" x14ac:dyDescent="0.3">
      <c r="A601" s="34">
        <v>1599</v>
      </c>
      <c r="B601" s="32" t="s">
        <v>647</v>
      </c>
      <c r="C601" s="32" t="s">
        <v>20</v>
      </c>
      <c r="D601" s="33" t="s">
        <v>76</v>
      </c>
      <c r="E601" s="34">
        <v>3</v>
      </c>
      <c r="F601" s="35">
        <v>2229.4899999999998</v>
      </c>
      <c r="G601" s="36">
        <v>0.51</v>
      </c>
      <c r="H601" s="35">
        <f t="shared" si="20"/>
        <v>6688.4699999999993</v>
      </c>
      <c r="I601" s="37">
        <v>45750</v>
      </c>
      <c r="J601" s="33" t="s">
        <v>22</v>
      </c>
      <c r="K601" s="33" t="s">
        <v>23</v>
      </c>
      <c r="L601" s="38">
        <f t="shared" si="21"/>
        <v>3277.3502999999996</v>
      </c>
      <c r="M601" s="38">
        <v>790.51</v>
      </c>
      <c r="N601" s="24">
        <f>_xlfn.XLOOKUP(Snitch_Fashion_Sales_cleaned!$J601,Table2[City],Table2[City_Key],"not found")</f>
        <v>3</v>
      </c>
      <c r="O601" s="23">
        <f>_xlfn.XLOOKUP(Snitch_Fashion_Sales_cleaned!$D601,Table4[Product_Name],Table4[Product_Key],"not found")</f>
        <v>16</v>
      </c>
      <c r="P601" s="32">
        <f>_xlfn.XLOOKUP(Snitch_Fashion_Sales_cleaned!$I601,Table3[Order_Date],Table3[Date_Key])</f>
        <v>308</v>
      </c>
    </row>
    <row r="602" spans="1:16" x14ac:dyDescent="0.3">
      <c r="A602" s="27">
        <v>1600</v>
      </c>
      <c r="B602" s="25" t="s">
        <v>648</v>
      </c>
      <c r="C602" s="25" t="s">
        <v>28</v>
      </c>
      <c r="D602" s="26" t="s">
        <v>116</v>
      </c>
      <c r="E602" s="27">
        <v>4</v>
      </c>
      <c r="F602" s="28">
        <v>2785.79</v>
      </c>
      <c r="G602" s="29">
        <v>0.51</v>
      </c>
      <c r="H602" s="28">
        <f t="shared" si="20"/>
        <v>11143.16</v>
      </c>
      <c r="I602" s="30">
        <v>45156</v>
      </c>
      <c r="J602" s="26" t="s">
        <v>18</v>
      </c>
      <c r="K602" s="26" t="s">
        <v>23</v>
      </c>
      <c r="L602" s="31">
        <f t="shared" si="21"/>
        <v>5460.1484</v>
      </c>
      <c r="M602" s="31">
        <v>-605.05999999999995</v>
      </c>
      <c r="N602" s="22">
        <f>_xlfn.XLOOKUP(Snitch_Fashion_Sales_cleaned!$J602,Table2[City],Table2[City_Key],"not found")</f>
        <v>2</v>
      </c>
      <c r="O602" s="21">
        <f>_xlfn.XLOOKUP(Snitch_Fashion_Sales_cleaned!$D602,Table4[Product_Name],Table4[Product_Key],"not found")</f>
        <v>22</v>
      </c>
      <c r="P602" s="25">
        <f>_xlfn.XLOOKUP(Snitch_Fashion_Sales_cleaned!$I602,Table3[Order_Date],Table3[Date_Key])</f>
        <v>309</v>
      </c>
    </row>
    <row r="603" spans="1:16" x14ac:dyDescent="0.3">
      <c r="A603" s="34">
        <v>1601</v>
      </c>
      <c r="B603" s="32" t="s">
        <v>649</v>
      </c>
      <c r="C603" s="32" t="s">
        <v>28</v>
      </c>
      <c r="D603" s="33" t="s">
        <v>29</v>
      </c>
      <c r="E603" s="34">
        <v>3</v>
      </c>
      <c r="F603" s="35">
        <v>2515.415</v>
      </c>
      <c r="G603" s="36">
        <v>0.51</v>
      </c>
      <c r="H603" s="35">
        <f t="shared" si="20"/>
        <v>7546.2449999999999</v>
      </c>
      <c r="I603" s="37">
        <v>45511</v>
      </c>
      <c r="J603" s="33" t="s">
        <v>22</v>
      </c>
      <c r="K603" s="33" t="s">
        <v>23</v>
      </c>
      <c r="L603" s="38">
        <f t="shared" si="21"/>
        <v>3697.66005</v>
      </c>
      <c r="M603" s="38">
        <v>1282.26</v>
      </c>
      <c r="N603" s="24">
        <f>_xlfn.XLOOKUP(Snitch_Fashion_Sales_cleaned!$J603,Table2[City],Table2[City_Key],"not found")</f>
        <v>3</v>
      </c>
      <c r="O603" s="23">
        <f>_xlfn.XLOOKUP(Snitch_Fashion_Sales_cleaned!$D603,Table4[Product_Name],Table4[Product_Key],"not found")</f>
        <v>4</v>
      </c>
      <c r="P603" s="32">
        <f>_xlfn.XLOOKUP(Snitch_Fashion_Sales_cleaned!$I603,Table3[Order_Date],Table3[Date_Key])</f>
        <v>83</v>
      </c>
    </row>
    <row r="604" spans="1:16" x14ac:dyDescent="0.3">
      <c r="A604" s="27">
        <v>1602</v>
      </c>
      <c r="B604" s="25" t="s">
        <v>650</v>
      </c>
      <c r="C604" s="25" t="s">
        <v>36</v>
      </c>
      <c r="D604" s="26" t="s">
        <v>59</v>
      </c>
      <c r="E604" s="27">
        <v>3</v>
      </c>
      <c r="F604" s="28">
        <v>4256.43</v>
      </c>
      <c r="G604" s="29">
        <v>0.51</v>
      </c>
      <c r="H604" s="28">
        <f t="shared" si="20"/>
        <v>12769.29</v>
      </c>
      <c r="I604" s="30">
        <v>45804</v>
      </c>
      <c r="J604" s="26" t="s">
        <v>2540</v>
      </c>
      <c r="K604" s="26" t="s">
        <v>23</v>
      </c>
      <c r="L604" s="31">
        <f t="shared" si="21"/>
        <v>6256.9521000000004</v>
      </c>
      <c r="M604" s="31">
        <v>2472.73</v>
      </c>
      <c r="N604" s="22">
        <f>_xlfn.XLOOKUP(Snitch_Fashion_Sales_cleaned!$J604,Table2[City],Table2[City_Key],"not found")</f>
        <v>4</v>
      </c>
      <c r="O604" s="21">
        <f>_xlfn.XLOOKUP(Snitch_Fashion_Sales_cleaned!$D604,Table4[Product_Name],Table4[Product_Key],"not found")</f>
        <v>13</v>
      </c>
      <c r="P604" s="25">
        <f>_xlfn.XLOOKUP(Snitch_Fashion_Sales_cleaned!$I604,Table3[Order_Date],Table3[Date_Key])</f>
        <v>9</v>
      </c>
    </row>
    <row r="605" spans="1:16" x14ac:dyDescent="0.3">
      <c r="A605" s="34">
        <v>1603</v>
      </c>
      <c r="B605" s="32" t="s">
        <v>651</v>
      </c>
      <c r="C605" s="32" t="s">
        <v>20</v>
      </c>
      <c r="D605" s="33" t="s">
        <v>76</v>
      </c>
      <c r="E605" s="34">
        <v>3</v>
      </c>
      <c r="F605" s="35">
        <v>2229.4899999999998</v>
      </c>
      <c r="G605" s="36">
        <v>0.51</v>
      </c>
      <c r="H605" s="35">
        <f t="shared" si="20"/>
        <v>6688.4699999999993</v>
      </c>
      <c r="I605" s="37">
        <v>45647</v>
      </c>
      <c r="J605" s="33" t="s">
        <v>18</v>
      </c>
      <c r="K605" s="33" t="s">
        <v>23</v>
      </c>
      <c r="L605" s="38">
        <f t="shared" si="21"/>
        <v>3277.3502999999996</v>
      </c>
      <c r="M605" s="38">
        <v>2700.72</v>
      </c>
      <c r="N605" s="24">
        <f>_xlfn.XLOOKUP(Snitch_Fashion_Sales_cleaned!$J605,Table2[City],Table2[City_Key],"not found")</f>
        <v>2</v>
      </c>
      <c r="O605" s="23">
        <f>_xlfn.XLOOKUP(Snitch_Fashion_Sales_cleaned!$D605,Table4[Product_Name],Table4[Product_Key],"not found")</f>
        <v>16</v>
      </c>
      <c r="P605" s="32">
        <f>_xlfn.XLOOKUP(Snitch_Fashion_Sales_cleaned!$I605,Table3[Order_Date],Table3[Date_Key])</f>
        <v>5</v>
      </c>
    </row>
    <row r="606" spans="1:16" x14ac:dyDescent="0.3">
      <c r="A606" s="27">
        <v>1604</v>
      </c>
      <c r="B606" s="25" t="s">
        <v>652</v>
      </c>
      <c r="C606" s="25" t="s">
        <v>31</v>
      </c>
      <c r="D606" s="26" t="s">
        <v>78</v>
      </c>
      <c r="E606" s="27">
        <v>4</v>
      </c>
      <c r="F606" s="28">
        <v>2599.75</v>
      </c>
      <c r="G606" s="29">
        <v>0.51</v>
      </c>
      <c r="H606" s="28">
        <f t="shared" si="20"/>
        <v>10399</v>
      </c>
      <c r="I606" s="30">
        <v>45552</v>
      </c>
      <c r="J606" s="26" t="s">
        <v>2540</v>
      </c>
      <c r="K606" s="26" t="s">
        <v>23</v>
      </c>
      <c r="L606" s="31">
        <f t="shared" si="21"/>
        <v>5095.51</v>
      </c>
      <c r="M606" s="31">
        <v>2976.74</v>
      </c>
      <c r="N606" s="22">
        <f>_xlfn.XLOOKUP(Snitch_Fashion_Sales_cleaned!$J606,Table2[City],Table2[City_Key],"not found")</f>
        <v>4</v>
      </c>
      <c r="O606" s="21">
        <f>_xlfn.XLOOKUP(Snitch_Fashion_Sales_cleaned!$D606,Table4[Product_Name],Table4[Product_Key],"not found")</f>
        <v>17</v>
      </c>
      <c r="P606" s="25">
        <f>_xlfn.XLOOKUP(Snitch_Fashion_Sales_cleaned!$I606,Table3[Order_Date],Table3[Date_Key])</f>
        <v>310</v>
      </c>
    </row>
    <row r="607" spans="1:16" x14ac:dyDescent="0.3">
      <c r="A607" s="34">
        <v>1605</v>
      </c>
      <c r="B607" s="32" t="s">
        <v>653</v>
      </c>
      <c r="C607" s="32" t="s">
        <v>28</v>
      </c>
      <c r="D607" s="33" t="s">
        <v>116</v>
      </c>
      <c r="E607" s="34">
        <v>4</v>
      </c>
      <c r="F607" s="35">
        <v>2785.79</v>
      </c>
      <c r="G607" s="36">
        <v>0.47</v>
      </c>
      <c r="H607" s="35">
        <f t="shared" si="20"/>
        <v>11143.16</v>
      </c>
      <c r="I607" s="37">
        <v>45661</v>
      </c>
      <c r="J607" s="33" t="s">
        <v>52</v>
      </c>
      <c r="K607" s="33" t="s">
        <v>16</v>
      </c>
      <c r="L607" s="38">
        <f t="shared" si="21"/>
        <v>5905.8748000000005</v>
      </c>
      <c r="M607" s="38">
        <v>-339.59</v>
      </c>
      <c r="N607" s="24">
        <f>_xlfn.XLOOKUP(Snitch_Fashion_Sales_cleaned!$J607,Table2[City],Table2[City_Key],"not found")</f>
        <v>5</v>
      </c>
      <c r="O607" s="23">
        <f>_xlfn.XLOOKUP(Snitch_Fashion_Sales_cleaned!$D607,Table4[Product_Name],Table4[Product_Key],"not found")</f>
        <v>22</v>
      </c>
      <c r="P607" s="32">
        <f>_xlfn.XLOOKUP(Snitch_Fashion_Sales_cleaned!$I607,Table3[Order_Date],Table3[Date_Key])</f>
        <v>63</v>
      </c>
    </row>
    <row r="608" spans="1:16" x14ac:dyDescent="0.3">
      <c r="A608" s="27">
        <v>1606</v>
      </c>
      <c r="B608" s="25" t="s">
        <v>654</v>
      </c>
      <c r="C608" s="25" t="s">
        <v>31</v>
      </c>
      <c r="D608" s="26" t="s">
        <v>78</v>
      </c>
      <c r="E608" s="27">
        <v>6</v>
      </c>
      <c r="F608" s="28">
        <v>2599.75</v>
      </c>
      <c r="G608" s="29">
        <v>0.51</v>
      </c>
      <c r="H608" s="28">
        <f t="shared" si="20"/>
        <v>15598.5</v>
      </c>
      <c r="I608" s="30">
        <v>45694</v>
      </c>
      <c r="J608" s="26" t="s">
        <v>15</v>
      </c>
      <c r="K608" s="26" t="s">
        <v>23</v>
      </c>
      <c r="L608" s="31">
        <f t="shared" si="21"/>
        <v>7643.2649999999994</v>
      </c>
      <c r="M608" s="31">
        <v>-527.17999999999995</v>
      </c>
      <c r="N608" s="22">
        <f>_xlfn.XLOOKUP(Snitch_Fashion_Sales_cleaned!$J608,Table2[City],Table2[City_Key],"not found")</f>
        <v>1</v>
      </c>
      <c r="O608" s="21">
        <f>_xlfn.XLOOKUP(Snitch_Fashion_Sales_cleaned!$D608,Table4[Product_Name],Table4[Product_Key],"not found")</f>
        <v>17</v>
      </c>
      <c r="P608" s="25">
        <f>_xlfn.XLOOKUP(Snitch_Fashion_Sales_cleaned!$I608,Table3[Order_Date],Table3[Date_Key])</f>
        <v>175</v>
      </c>
    </row>
    <row r="609" spans="1:16" x14ac:dyDescent="0.3">
      <c r="A609" s="34">
        <v>1607</v>
      </c>
      <c r="B609" s="32" t="s">
        <v>655</v>
      </c>
      <c r="C609" s="32" t="s">
        <v>25</v>
      </c>
      <c r="D609" s="33" t="s">
        <v>26</v>
      </c>
      <c r="E609" s="34">
        <v>4</v>
      </c>
      <c r="F609" s="35">
        <v>4941.2700000000004</v>
      </c>
      <c r="G609" s="36">
        <v>0.51</v>
      </c>
      <c r="H609" s="35">
        <f t="shared" si="20"/>
        <v>19765.080000000002</v>
      </c>
      <c r="I609" s="37">
        <v>45207</v>
      </c>
      <c r="J609" s="33" t="s">
        <v>15</v>
      </c>
      <c r="K609" s="33" t="s">
        <v>16</v>
      </c>
      <c r="L609" s="38">
        <f t="shared" si="21"/>
        <v>9684.8892000000014</v>
      </c>
      <c r="M609" s="38">
        <v>515.05999999999995</v>
      </c>
      <c r="N609" s="24">
        <f>_xlfn.XLOOKUP(Snitch_Fashion_Sales_cleaned!$J609,Table2[City],Table2[City_Key],"not found")</f>
        <v>1</v>
      </c>
      <c r="O609" s="23">
        <f>_xlfn.XLOOKUP(Snitch_Fashion_Sales_cleaned!$D609,Table4[Product_Name],Table4[Product_Key],"not found")</f>
        <v>3</v>
      </c>
      <c r="P609" s="32">
        <f>_xlfn.XLOOKUP(Snitch_Fashion_Sales_cleaned!$I609,Table3[Order_Date],Table3[Date_Key])</f>
        <v>311</v>
      </c>
    </row>
    <row r="610" spans="1:16" x14ac:dyDescent="0.3">
      <c r="A610" s="27">
        <v>1608</v>
      </c>
      <c r="B610" s="25" t="s">
        <v>656</v>
      </c>
      <c r="C610" s="25" t="s">
        <v>25</v>
      </c>
      <c r="D610" s="26" t="s">
        <v>62</v>
      </c>
      <c r="E610" s="27">
        <v>3</v>
      </c>
      <c r="F610" s="28">
        <v>3536.61</v>
      </c>
      <c r="G610" s="29">
        <v>0.79</v>
      </c>
      <c r="H610" s="28">
        <f t="shared" si="20"/>
        <v>10609.83</v>
      </c>
      <c r="I610" s="30">
        <v>45708</v>
      </c>
      <c r="J610" s="26" t="s">
        <v>22</v>
      </c>
      <c r="K610" s="26" t="s">
        <v>16</v>
      </c>
      <c r="L610" s="31">
        <f t="shared" si="21"/>
        <v>2228.0642999999995</v>
      </c>
      <c r="M610" s="31">
        <v>-55.01</v>
      </c>
      <c r="N610" s="22">
        <f>_xlfn.XLOOKUP(Snitch_Fashion_Sales_cleaned!$J610,Table2[City],Table2[City_Key],"not found")</f>
        <v>3</v>
      </c>
      <c r="O610" s="21">
        <f>_xlfn.XLOOKUP(Snitch_Fashion_Sales_cleaned!$D610,Table4[Product_Name],Table4[Product_Key],"not found")</f>
        <v>14</v>
      </c>
      <c r="P610" s="25">
        <f>_xlfn.XLOOKUP(Snitch_Fashion_Sales_cleaned!$I610,Table3[Order_Date],Table3[Date_Key])</f>
        <v>258</v>
      </c>
    </row>
    <row r="611" spans="1:16" x14ac:dyDescent="0.3">
      <c r="A611" s="34">
        <v>1609</v>
      </c>
      <c r="B611" s="32" t="s">
        <v>657</v>
      </c>
      <c r="C611" s="32" t="s">
        <v>25</v>
      </c>
      <c r="D611" s="33" t="s">
        <v>26</v>
      </c>
      <c r="E611" s="34">
        <v>4</v>
      </c>
      <c r="F611" s="35">
        <v>2933.45</v>
      </c>
      <c r="G611" s="36">
        <v>0.51</v>
      </c>
      <c r="H611" s="35">
        <f t="shared" si="20"/>
        <v>11733.8</v>
      </c>
      <c r="I611" s="37">
        <v>45855</v>
      </c>
      <c r="J611" s="33" t="s">
        <v>52</v>
      </c>
      <c r="K611" s="33" t="s">
        <v>16</v>
      </c>
      <c r="L611" s="38">
        <f t="shared" si="21"/>
        <v>5749.5619999999999</v>
      </c>
      <c r="M611" s="38">
        <v>-939.39</v>
      </c>
      <c r="N611" s="24">
        <f>_xlfn.XLOOKUP(Snitch_Fashion_Sales_cleaned!$J611,Table2[City],Table2[City_Key],"not found")</f>
        <v>5</v>
      </c>
      <c r="O611" s="23">
        <f>_xlfn.XLOOKUP(Snitch_Fashion_Sales_cleaned!$D611,Table4[Product_Name],Table4[Product_Key],"not found")</f>
        <v>3</v>
      </c>
      <c r="P611" s="32">
        <f>_xlfn.XLOOKUP(Snitch_Fashion_Sales_cleaned!$I611,Table3[Order_Date],Table3[Date_Key])</f>
        <v>97</v>
      </c>
    </row>
    <row r="612" spans="1:16" x14ac:dyDescent="0.3">
      <c r="A612" s="27">
        <v>1610</v>
      </c>
      <c r="B612" s="25" t="s">
        <v>658</v>
      </c>
      <c r="C612" s="25" t="s">
        <v>13</v>
      </c>
      <c r="D612" s="26" t="s">
        <v>46</v>
      </c>
      <c r="E612" s="27">
        <v>5</v>
      </c>
      <c r="F612" s="28">
        <v>2891.64</v>
      </c>
      <c r="G612" s="29">
        <v>0.51</v>
      </c>
      <c r="H612" s="28">
        <f t="shared" si="20"/>
        <v>14458.199999999999</v>
      </c>
      <c r="I612" s="30">
        <v>45806</v>
      </c>
      <c r="J612" s="26" t="s">
        <v>52</v>
      </c>
      <c r="K612" s="26" t="s">
        <v>23</v>
      </c>
      <c r="L612" s="31">
        <f t="shared" si="21"/>
        <v>7084.5179999999991</v>
      </c>
      <c r="M612" s="31">
        <v>-361.65</v>
      </c>
      <c r="N612" s="22">
        <f>_xlfn.XLOOKUP(Snitch_Fashion_Sales_cleaned!$J612,Table2[City],Table2[City_Key],"not found")</f>
        <v>5</v>
      </c>
      <c r="O612" s="21">
        <f>_xlfn.XLOOKUP(Snitch_Fashion_Sales_cleaned!$D612,Table4[Product_Name],Table4[Product_Key],"not found")</f>
        <v>10</v>
      </c>
      <c r="P612" s="25">
        <f>_xlfn.XLOOKUP(Snitch_Fashion_Sales_cleaned!$I612,Table3[Order_Date],Table3[Date_Key])</f>
        <v>183</v>
      </c>
    </row>
    <row r="613" spans="1:16" x14ac:dyDescent="0.3">
      <c r="A613" s="34">
        <v>1611</v>
      </c>
      <c r="B613" s="32" t="s">
        <v>659</v>
      </c>
      <c r="C613" s="32" t="s">
        <v>31</v>
      </c>
      <c r="D613" s="33" t="s">
        <v>78</v>
      </c>
      <c r="E613" s="34">
        <v>4</v>
      </c>
      <c r="F613" s="35">
        <v>2599.75</v>
      </c>
      <c r="G613" s="36">
        <v>0.51</v>
      </c>
      <c r="H613" s="35">
        <f t="shared" si="20"/>
        <v>10399</v>
      </c>
      <c r="I613" s="37">
        <v>45604</v>
      </c>
      <c r="J613" s="33" t="s">
        <v>15</v>
      </c>
      <c r="K613" s="33" t="s">
        <v>23</v>
      </c>
      <c r="L613" s="38">
        <f t="shared" si="21"/>
        <v>5095.51</v>
      </c>
      <c r="M613" s="38">
        <v>-351.41</v>
      </c>
      <c r="N613" s="24">
        <f>_xlfn.XLOOKUP(Snitch_Fashion_Sales_cleaned!$J613,Table2[City],Table2[City_Key],"not found")</f>
        <v>1</v>
      </c>
      <c r="O613" s="23">
        <f>_xlfn.XLOOKUP(Snitch_Fashion_Sales_cleaned!$D613,Table4[Product_Name],Table4[Product_Key],"not found")</f>
        <v>17</v>
      </c>
      <c r="P613" s="32">
        <f>_xlfn.XLOOKUP(Snitch_Fashion_Sales_cleaned!$I613,Table3[Order_Date],Table3[Date_Key])</f>
        <v>101</v>
      </c>
    </row>
    <row r="614" spans="1:16" x14ac:dyDescent="0.3">
      <c r="A614" s="27">
        <v>1612</v>
      </c>
      <c r="B614" s="25" t="s">
        <v>660</v>
      </c>
      <c r="C614" s="25" t="s">
        <v>20</v>
      </c>
      <c r="D614" s="26" t="s">
        <v>21</v>
      </c>
      <c r="E614" s="27">
        <v>5</v>
      </c>
      <c r="F614" s="28">
        <v>1010.24</v>
      </c>
      <c r="G614" s="29">
        <v>0.51</v>
      </c>
      <c r="H614" s="28">
        <f t="shared" si="20"/>
        <v>5051.2</v>
      </c>
      <c r="I614" s="30">
        <v>45714</v>
      </c>
      <c r="J614" s="26" t="s">
        <v>43</v>
      </c>
      <c r="K614" s="26" t="s">
        <v>23</v>
      </c>
      <c r="L614" s="31">
        <f t="shared" si="21"/>
        <v>2475.0879999999997</v>
      </c>
      <c r="M614" s="31">
        <v>2174.98</v>
      </c>
      <c r="N614" s="22">
        <f>_xlfn.XLOOKUP(Snitch_Fashion_Sales_cleaned!$J614,Table2[City],Table2[City_Key],"not found")</f>
        <v>6</v>
      </c>
      <c r="O614" s="21">
        <f>_xlfn.XLOOKUP(Snitch_Fashion_Sales_cleaned!$D614,Table4[Product_Name],Table4[Product_Key],"not found")</f>
        <v>2</v>
      </c>
      <c r="P614" s="25">
        <f>_xlfn.XLOOKUP(Snitch_Fashion_Sales_cleaned!$I614,Table3[Order_Date],Table3[Date_Key])</f>
        <v>312</v>
      </c>
    </row>
    <row r="615" spans="1:16" x14ac:dyDescent="0.3">
      <c r="A615" s="34">
        <v>1613</v>
      </c>
      <c r="B615" s="32" t="s">
        <v>661</v>
      </c>
      <c r="C615" s="32" t="s">
        <v>28</v>
      </c>
      <c r="D615" s="33" t="s">
        <v>116</v>
      </c>
      <c r="E615" s="34">
        <v>1</v>
      </c>
      <c r="F615" s="35">
        <v>1575.26</v>
      </c>
      <c r="G615" s="36">
        <v>0.51</v>
      </c>
      <c r="H615" s="35">
        <f t="shared" si="20"/>
        <v>1575.26</v>
      </c>
      <c r="I615" s="37">
        <v>45665</v>
      </c>
      <c r="J615" s="33" t="s">
        <v>15</v>
      </c>
      <c r="K615" s="33" t="s">
        <v>16</v>
      </c>
      <c r="L615" s="38">
        <f t="shared" si="21"/>
        <v>771.87739999999997</v>
      </c>
      <c r="M615" s="38">
        <v>-641.72</v>
      </c>
      <c r="N615" s="24">
        <f>_xlfn.XLOOKUP(Snitch_Fashion_Sales_cleaned!$J615,Table2[City],Table2[City_Key],"not found")</f>
        <v>1</v>
      </c>
      <c r="O615" s="23">
        <f>_xlfn.XLOOKUP(Snitch_Fashion_Sales_cleaned!$D615,Table4[Product_Name],Table4[Product_Key],"not found")</f>
        <v>22</v>
      </c>
      <c r="P615" s="32">
        <f>_xlfn.XLOOKUP(Snitch_Fashion_Sales_cleaned!$I615,Table3[Order_Date],Table3[Date_Key])</f>
        <v>313</v>
      </c>
    </row>
    <row r="616" spans="1:16" x14ac:dyDescent="0.3">
      <c r="A616" s="27">
        <v>1614</v>
      </c>
      <c r="B616" s="25" t="s">
        <v>662</v>
      </c>
      <c r="C616" s="25" t="s">
        <v>28</v>
      </c>
      <c r="D616" s="26" t="s">
        <v>39</v>
      </c>
      <c r="E616" s="27">
        <v>3</v>
      </c>
      <c r="F616" s="28">
        <v>2577.6350000000002</v>
      </c>
      <c r="G616" s="29">
        <v>0.51</v>
      </c>
      <c r="H616" s="28">
        <f t="shared" si="20"/>
        <v>7732.9050000000007</v>
      </c>
      <c r="I616" s="30">
        <v>45764</v>
      </c>
      <c r="J616" s="26" t="s">
        <v>22</v>
      </c>
      <c r="K616" s="26" t="s">
        <v>23</v>
      </c>
      <c r="L616" s="31">
        <f t="shared" si="21"/>
        <v>3789.12345</v>
      </c>
      <c r="M616" s="31">
        <v>319.85000000000002</v>
      </c>
      <c r="N616" s="22">
        <f>_xlfn.XLOOKUP(Snitch_Fashion_Sales_cleaned!$J616,Table2[City],Table2[City_Key],"not found")</f>
        <v>3</v>
      </c>
      <c r="O616" s="21">
        <f>_xlfn.XLOOKUP(Snitch_Fashion_Sales_cleaned!$D616,Table4[Product_Name],Table4[Product_Key],"not found")</f>
        <v>8</v>
      </c>
      <c r="P616" s="25">
        <f>_xlfn.XLOOKUP(Snitch_Fashion_Sales_cleaned!$I616,Table3[Order_Date],Table3[Date_Key])</f>
        <v>121</v>
      </c>
    </row>
    <row r="617" spans="1:16" x14ac:dyDescent="0.3">
      <c r="A617" s="34">
        <v>1615</v>
      </c>
      <c r="B617" s="32" t="s">
        <v>663</v>
      </c>
      <c r="C617" s="32" t="s">
        <v>36</v>
      </c>
      <c r="D617" s="33" t="s">
        <v>37</v>
      </c>
      <c r="E617" s="34">
        <v>6</v>
      </c>
      <c r="F617" s="35">
        <v>4962.7</v>
      </c>
      <c r="G617" s="36">
        <v>0.02</v>
      </c>
      <c r="H617" s="35">
        <f t="shared" si="20"/>
        <v>29776.199999999997</v>
      </c>
      <c r="I617" s="37">
        <v>45142</v>
      </c>
      <c r="J617" s="33" t="s">
        <v>52</v>
      </c>
      <c r="K617" s="33" t="s">
        <v>16</v>
      </c>
      <c r="L617" s="38">
        <f t="shared" si="21"/>
        <v>29180.675999999996</v>
      </c>
      <c r="M617" s="38">
        <v>61.6</v>
      </c>
      <c r="N617" s="24">
        <f>_xlfn.XLOOKUP(Snitch_Fashion_Sales_cleaned!$J617,Table2[City],Table2[City_Key],"not found")</f>
        <v>5</v>
      </c>
      <c r="O617" s="23">
        <f>_xlfn.XLOOKUP(Snitch_Fashion_Sales_cleaned!$D617,Table4[Product_Name],Table4[Product_Key],"not found")</f>
        <v>7</v>
      </c>
      <c r="P617" s="32">
        <f>_xlfn.XLOOKUP(Snitch_Fashion_Sales_cleaned!$I617,Table3[Order_Date],Table3[Date_Key])</f>
        <v>314</v>
      </c>
    </row>
    <row r="618" spans="1:16" x14ac:dyDescent="0.3">
      <c r="A618" s="27">
        <v>1616</v>
      </c>
      <c r="B618" s="25" t="s">
        <v>664</v>
      </c>
      <c r="C618" s="25" t="s">
        <v>25</v>
      </c>
      <c r="D618" s="26" t="s">
        <v>26</v>
      </c>
      <c r="E618" s="27">
        <v>4</v>
      </c>
      <c r="F618" s="28">
        <v>4443.82</v>
      </c>
      <c r="G618" s="29">
        <v>0.51</v>
      </c>
      <c r="H618" s="28">
        <f t="shared" si="20"/>
        <v>17775.28</v>
      </c>
      <c r="I618" s="30">
        <v>45212</v>
      </c>
      <c r="J618" s="26" t="s">
        <v>2540</v>
      </c>
      <c r="K618" s="26" t="s">
        <v>16</v>
      </c>
      <c r="L618" s="31">
        <f t="shared" si="21"/>
        <v>8709.8871999999992</v>
      </c>
      <c r="M618" s="31">
        <v>1611.45</v>
      </c>
      <c r="N618" s="22">
        <f>_xlfn.XLOOKUP(Snitch_Fashion_Sales_cleaned!$J618,Table2[City],Table2[City_Key],"not found")</f>
        <v>4</v>
      </c>
      <c r="O618" s="21">
        <f>_xlfn.XLOOKUP(Snitch_Fashion_Sales_cleaned!$D618,Table4[Product_Name],Table4[Product_Key],"not found")</f>
        <v>3</v>
      </c>
      <c r="P618" s="25">
        <f>_xlfn.XLOOKUP(Snitch_Fashion_Sales_cleaned!$I618,Table3[Order_Date],Table3[Date_Key])</f>
        <v>315</v>
      </c>
    </row>
    <row r="619" spans="1:16" x14ac:dyDescent="0.3">
      <c r="A619" s="34">
        <v>1617</v>
      </c>
      <c r="B619" s="32" t="s">
        <v>665</v>
      </c>
      <c r="C619" s="32" t="s">
        <v>13</v>
      </c>
      <c r="D619" s="33" t="s">
        <v>34</v>
      </c>
      <c r="E619" s="34">
        <v>3</v>
      </c>
      <c r="F619" s="35">
        <v>1144.47</v>
      </c>
      <c r="G619" s="36">
        <v>0.51</v>
      </c>
      <c r="H619" s="35">
        <f t="shared" si="20"/>
        <v>3433.41</v>
      </c>
      <c r="I619" s="37">
        <v>45361</v>
      </c>
      <c r="J619" s="33" t="s">
        <v>43</v>
      </c>
      <c r="K619" s="33" t="s">
        <v>16</v>
      </c>
      <c r="L619" s="38">
        <f t="shared" si="21"/>
        <v>1682.3708999999999</v>
      </c>
      <c r="M619" s="38">
        <v>-863.76</v>
      </c>
      <c r="N619" s="24">
        <f>_xlfn.XLOOKUP(Snitch_Fashion_Sales_cleaned!$J619,Table2[City],Table2[City_Key],"not found")</f>
        <v>6</v>
      </c>
      <c r="O619" s="23">
        <f>_xlfn.XLOOKUP(Snitch_Fashion_Sales_cleaned!$D619,Table4[Product_Name],Table4[Product_Key],"not found")</f>
        <v>6</v>
      </c>
      <c r="P619" s="32">
        <f>_xlfn.XLOOKUP(Snitch_Fashion_Sales_cleaned!$I619,Table3[Order_Date],Table3[Date_Key])</f>
        <v>316</v>
      </c>
    </row>
    <row r="620" spans="1:16" x14ac:dyDescent="0.3">
      <c r="A620" s="27">
        <v>1618</v>
      </c>
      <c r="B620" s="25" t="s">
        <v>666</v>
      </c>
      <c r="C620" s="25" t="s">
        <v>36</v>
      </c>
      <c r="D620" s="26" t="s">
        <v>59</v>
      </c>
      <c r="E620" s="27">
        <v>3</v>
      </c>
      <c r="F620" s="28">
        <v>2765.26</v>
      </c>
      <c r="G620" s="29">
        <v>0.85</v>
      </c>
      <c r="H620" s="28">
        <f t="shared" si="20"/>
        <v>8295.7800000000007</v>
      </c>
      <c r="I620" s="30">
        <v>45162</v>
      </c>
      <c r="J620" s="26" t="s">
        <v>22</v>
      </c>
      <c r="K620" s="26" t="s">
        <v>23</v>
      </c>
      <c r="L620" s="31">
        <f t="shared" si="21"/>
        <v>1244.3670000000002</v>
      </c>
      <c r="M620" s="31">
        <v>311.09175000000005</v>
      </c>
      <c r="N620" s="22">
        <f>_xlfn.XLOOKUP(Snitch_Fashion_Sales_cleaned!$J620,Table2[City],Table2[City_Key],"not found")</f>
        <v>3</v>
      </c>
      <c r="O620" s="21">
        <f>_xlfn.XLOOKUP(Snitch_Fashion_Sales_cleaned!$D620,Table4[Product_Name],Table4[Product_Key],"not found")</f>
        <v>13</v>
      </c>
      <c r="P620" s="25">
        <f>_xlfn.XLOOKUP(Snitch_Fashion_Sales_cleaned!$I620,Table3[Order_Date],Table3[Date_Key])</f>
        <v>317</v>
      </c>
    </row>
    <row r="621" spans="1:16" x14ac:dyDescent="0.3">
      <c r="A621" s="34">
        <v>1619</v>
      </c>
      <c r="B621" s="32" t="s">
        <v>667</v>
      </c>
      <c r="C621" s="32" t="s">
        <v>13</v>
      </c>
      <c r="D621" s="33" t="s">
        <v>46</v>
      </c>
      <c r="E621" s="34">
        <v>4</v>
      </c>
      <c r="F621" s="35">
        <v>1470.99</v>
      </c>
      <c r="G621" s="36">
        <v>0.7</v>
      </c>
      <c r="H621" s="35">
        <f t="shared" si="20"/>
        <v>5883.96</v>
      </c>
      <c r="I621" s="37">
        <v>45640</v>
      </c>
      <c r="J621" s="33" t="s">
        <v>2540</v>
      </c>
      <c r="K621" s="33" t="s">
        <v>23</v>
      </c>
      <c r="L621" s="38">
        <f t="shared" si="21"/>
        <v>1765.1880000000003</v>
      </c>
      <c r="M621" s="38">
        <v>-668.13</v>
      </c>
      <c r="N621" s="24">
        <f>_xlfn.XLOOKUP(Snitch_Fashion_Sales_cleaned!$J621,Table2[City],Table2[City_Key],"not found")</f>
        <v>4</v>
      </c>
      <c r="O621" s="23">
        <f>_xlfn.XLOOKUP(Snitch_Fashion_Sales_cleaned!$D621,Table4[Product_Name],Table4[Product_Key],"not found")</f>
        <v>10</v>
      </c>
      <c r="P621" s="32">
        <f>_xlfn.XLOOKUP(Snitch_Fashion_Sales_cleaned!$I621,Table3[Order_Date],Table3[Date_Key])</f>
        <v>318</v>
      </c>
    </row>
    <row r="622" spans="1:16" x14ac:dyDescent="0.3">
      <c r="A622" s="27">
        <v>1620</v>
      </c>
      <c r="B622" s="25" t="s">
        <v>668</v>
      </c>
      <c r="C622" s="25" t="s">
        <v>36</v>
      </c>
      <c r="D622" s="26" t="s">
        <v>55</v>
      </c>
      <c r="E622" s="27">
        <v>6</v>
      </c>
      <c r="F622" s="28">
        <v>2731.6350000000002</v>
      </c>
      <c r="G622" s="29">
        <v>0.51</v>
      </c>
      <c r="H622" s="28">
        <f t="shared" si="20"/>
        <v>16389.810000000001</v>
      </c>
      <c r="I622" s="30">
        <v>45551</v>
      </c>
      <c r="J622" s="26" t="s">
        <v>15</v>
      </c>
      <c r="K622" s="26" t="s">
        <v>23</v>
      </c>
      <c r="L622" s="31">
        <f t="shared" si="21"/>
        <v>8031.0069000000003</v>
      </c>
      <c r="M622" s="31">
        <v>1796.21</v>
      </c>
      <c r="N622" s="22">
        <f>_xlfn.XLOOKUP(Snitch_Fashion_Sales_cleaned!$J622,Table2[City],Table2[City_Key],"not found")</f>
        <v>1</v>
      </c>
      <c r="O622" s="21">
        <f>_xlfn.XLOOKUP(Snitch_Fashion_Sales_cleaned!$D622,Table4[Product_Name],Table4[Product_Key],"not found")</f>
        <v>12</v>
      </c>
      <c r="P622" s="25">
        <f>_xlfn.XLOOKUP(Snitch_Fashion_Sales_cleaned!$I622,Table3[Order_Date],Table3[Date_Key])</f>
        <v>270</v>
      </c>
    </row>
    <row r="623" spans="1:16" x14ac:dyDescent="0.3">
      <c r="A623" s="34">
        <v>1621</v>
      </c>
      <c r="B623" s="32" t="s">
        <v>669</v>
      </c>
      <c r="C623" s="32" t="s">
        <v>31</v>
      </c>
      <c r="D623" s="33" t="s">
        <v>68</v>
      </c>
      <c r="E623" s="34">
        <v>6</v>
      </c>
      <c r="F623" s="35">
        <v>639.66999999999996</v>
      </c>
      <c r="G623" s="36">
        <v>0.51</v>
      </c>
      <c r="H623" s="35">
        <f t="shared" si="20"/>
        <v>3838.0199999999995</v>
      </c>
      <c r="I623" s="37">
        <v>45563</v>
      </c>
      <c r="J623" s="33" t="s">
        <v>52</v>
      </c>
      <c r="K623" s="33" t="s">
        <v>23</v>
      </c>
      <c r="L623" s="38">
        <f t="shared" si="21"/>
        <v>1880.6297999999997</v>
      </c>
      <c r="M623" s="38">
        <v>1599.1</v>
      </c>
      <c r="N623" s="24">
        <f>_xlfn.XLOOKUP(Snitch_Fashion_Sales_cleaned!$J623,Table2[City],Table2[City_Key],"not found")</f>
        <v>5</v>
      </c>
      <c r="O623" s="23">
        <f>_xlfn.XLOOKUP(Snitch_Fashion_Sales_cleaned!$D623,Table4[Product_Name],Table4[Product_Key],"not found")</f>
        <v>15</v>
      </c>
      <c r="P623" s="32">
        <f>_xlfn.XLOOKUP(Snitch_Fashion_Sales_cleaned!$I623,Table3[Order_Date],Table3[Date_Key])</f>
        <v>134</v>
      </c>
    </row>
    <row r="624" spans="1:16" x14ac:dyDescent="0.3">
      <c r="A624" s="27">
        <v>1622</v>
      </c>
      <c r="B624" s="25" t="s">
        <v>670</v>
      </c>
      <c r="C624" s="25" t="s">
        <v>25</v>
      </c>
      <c r="D624" s="26" t="s">
        <v>62</v>
      </c>
      <c r="E624" s="27">
        <v>1</v>
      </c>
      <c r="F624" s="28">
        <v>2538.0450000000001</v>
      </c>
      <c r="G624" s="29">
        <v>0.51</v>
      </c>
      <c r="H624" s="28">
        <f t="shared" si="20"/>
        <v>2538.0450000000001</v>
      </c>
      <c r="I624" s="30">
        <v>45647</v>
      </c>
      <c r="J624" s="26" t="s">
        <v>2540</v>
      </c>
      <c r="K624" s="26" t="s">
        <v>16</v>
      </c>
      <c r="L624" s="31">
        <f t="shared" si="21"/>
        <v>1243.6420499999999</v>
      </c>
      <c r="M624" s="31">
        <v>-880.92</v>
      </c>
      <c r="N624" s="22">
        <f>_xlfn.XLOOKUP(Snitch_Fashion_Sales_cleaned!$J624,Table2[City],Table2[City_Key],"not found")</f>
        <v>4</v>
      </c>
      <c r="O624" s="21">
        <f>_xlfn.XLOOKUP(Snitch_Fashion_Sales_cleaned!$D624,Table4[Product_Name],Table4[Product_Key],"not found")</f>
        <v>14</v>
      </c>
      <c r="P624" s="25">
        <f>_xlfn.XLOOKUP(Snitch_Fashion_Sales_cleaned!$I624,Table3[Order_Date],Table3[Date_Key])</f>
        <v>5</v>
      </c>
    </row>
    <row r="625" spans="1:16" x14ac:dyDescent="0.3">
      <c r="A625" s="34">
        <v>1033</v>
      </c>
      <c r="B625" s="32" t="s">
        <v>671</v>
      </c>
      <c r="C625" s="32" t="s">
        <v>31</v>
      </c>
      <c r="D625" s="33" t="s">
        <v>68</v>
      </c>
      <c r="E625" s="34">
        <v>4</v>
      </c>
      <c r="F625" s="35">
        <v>3369.55</v>
      </c>
      <c r="G625" s="36">
        <v>0.51</v>
      </c>
      <c r="H625" s="35">
        <f t="shared" si="20"/>
        <v>13478.2</v>
      </c>
      <c r="I625" s="37">
        <v>45664</v>
      </c>
      <c r="J625" s="33" t="s">
        <v>43</v>
      </c>
      <c r="K625" s="33" t="s">
        <v>16</v>
      </c>
      <c r="L625" s="38">
        <f t="shared" si="21"/>
        <v>6604.3180000000002</v>
      </c>
      <c r="M625" s="38">
        <v>1927.24</v>
      </c>
      <c r="N625" s="24">
        <f>_xlfn.XLOOKUP(Snitch_Fashion_Sales_cleaned!$J625,Table2[City],Table2[City_Key],"not found")</f>
        <v>6</v>
      </c>
      <c r="O625" s="23">
        <f>_xlfn.XLOOKUP(Snitch_Fashion_Sales_cleaned!$D625,Table4[Product_Name],Table4[Product_Key],"not found")</f>
        <v>15</v>
      </c>
      <c r="P625" s="32">
        <f>_xlfn.XLOOKUP(Snitch_Fashion_Sales_cleaned!$I625,Table3[Order_Date],Table3[Date_Key])</f>
        <v>52</v>
      </c>
    </row>
    <row r="626" spans="1:16" x14ac:dyDescent="0.3">
      <c r="A626" s="27">
        <v>1624</v>
      </c>
      <c r="B626" s="25" t="s">
        <v>672</v>
      </c>
      <c r="C626" s="25" t="s">
        <v>13</v>
      </c>
      <c r="D626" s="26" t="s">
        <v>14</v>
      </c>
      <c r="E626" s="27">
        <v>5</v>
      </c>
      <c r="F626" s="28">
        <v>977.2</v>
      </c>
      <c r="G626" s="29">
        <v>0.51</v>
      </c>
      <c r="H626" s="28">
        <f t="shared" si="20"/>
        <v>4886</v>
      </c>
      <c r="I626" s="30">
        <v>45647</v>
      </c>
      <c r="J626" s="26" t="s">
        <v>43</v>
      </c>
      <c r="K626" s="26" t="s">
        <v>23</v>
      </c>
      <c r="L626" s="31">
        <f t="shared" si="21"/>
        <v>2394.14</v>
      </c>
      <c r="M626" s="31">
        <v>1003.06</v>
      </c>
      <c r="N626" s="22">
        <f>_xlfn.XLOOKUP(Snitch_Fashion_Sales_cleaned!$J626,Table2[City],Table2[City_Key],"not found")</f>
        <v>6</v>
      </c>
      <c r="O626" s="21">
        <f>_xlfn.XLOOKUP(Snitch_Fashion_Sales_cleaned!$D626,Table4[Product_Name],Table4[Product_Key],"not found")</f>
        <v>1</v>
      </c>
      <c r="P626" s="25">
        <f>_xlfn.XLOOKUP(Snitch_Fashion_Sales_cleaned!$I626,Table3[Order_Date],Table3[Date_Key])</f>
        <v>5</v>
      </c>
    </row>
    <row r="627" spans="1:16" x14ac:dyDescent="0.3">
      <c r="A627" s="34">
        <v>1625</v>
      </c>
      <c r="B627" s="32" t="s">
        <v>673</v>
      </c>
      <c r="C627" s="32" t="s">
        <v>28</v>
      </c>
      <c r="D627" s="33" t="s">
        <v>116</v>
      </c>
      <c r="E627" s="34">
        <v>4</v>
      </c>
      <c r="F627" s="35">
        <v>735.97</v>
      </c>
      <c r="G627" s="36">
        <v>0.26</v>
      </c>
      <c r="H627" s="35">
        <f t="shared" si="20"/>
        <v>2943.88</v>
      </c>
      <c r="I627" s="37">
        <v>45651</v>
      </c>
      <c r="J627" s="33" t="s">
        <v>15</v>
      </c>
      <c r="K627" s="33" t="s">
        <v>23</v>
      </c>
      <c r="L627" s="38">
        <f t="shared" si="21"/>
        <v>2178.4712</v>
      </c>
      <c r="M627" s="38">
        <v>1690.22</v>
      </c>
      <c r="N627" s="24">
        <f>_xlfn.XLOOKUP(Snitch_Fashion_Sales_cleaned!$J627,Table2[City],Table2[City_Key],"not found")</f>
        <v>1</v>
      </c>
      <c r="O627" s="23">
        <f>_xlfn.XLOOKUP(Snitch_Fashion_Sales_cleaned!$D627,Table4[Product_Name],Table4[Product_Key],"not found")</f>
        <v>22</v>
      </c>
      <c r="P627" s="32">
        <f>_xlfn.XLOOKUP(Snitch_Fashion_Sales_cleaned!$I627,Table3[Order_Date],Table3[Date_Key])</f>
        <v>174</v>
      </c>
    </row>
    <row r="628" spans="1:16" x14ac:dyDescent="0.3">
      <c r="A628" s="27">
        <v>1626</v>
      </c>
      <c r="B628" s="25" t="s">
        <v>674</v>
      </c>
      <c r="C628" s="25" t="s">
        <v>36</v>
      </c>
      <c r="D628" s="26" t="s">
        <v>55</v>
      </c>
      <c r="E628" s="27">
        <v>3</v>
      </c>
      <c r="F628" s="28">
        <v>4695.1499999999996</v>
      </c>
      <c r="G628" s="29">
        <v>0.51</v>
      </c>
      <c r="H628" s="28">
        <f t="shared" si="20"/>
        <v>14085.449999999999</v>
      </c>
      <c r="I628" s="30">
        <v>45647</v>
      </c>
      <c r="J628" s="26" t="s">
        <v>43</v>
      </c>
      <c r="K628" s="26" t="s">
        <v>16</v>
      </c>
      <c r="L628" s="31">
        <f t="shared" si="21"/>
        <v>6901.8704999999991</v>
      </c>
      <c r="M628" s="31">
        <v>1584.44</v>
      </c>
      <c r="N628" s="22">
        <f>_xlfn.XLOOKUP(Snitch_Fashion_Sales_cleaned!$J628,Table2[City],Table2[City_Key],"not found")</f>
        <v>6</v>
      </c>
      <c r="O628" s="21">
        <f>_xlfn.XLOOKUP(Snitch_Fashion_Sales_cleaned!$D628,Table4[Product_Name],Table4[Product_Key],"not found")</f>
        <v>12</v>
      </c>
      <c r="P628" s="25">
        <f>_xlfn.XLOOKUP(Snitch_Fashion_Sales_cleaned!$I628,Table3[Order_Date],Table3[Date_Key])</f>
        <v>5</v>
      </c>
    </row>
    <row r="629" spans="1:16" x14ac:dyDescent="0.3">
      <c r="A629" s="34">
        <v>1004</v>
      </c>
      <c r="B629" s="32" t="s">
        <v>675</v>
      </c>
      <c r="C629" s="32" t="s">
        <v>13</v>
      </c>
      <c r="D629" s="33" t="s">
        <v>98</v>
      </c>
      <c r="E629" s="34">
        <v>6</v>
      </c>
      <c r="F629" s="35">
        <v>987.35</v>
      </c>
      <c r="G629" s="36">
        <v>0.51</v>
      </c>
      <c r="H629" s="35">
        <f t="shared" si="20"/>
        <v>5924.1</v>
      </c>
      <c r="I629" s="37">
        <v>45692</v>
      </c>
      <c r="J629" s="33" t="s">
        <v>22</v>
      </c>
      <c r="K629" s="33" t="s">
        <v>23</v>
      </c>
      <c r="L629" s="38">
        <f t="shared" si="21"/>
        <v>2902.8090000000002</v>
      </c>
      <c r="M629" s="38">
        <v>-108.36</v>
      </c>
      <c r="N629" s="24">
        <f>_xlfn.XLOOKUP(Snitch_Fashion_Sales_cleaned!$J629,Table2[City],Table2[City_Key],"not found")</f>
        <v>3</v>
      </c>
      <c r="O629" s="23">
        <f>_xlfn.XLOOKUP(Snitch_Fashion_Sales_cleaned!$D629,Table4[Product_Name],Table4[Product_Key],"not found")</f>
        <v>21</v>
      </c>
      <c r="P629" s="32">
        <f>_xlfn.XLOOKUP(Snitch_Fashion_Sales_cleaned!$I629,Table3[Order_Date],Table3[Date_Key])</f>
        <v>152</v>
      </c>
    </row>
    <row r="630" spans="1:16" x14ac:dyDescent="0.3">
      <c r="A630" s="27">
        <v>1628</v>
      </c>
      <c r="B630" s="25" t="s">
        <v>676</v>
      </c>
      <c r="C630" s="25" t="s">
        <v>36</v>
      </c>
      <c r="D630" s="26" t="s">
        <v>87</v>
      </c>
      <c r="E630" s="27">
        <v>1</v>
      </c>
      <c r="F630" s="28">
        <v>3345.58</v>
      </c>
      <c r="G630" s="29">
        <v>0.26</v>
      </c>
      <c r="H630" s="28">
        <f t="shared" si="20"/>
        <v>3345.58</v>
      </c>
      <c r="I630" s="30">
        <v>45397</v>
      </c>
      <c r="J630" s="26" t="s">
        <v>52</v>
      </c>
      <c r="K630" s="26" t="s">
        <v>23</v>
      </c>
      <c r="L630" s="31">
        <f t="shared" si="21"/>
        <v>2475.7291999999998</v>
      </c>
      <c r="M630" s="31">
        <v>2274.54</v>
      </c>
      <c r="N630" s="22">
        <f>_xlfn.XLOOKUP(Snitch_Fashion_Sales_cleaned!$J630,Table2[City],Table2[City_Key],"not found")</f>
        <v>5</v>
      </c>
      <c r="O630" s="21">
        <f>_xlfn.XLOOKUP(Snitch_Fashion_Sales_cleaned!$D630,Table4[Product_Name],Table4[Product_Key],"not found")</f>
        <v>20</v>
      </c>
      <c r="P630" s="25">
        <f>_xlfn.XLOOKUP(Snitch_Fashion_Sales_cleaned!$I630,Table3[Order_Date],Table3[Date_Key])</f>
        <v>319</v>
      </c>
    </row>
    <row r="631" spans="1:16" x14ac:dyDescent="0.3">
      <c r="A631" s="34">
        <v>1629</v>
      </c>
      <c r="B631" s="32" t="s">
        <v>677</v>
      </c>
      <c r="C631" s="32" t="s">
        <v>25</v>
      </c>
      <c r="D631" s="33" t="s">
        <v>82</v>
      </c>
      <c r="E631" s="34">
        <v>3</v>
      </c>
      <c r="F631" s="35">
        <v>829.14</v>
      </c>
      <c r="G631" s="36">
        <v>0.51</v>
      </c>
      <c r="H631" s="35">
        <f t="shared" si="20"/>
        <v>2487.42</v>
      </c>
      <c r="I631" s="37">
        <v>45647</v>
      </c>
      <c r="J631" s="33" t="s">
        <v>18</v>
      </c>
      <c r="K631" s="33" t="s">
        <v>16</v>
      </c>
      <c r="L631" s="38">
        <f t="shared" si="21"/>
        <v>1218.8358000000001</v>
      </c>
      <c r="M631" s="38">
        <v>304.70895000000002</v>
      </c>
      <c r="N631" s="24">
        <f>_xlfn.XLOOKUP(Snitch_Fashion_Sales_cleaned!$J631,Table2[City],Table2[City_Key],"not found")</f>
        <v>2</v>
      </c>
      <c r="O631" s="23">
        <f>_xlfn.XLOOKUP(Snitch_Fashion_Sales_cleaned!$D631,Table4[Product_Name],Table4[Product_Key],"not found")</f>
        <v>18</v>
      </c>
      <c r="P631" s="32">
        <f>_xlfn.XLOOKUP(Snitch_Fashion_Sales_cleaned!$I631,Table3[Order_Date],Table3[Date_Key])</f>
        <v>5</v>
      </c>
    </row>
    <row r="632" spans="1:16" x14ac:dyDescent="0.3">
      <c r="A632" s="27">
        <v>1630</v>
      </c>
      <c r="B632" s="25" t="s">
        <v>678</v>
      </c>
      <c r="C632" s="25" t="s">
        <v>13</v>
      </c>
      <c r="D632" s="26" t="s">
        <v>98</v>
      </c>
      <c r="E632" s="27">
        <v>5</v>
      </c>
      <c r="F632" s="28">
        <v>2393.14</v>
      </c>
      <c r="G632" s="29">
        <v>1</v>
      </c>
      <c r="H632" s="28">
        <f t="shared" si="20"/>
        <v>11965.699999999999</v>
      </c>
      <c r="I632" s="30">
        <v>45178</v>
      </c>
      <c r="J632" s="26" t="s">
        <v>2540</v>
      </c>
      <c r="K632" s="26" t="s">
        <v>23</v>
      </c>
      <c r="L632" s="31">
        <f t="shared" si="21"/>
        <v>0</v>
      </c>
      <c r="M632" s="31">
        <v>0</v>
      </c>
      <c r="N632" s="22">
        <f>_xlfn.XLOOKUP(Snitch_Fashion_Sales_cleaned!$J632,Table2[City],Table2[City_Key],"not found")</f>
        <v>4</v>
      </c>
      <c r="O632" s="21">
        <f>_xlfn.XLOOKUP(Snitch_Fashion_Sales_cleaned!$D632,Table4[Product_Name],Table4[Product_Key],"not found")</f>
        <v>21</v>
      </c>
      <c r="P632" s="25">
        <f>_xlfn.XLOOKUP(Snitch_Fashion_Sales_cleaned!$I632,Table3[Order_Date],Table3[Date_Key])</f>
        <v>320</v>
      </c>
    </row>
    <row r="633" spans="1:16" x14ac:dyDescent="0.3">
      <c r="A633" s="34">
        <v>1631</v>
      </c>
      <c r="B633" s="32" t="s">
        <v>679</v>
      </c>
      <c r="C633" s="32" t="s">
        <v>36</v>
      </c>
      <c r="D633" s="33" t="s">
        <v>37</v>
      </c>
      <c r="E633" s="34">
        <v>4</v>
      </c>
      <c r="F633" s="35">
        <v>2975.64</v>
      </c>
      <c r="G633" s="36">
        <v>0.51</v>
      </c>
      <c r="H633" s="35">
        <f t="shared" si="20"/>
        <v>11902.56</v>
      </c>
      <c r="I633" s="37">
        <v>45821</v>
      </c>
      <c r="J633" s="33" t="s">
        <v>52</v>
      </c>
      <c r="K633" s="33" t="s">
        <v>16</v>
      </c>
      <c r="L633" s="38">
        <f t="shared" si="21"/>
        <v>5832.2543999999998</v>
      </c>
      <c r="M633" s="38">
        <v>186.7</v>
      </c>
      <c r="N633" s="24">
        <f>_xlfn.XLOOKUP(Snitch_Fashion_Sales_cleaned!$J633,Table2[City],Table2[City_Key],"not found")</f>
        <v>5</v>
      </c>
      <c r="O633" s="23">
        <f>_xlfn.XLOOKUP(Snitch_Fashion_Sales_cleaned!$D633,Table4[Product_Name],Table4[Product_Key],"not found")</f>
        <v>7</v>
      </c>
      <c r="P633" s="32">
        <f>_xlfn.XLOOKUP(Snitch_Fashion_Sales_cleaned!$I633,Table3[Order_Date],Table3[Date_Key])</f>
        <v>273</v>
      </c>
    </row>
    <row r="634" spans="1:16" x14ac:dyDescent="0.3">
      <c r="A634" s="27">
        <v>1632</v>
      </c>
      <c r="B634" s="25" t="s">
        <v>680</v>
      </c>
      <c r="C634" s="25" t="s">
        <v>20</v>
      </c>
      <c r="D634" s="26" t="s">
        <v>76</v>
      </c>
      <c r="E634" s="27">
        <v>3</v>
      </c>
      <c r="F634" s="28">
        <v>2618.69</v>
      </c>
      <c r="G634" s="29">
        <v>0.11</v>
      </c>
      <c r="H634" s="28">
        <f t="shared" si="20"/>
        <v>7856.07</v>
      </c>
      <c r="I634" s="30">
        <v>45621</v>
      </c>
      <c r="J634" s="26" t="s">
        <v>43</v>
      </c>
      <c r="K634" s="26" t="s">
        <v>16</v>
      </c>
      <c r="L634" s="31">
        <f t="shared" si="21"/>
        <v>6991.9022999999997</v>
      </c>
      <c r="M634" s="31">
        <v>130.88999999999999</v>
      </c>
      <c r="N634" s="22">
        <f>_xlfn.XLOOKUP(Snitch_Fashion_Sales_cleaned!$J634,Table2[City],Table2[City_Key],"not found")</f>
        <v>6</v>
      </c>
      <c r="O634" s="21">
        <f>_xlfn.XLOOKUP(Snitch_Fashion_Sales_cleaned!$D634,Table4[Product_Name],Table4[Product_Key],"not found")</f>
        <v>16</v>
      </c>
      <c r="P634" s="25">
        <f>_xlfn.XLOOKUP(Snitch_Fashion_Sales_cleaned!$I634,Table3[Order_Date],Table3[Date_Key])</f>
        <v>106</v>
      </c>
    </row>
    <row r="635" spans="1:16" x14ac:dyDescent="0.3">
      <c r="A635" s="34">
        <v>1633</v>
      </c>
      <c r="B635" s="32" t="s">
        <v>681</v>
      </c>
      <c r="C635" s="32" t="s">
        <v>20</v>
      </c>
      <c r="D635" s="33" t="s">
        <v>76</v>
      </c>
      <c r="E635" s="34">
        <v>3</v>
      </c>
      <c r="F635" s="35">
        <v>4599.41</v>
      </c>
      <c r="G635" s="36">
        <v>0.51</v>
      </c>
      <c r="H635" s="35">
        <f t="shared" si="20"/>
        <v>13798.23</v>
      </c>
      <c r="I635" s="37">
        <v>45651</v>
      </c>
      <c r="J635" s="33" t="s">
        <v>15</v>
      </c>
      <c r="K635" s="33" t="s">
        <v>23</v>
      </c>
      <c r="L635" s="38">
        <f t="shared" si="21"/>
        <v>6761.1327000000001</v>
      </c>
      <c r="M635" s="38">
        <v>182.46</v>
      </c>
      <c r="N635" s="24">
        <f>_xlfn.XLOOKUP(Snitch_Fashion_Sales_cleaned!$J635,Table2[City],Table2[City_Key],"not found")</f>
        <v>1</v>
      </c>
      <c r="O635" s="23">
        <f>_xlfn.XLOOKUP(Snitch_Fashion_Sales_cleaned!$D635,Table4[Product_Name],Table4[Product_Key],"not found")</f>
        <v>16</v>
      </c>
      <c r="P635" s="32">
        <f>_xlfn.XLOOKUP(Snitch_Fashion_Sales_cleaned!$I635,Table3[Order_Date],Table3[Date_Key])</f>
        <v>174</v>
      </c>
    </row>
    <row r="636" spans="1:16" x14ac:dyDescent="0.3">
      <c r="A636" s="27">
        <v>1634</v>
      </c>
      <c r="B636" s="25" t="s">
        <v>682</v>
      </c>
      <c r="C636" s="25" t="s">
        <v>20</v>
      </c>
      <c r="D636" s="26" t="s">
        <v>21</v>
      </c>
      <c r="E636" s="27">
        <v>4</v>
      </c>
      <c r="F636" s="28">
        <v>2579.8000000000002</v>
      </c>
      <c r="G636" s="29">
        <v>0.51</v>
      </c>
      <c r="H636" s="28">
        <f t="shared" si="20"/>
        <v>10319.200000000001</v>
      </c>
      <c r="I636" s="30">
        <v>45748</v>
      </c>
      <c r="J636" s="26" t="s">
        <v>18</v>
      </c>
      <c r="K636" s="26" t="s">
        <v>23</v>
      </c>
      <c r="L636" s="31">
        <f t="shared" si="21"/>
        <v>5056.4080000000004</v>
      </c>
      <c r="M636" s="31">
        <v>108.15</v>
      </c>
      <c r="N636" s="22">
        <f>_xlfn.XLOOKUP(Snitch_Fashion_Sales_cleaned!$J636,Table2[City],Table2[City_Key],"not found")</f>
        <v>2</v>
      </c>
      <c r="O636" s="21">
        <f>_xlfn.XLOOKUP(Snitch_Fashion_Sales_cleaned!$D636,Table4[Product_Name],Table4[Product_Key],"not found")</f>
        <v>2</v>
      </c>
      <c r="P636" s="25">
        <f>_xlfn.XLOOKUP(Snitch_Fashion_Sales_cleaned!$I636,Table3[Order_Date],Table3[Date_Key])</f>
        <v>72</v>
      </c>
    </row>
    <row r="637" spans="1:16" x14ac:dyDescent="0.3">
      <c r="A637" s="34">
        <v>1635</v>
      </c>
      <c r="B637" s="32" t="s">
        <v>683</v>
      </c>
      <c r="C637" s="32" t="s">
        <v>28</v>
      </c>
      <c r="D637" s="33" t="s">
        <v>137</v>
      </c>
      <c r="E637" s="34">
        <v>3.5</v>
      </c>
      <c r="F637" s="35">
        <v>2338.04</v>
      </c>
      <c r="G637" s="36">
        <v>0.51</v>
      </c>
      <c r="H637" s="35">
        <f t="shared" si="20"/>
        <v>8183.1399999999994</v>
      </c>
      <c r="I637" s="37">
        <v>45520</v>
      </c>
      <c r="J637" s="33" t="s">
        <v>15</v>
      </c>
      <c r="K637" s="33" t="s">
        <v>16</v>
      </c>
      <c r="L637" s="38">
        <f t="shared" si="21"/>
        <v>4009.7385999999997</v>
      </c>
      <c r="M637" s="38">
        <v>857.97</v>
      </c>
      <c r="N637" s="24">
        <f>_xlfn.XLOOKUP(Snitch_Fashion_Sales_cleaned!$J637,Table2[City],Table2[City_Key],"not found")</f>
        <v>1</v>
      </c>
      <c r="O637" s="23">
        <f>_xlfn.XLOOKUP(Snitch_Fashion_Sales_cleaned!$D637,Table4[Product_Name],Table4[Product_Key],"not found")</f>
        <v>24</v>
      </c>
      <c r="P637" s="32">
        <f>_xlfn.XLOOKUP(Snitch_Fashion_Sales_cleaned!$I637,Table3[Order_Date],Table3[Date_Key])</f>
        <v>321</v>
      </c>
    </row>
    <row r="638" spans="1:16" x14ac:dyDescent="0.3">
      <c r="A638" s="27">
        <v>1636</v>
      </c>
      <c r="B638" s="25" t="s">
        <v>684</v>
      </c>
      <c r="C638" s="25" t="s">
        <v>20</v>
      </c>
      <c r="D638" s="26" t="s">
        <v>84</v>
      </c>
      <c r="E638" s="27">
        <v>3</v>
      </c>
      <c r="F638" s="28">
        <v>2537.59</v>
      </c>
      <c r="G638" s="29">
        <v>0.51</v>
      </c>
      <c r="H638" s="28">
        <f t="shared" si="20"/>
        <v>7612.77</v>
      </c>
      <c r="I638" s="30">
        <v>45817</v>
      </c>
      <c r="J638" s="26" t="s">
        <v>43</v>
      </c>
      <c r="K638" s="26" t="s">
        <v>16</v>
      </c>
      <c r="L638" s="31">
        <f t="shared" si="21"/>
        <v>3730.2573000000002</v>
      </c>
      <c r="M638" s="31">
        <v>2569.59</v>
      </c>
      <c r="N638" s="22">
        <f>_xlfn.XLOOKUP(Snitch_Fashion_Sales_cleaned!$J638,Table2[City],Table2[City_Key],"not found")</f>
        <v>6</v>
      </c>
      <c r="O638" s="21">
        <f>_xlfn.XLOOKUP(Snitch_Fashion_Sales_cleaned!$D638,Table4[Product_Name],Table4[Product_Key],"not found")</f>
        <v>19</v>
      </c>
      <c r="P638" s="25">
        <f>_xlfn.XLOOKUP(Snitch_Fashion_Sales_cleaned!$I638,Table3[Order_Date],Table3[Date_Key])</f>
        <v>143</v>
      </c>
    </row>
    <row r="639" spans="1:16" x14ac:dyDescent="0.3">
      <c r="A639" s="34">
        <v>1637</v>
      </c>
      <c r="B639" s="32" t="s">
        <v>685</v>
      </c>
      <c r="C639" s="32" t="s">
        <v>25</v>
      </c>
      <c r="D639" s="33" t="s">
        <v>62</v>
      </c>
      <c r="E639" s="34">
        <v>4</v>
      </c>
      <c r="F639" s="35">
        <v>2644.73</v>
      </c>
      <c r="G639" s="36">
        <v>0.51</v>
      </c>
      <c r="H639" s="35">
        <f t="shared" si="20"/>
        <v>10578.92</v>
      </c>
      <c r="I639" s="37">
        <v>45647</v>
      </c>
      <c r="J639" s="33" t="s">
        <v>15</v>
      </c>
      <c r="K639" s="33" t="s">
        <v>23</v>
      </c>
      <c r="L639" s="38">
        <f t="shared" si="21"/>
        <v>5183.6707999999999</v>
      </c>
      <c r="M639" s="38">
        <v>1402.25</v>
      </c>
      <c r="N639" s="24">
        <f>_xlfn.XLOOKUP(Snitch_Fashion_Sales_cleaned!$J639,Table2[City],Table2[City_Key],"not found")</f>
        <v>1</v>
      </c>
      <c r="O639" s="23">
        <f>_xlfn.XLOOKUP(Snitch_Fashion_Sales_cleaned!$D639,Table4[Product_Name],Table4[Product_Key],"not found")</f>
        <v>14</v>
      </c>
      <c r="P639" s="32">
        <f>_xlfn.XLOOKUP(Snitch_Fashion_Sales_cleaned!$I639,Table3[Order_Date],Table3[Date_Key])</f>
        <v>5</v>
      </c>
    </row>
    <row r="640" spans="1:16" x14ac:dyDescent="0.3">
      <c r="A640" s="27">
        <v>1638</v>
      </c>
      <c r="B640" s="25" t="s">
        <v>555</v>
      </c>
      <c r="C640" s="25" t="s">
        <v>13</v>
      </c>
      <c r="D640" s="26" t="s">
        <v>34</v>
      </c>
      <c r="E640" s="27">
        <v>3</v>
      </c>
      <c r="F640" s="28">
        <v>3008.6549999999997</v>
      </c>
      <c r="G640" s="29">
        <v>0.54</v>
      </c>
      <c r="H640" s="28">
        <f t="shared" si="20"/>
        <v>9025.9650000000001</v>
      </c>
      <c r="I640" s="30">
        <v>45758</v>
      </c>
      <c r="J640" s="26" t="s">
        <v>22</v>
      </c>
      <c r="K640" s="26" t="s">
        <v>23</v>
      </c>
      <c r="L640" s="31">
        <f t="shared" si="21"/>
        <v>4151.9438999999993</v>
      </c>
      <c r="M640" s="31">
        <v>2346.2199999999998</v>
      </c>
      <c r="N640" s="22">
        <f>_xlfn.XLOOKUP(Snitch_Fashion_Sales_cleaned!$J640,Table2[City],Table2[City_Key],"not found")</f>
        <v>3</v>
      </c>
      <c r="O640" s="21">
        <f>_xlfn.XLOOKUP(Snitch_Fashion_Sales_cleaned!$D640,Table4[Product_Name],Table4[Product_Key],"not found")</f>
        <v>6</v>
      </c>
      <c r="P640" s="25">
        <f>_xlfn.XLOOKUP(Snitch_Fashion_Sales_cleaned!$I640,Table3[Order_Date],Table3[Date_Key])</f>
        <v>207</v>
      </c>
    </row>
    <row r="641" spans="1:16" x14ac:dyDescent="0.3">
      <c r="A641" s="34">
        <v>1639</v>
      </c>
      <c r="B641" s="32" t="s">
        <v>686</v>
      </c>
      <c r="C641" s="32" t="s">
        <v>13</v>
      </c>
      <c r="D641" s="33" t="s">
        <v>34</v>
      </c>
      <c r="E641" s="34">
        <v>3</v>
      </c>
      <c r="F641" s="35">
        <v>4183.22</v>
      </c>
      <c r="G641" s="36">
        <v>0.51</v>
      </c>
      <c r="H641" s="35">
        <f t="shared" si="20"/>
        <v>12549.66</v>
      </c>
      <c r="I641" s="37">
        <v>45840</v>
      </c>
      <c r="J641" s="33" t="s">
        <v>2540</v>
      </c>
      <c r="K641" s="33" t="s">
        <v>23</v>
      </c>
      <c r="L641" s="38">
        <f t="shared" si="21"/>
        <v>6149.3333999999995</v>
      </c>
      <c r="M641" s="38">
        <v>532.80999999999995</v>
      </c>
      <c r="N641" s="24">
        <f>_xlfn.XLOOKUP(Snitch_Fashion_Sales_cleaned!$J641,Table2[City],Table2[City_Key],"not found")</f>
        <v>4</v>
      </c>
      <c r="O641" s="23">
        <f>_xlfn.XLOOKUP(Snitch_Fashion_Sales_cleaned!$D641,Table4[Product_Name],Table4[Product_Key],"not found")</f>
        <v>6</v>
      </c>
      <c r="P641" s="32">
        <f>_xlfn.XLOOKUP(Snitch_Fashion_Sales_cleaned!$I641,Table3[Order_Date],Table3[Date_Key])</f>
        <v>322</v>
      </c>
    </row>
    <row r="642" spans="1:16" x14ac:dyDescent="0.3">
      <c r="A642" s="27">
        <v>1640</v>
      </c>
      <c r="B642" s="25" t="s">
        <v>687</v>
      </c>
      <c r="C642" s="25" t="s">
        <v>28</v>
      </c>
      <c r="D642" s="26" t="s">
        <v>29</v>
      </c>
      <c r="E642" s="27">
        <v>3</v>
      </c>
      <c r="F642" s="28">
        <v>2515.415</v>
      </c>
      <c r="G642" s="29">
        <v>0.51</v>
      </c>
      <c r="H642" s="28">
        <f t="shared" si="20"/>
        <v>7546.2449999999999</v>
      </c>
      <c r="I642" s="30">
        <v>45629</v>
      </c>
      <c r="J642" s="26" t="s">
        <v>43</v>
      </c>
      <c r="K642" s="26" t="s">
        <v>16</v>
      </c>
      <c r="L642" s="31">
        <f t="shared" si="21"/>
        <v>3697.66005</v>
      </c>
      <c r="M642" s="31">
        <v>1823.75</v>
      </c>
      <c r="N642" s="22">
        <f>_xlfn.XLOOKUP(Snitch_Fashion_Sales_cleaned!$J642,Table2[City],Table2[City_Key],"not found")</f>
        <v>6</v>
      </c>
      <c r="O642" s="21">
        <f>_xlfn.XLOOKUP(Snitch_Fashion_Sales_cleaned!$D642,Table4[Product_Name],Table4[Product_Key],"not found")</f>
        <v>4</v>
      </c>
      <c r="P642" s="25">
        <f>_xlfn.XLOOKUP(Snitch_Fashion_Sales_cleaned!$I642,Table3[Order_Date],Table3[Date_Key])</f>
        <v>62</v>
      </c>
    </row>
    <row r="643" spans="1:16" x14ac:dyDescent="0.3">
      <c r="A643" s="34">
        <v>1641</v>
      </c>
      <c r="B643" s="32" t="s">
        <v>688</v>
      </c>
      <c r="C643" s="32" t="s">
        <v>28</v>
      </c>
      <c r="D643" s="33" t="s">
        <v>137</v>
      </c>
      <c r="E643" s="34">
        <v>3.5</v>
      </c>
      <c r="F643" s="35">
        <v>1278.98</v>
      </c>
      <c r="G643" s="36">
        <v>0.54</v>
      </c>
      <c r="H643" s="35">
        <f t="shared" si="20"/>
        <v>4476.43</v>
      </c>
      <c r="I643" s="37">
        <v>45830</v>
      </c>
      <c r="J643" s="33" t="s">
        <v>18</v>
      </c>
      <c r="K643" s="33" t="s">
        <v>16</v>
      </c>
      <c r="L643" s="38">
        <f t="shared" si="21"/>
        <v>2059.1578</v>
      </c>
      <c r="M643" s="38">
        <v>34.99</v>
      </c>
      <c r="N643" s="24">
        <f>_xlfn.XLOOKUP(Snitch_Fashion_Sales_cleaned!$J643,Table2[City],Table2[City_Key],"not found")</f>
        <v>2</v>
      </c>
      <c r="O643" s="23">
        <f>_xlfn.XLOOKUP(Snitch_Fashion_Sales_cleaned!$D643,Table4[Product_Name],Table4[Product_Key],"not found")</f>
        <v>24</v>
      </c>
      <c r="P643" s="32">
        <f>_xlfn.XLOOKUP(Snitch_Fashion_Sales_cleaned!$I643,Table3[Order_Date],Table3[Date_Key])</f>
        <v>303</v>
      </c>
    </row>
    <row r="644" spans="1:16" x14ac:dyDescent="0.3">
      <c r="A644" s="27">
        <v>1642</v>
      </c>
      <c r="B644" s="25" t="s">
        <v>689</v>
      </c>
      <c r="C644" s="25" t="s">
        <v>20</v>
      </c>
      <c r="D644" s="26" t="s">
        <v>84</v>
      </c>
      <c r="E644" s="27">
        <v>3</v>
      </c>
      <c r="F644" s="28">
        <v>2537.59</v>
      </c>
      <c r="G644" s="29">
        <v>0.51</v>
      </c>
      <c r="H644" s="28">
        <f t="shared" si="20"/>
        <v>7612.77</v>
      </c>
      <c r="I644" s="30">
        <v>45545</v>
      </c>
      <c r="J644" s="26" t="s">
        <v>52</v>
      </c>
      <c r="K644" s="26" t="s">
        <v>16</v>
      </c>
      <c r="L644" s="31">
        <f t="shared" si="21"/>
        <v>3730.2573000000002</v>
      </c>
      <c r="M644" s="31">
        <v>2906.72</v>
      </c>
      <c r="N644" s="22">
        <f>_xlfn.XLOOKUP(Snitch_Fashion_Sales_cleaned!$J644,Table2[City],Table2[City_Key],"not found")</f>
        <v>5</v>
      </c>
      <c r="O644" s="21">
        <f>_xlfn.XLOOKUP(Snitch_Fashion_Sales_cleaned!$D644,Table4[Product_Name],Table4[Product_Key],"not found")</f>
        <v>19</v>
      </c>
      <c r="P644" s="25">
        <f>_xlfn.XLOOKUP(Snitch_Fashion_Sales_cleaned!$I644,Table3[Order_Date],Table3[Date_Key])</f>
        <v>151</v>
      </c>
    </row>
    <row r="645" spans="1:16" x14ac:dyDescent="0.3">
      <c r="A645" s="34">
        <v>1643</v>
      </c>
      <c r="B645" s="32" t="s">
        <v>690</v>
      </c>
      <c r="C645" s="32" t="s">
        <v>25</v>
      </c>
      <c r="D645" s="33" t="s">
        <v>82</v>
      </c>
      <c r="E645" s="34">
        <v>3</v>
      </c>
      <c r="F645" s="35">
        <v>2385.5749999999998</v>
      </c>
      <c r="G645" s="36">
        <v>0.35</v>
      </c>
      <c r="H645" s="35">
        <f t="shared" si="20"/>
        <v>7156.7249999999995</v>
      </c>
      <c r="I645" s="37">
        <v>45559</v>
      </c>
      <c r="J645" s="33" t="s">
        <v>2540</v>
      </c>
      <c r="K645" s="33" t="s">
        <v>23</v>
      </c>
      <c r="L645" s="38">
        <f t="shared" si="21"/>
        <v>4651.8712500000001</v>
      </c>
      <c r="M645" s="38">
        <v>2589.4299999999998</v>
      </c>
      <c r="N645" s="24">
        <f>_xlfn.XLOOKUP(Snitch_Fashion_Sales_cleaned!$J645,Table2[City],Table2[City_Key],"not found")</f>
        <v>4</v>
      </c>
      <c r="O645" s="23">
        <f>_xlfn.XLOOKUP(Snitch_Fashion_Sales_cleaned!$D645,Table4[Product_Name],Table4[Product_Key],"not found")</f>
        <v>18</v>
      </c>
      <c r="P645" s="32">
        <f>_xlfn.XLOOKUP(Snitch_Fashion_Sales_cleaned!$I645,Table3[Order_Date],Table3[Date_Key])</f>
        <v>323</v>
      </c>
    </row>
    <row r="646" spans="1:16" x14ac:dyDescent="0.3">
      <c r="A646" s="27">
        <v>1644</v>
      </c>
      <c r="B646" s="25" t="s">
        <v>691</v>
      </c>
      <c r="C646" s="25" t="s">
        <v>36</v>
      </c>
      <c r="D646" s="26" t="s">
        <v>59</v>
      </c>
      <c r="E646" s="27">
        <v>3</v>
      </c>
      <c r="F646" s="28">
        <v>2765.26</v>
      </c>
      <c r="G646" s="29">
        <v>0.51</v>
      </c>
      <c r="H646" s="28">
        <f t="shared" ref="H646:H709" si="22">E646*F646</f>
        <v>8295.7800000000007</v>
      </c>
      <c r="I646" s="30">
        <v>45647</v>
      </c>
      <c r="J646" s="26" t="s">
        <v>52</v>
      </c>
      <c r="K646" s="26" t="s">
        <v>16</v>
      </c>
      <c r="L646" s="31">
        <f t="shared" ref="L646:L709" si="23">H646*(1-G646)</f>
        <v>4064.9322000000002</v>
      </c>
      <c r="M646" s="31">
        <v>1343.06</v>
      </c>
      <c r="N646" s="22">
        <f>_xlfn.XLOOKUP(Snitch_Fashion_Sales_cleaned!$J646,Table2[City],Table2[City_Key],"not found")</f>
        <v>5</v>
      </c>
      <c r="O646" s="21">
        <f>_xlfn.XLOOKUP(Snitch_Fashion_Sales_cleaned!$D646,Table4[Product_Name],Table4[Product_Key],"not found")</f>
        <v>13</v>
      </c>
      <c r="P646" s="25">
        <f>_xlfn.XLOOKUP(Snitch_Fashion_Sales_cleaned!$I646,Table3[Order_Date],Table3[Date_Key])</f>
        <v>5</v>
      </c>
    </row>
    <row r="647" spans="1:16" x14ac:dyDescent="0.3">
      <c r="A647" s="34">
        <v>1645</v>
      </c>
      <c r="B647" s="32" t="s">
        <v>692</v>
      </c>
      <c r="C647" s="32" t="s">
        <v>31</v>
      </c>
      <c r="D647" s="33" t="s">
        <v>68</v>
      </c>
      <c r="E647" s="34">
        <v>4</v>
      </c>
      <c r="F647" s="35">
        <v>2660.45</v>
      </c>
      <c r="G647" s="36">
        <v>0.22</v>
      </c>
      <c r="H647" s="35">
        <f t="shared" si="22"/>
        <v>10641.8</v>
      </c>
      <c r="I647" s="37">
        <v>45207</v>
      </c>
      <c r="J647" s="33" t="s">
        <v>2540</v>
      </c>
      <c r="K647" s="33" t="s">
        <v>23</v>
      </c>
      <c r="L647" s="38">
        <f t="shared" si="23"/>
        <v>8300.6039999999994</v>
      </c>
      <c r="M647" s="38">
        <v>-825.82</v>
      </c>
      <c r="N647" s="24">
        <f>_xlfn.XLOOKUP(Snitch_Fashion_Sales_cleaned!$J647,Table2[City],Table2[City_Key],"not found")</f>
        <v>4</v>
      </c>
      <c r="O647" s="23">
        <f>_xlfn.XLOOKUP(Snitch_Fashion_Sales_cleaned!$D647,Table4[Product_Name],Table4[Product_Key],"not found")</f>
        <v>15</v>
      </c>
      <c r="P647" s="32">
        <f>_xlfn.XLOOKUP(Snitch_Fashion_Sales_cleaned!$I647,Table3[Order_Date],Table3[Date_Key])</f>
        <v>311</v>
      </c>
    </row>
    <row r="648" spans="1:16" x14ac:dyDescent="0.3">
      <c r="A648" s="27">
        <v>1646</v>
      </c>
      <c r="B648" s="25" t="s">
        <v>693</v>
      </c>
      <c r="C648" s="25" t="s">
        <v>13</v>
      </c>
      <c r="D648" s="26" t="s">
        <v>98</v>
      </c>
      <c r="E648" s="27">
        <v>5</v>
      </c>
      <c r="F648" s="28">
        <v>3393.47</v>
      </c>
      <c r="G648" s="29">
        <v>0.38</v>
      </c>
      <c r="H648" s="28">
        <f t="shared" si="22"/>
        <v>16967.349999999999</v>
      </c>
      <c r="I648" s="30">
        <v>45695</v>
      </c>
      <c r="J648" s="26" t="s">
        <v>18</v>
      </c>
      <c r="K648" s="26" t="s">
        <v>23</v>
      </c>
      <c r="L648" s="31">
        <f t="shared" si="23"/>
        <v>10519.757</v>
      </c>
      <c r="M648" s="31">
        <v>925.07</v>
      </c>
      <c r="N648" s="22">
        <f>_xlfn.XLOOKUP(Snitch_Fashion_Sales_cleaned!$J648,Table2[City],Table2[City_Key],"not found")</f>
        <v>2</v>
      </c>
      <c r="O648" s="21">
        <f>_xlfn.XLOOKUP(Snitch_Fashion_Sales_cleaned!$D648,Table4[Product_Name],Table4[Product_Key],"not found")</f>
        <v>21</v>
      </c>
      <c r="P648" s="25">
        <f>_xlfn.XLOOKUP(Snitch_Fashion_Sales_cleaned!$I648,Table3[Order_Date],Table3[Date_Key])</f>
        <v>324</v>
      </c>
    </row>
    <row r="649" spans="1:16" x14ac:dyDescent="0.3">
      <c r="A649" s="34">
        <v>1647</v>
      </c>
      <c r="B649" s="32" t="s">
        <v>694</v>
      </c>
      <c r="C649" s="32" t="s">
        <v>25</v>
      </c>
      <c r="D649" s="33" t="s">
        <v>82</v>
      </c>
      <c r="E649" s="34">
        <v>3</v>
      </c>
      <c r="F649" s="35">
        <v>498.95</v>
      </c>
      <c r="G649" s="36">
        <v>0.51</v>
      </c>
      <c r="H649" s="35">
        <f t="shared" si="22"/>
        <v>1496.85</v>
      </c>
      <c r="I649" s="37">
        <v>45837</v>
      </c>
      <c r="J649" s="33" t="s">
        <v>22</v>
      </c>
      <c r="K649" s="33" t="s">
        <v>16</v>
      </c>
      <c r="L649" s="38">
        <f t="shared" si="23"/>
        <v>733.45649999999989</v>
      </c>
      <c r="M649" s="38">
        <v>-433.87</v>
      </c>
      <c r="N649" s="24">
        <f>_xlfn.XLOOKUP(Snitch_Fashion_Sales_cleaned!$J649,Table2[City],Table2[City_Key],"not found")</f>
        <v>3</v>
      </c>
      <c r="O649" s="23">
        <f>_xlfn.XLOOKUP(Snitch_Fashion_Sales_cleaned!$D649,Table4[Product_Name],Table4[Product_Key],"not found")</f>
        <v>18</v>
      </c>
      <c r="P649" s="32">
        <f>_xlfn.XLOOKUP(Snitch_Fashion_Sales_cleaned!$I649,Table3[Order_Date],Table3[Date_Key])</f>
        <v>163</v>
      </c>
    </row>
    <row r="650" spans="1:16" x14ac:dyDescent="0.3">
      <c r="A650" s="27">
        <v>1648</v>
      </c>
      <c r="B650" s="25" t="s">
        <v>695</v>
      </c>
      <c r="C650" s="25" t="s">
        <v>20</v>
      </c>
      <c r="D650" s="26" t="s">
        <v>76</v>
      </c>
      <c r="E650" s="27">
        <v>3</v>
      </c>
      <c r="F650" s="28">
        <v>2229.4899999999998</v>
      </c>
      <c r="G650" s="29">
        <v>0.51</v>
      </c>
      <c r="H650" s="28">
        <f t="shared" si="22"/>
        <v>6688.4699999999993</v>
      </c>
      <c r="I650" s="30">
        <v>45746</v>
      </c>
      <c r="J650" s="26" t="s">
        <v>22</v>
      </c>
      <c r="K650" s="26" t="s">
        <v>23</v>
      </c>
      <c r="L650" s="31">
        <f t="shared" si="23"/>
        <v>3277.3502999999996</v>
      </c>
      <c r="M650" s="31">
        <v>-952.5</v>
      </c>
      <c r="N650" s="22">
        <f>_xlfn.XLOOKUP(Snitch_Fashion_Sales_cleaned!$J650,Table2[City],Table2[City_Key],"not found")</f>
        <v>3</v>
      </c>
      <c r="O650" s="21">
        <f>_xlfn.XLOOKUP(Snitch_Fashion_Sales_cleaned!$D650,Table4[Product_Name],Table4[Product_Key],"not found")</f>
        <v>16</v>
      </c>
      <c r="P650" s="25">
        <f>_xlfn.XLOOKUP(Snitch_Fashion_Sales_cleaned!$I650,Table3[Order_Date],Table3[Date_Key])</f>
        <v>112</v>
      </c>
    </row>
    <row r="651" spans="1:16" x14ac:dyDescent="0.3">
      <c r="A651" s="34">
        <v>1649</v>
      </c>
      <c r="B651" s="32" t="s">
        <v>696</v>
      </c>
      <c r="C651" s="32" t="s">
        <v>25</v>
      </c>
      <c r="D651" s="33" t="s">
        <v>82</v>
      </c>
      <c r="E651" s="34">
        <v>3</v>
      </c>
      <c r="F651" s="35">
        <v>2385.5749999999998</v>
      </c>
      <c r="G651" s="36">
        <v>0.06</v>
      </c>
      <c r="H651" s="35">
        <f t="shared" si="22"/>
        <v>7156.7249999999995</v>
      </c>
      <c r="I651" s="37">
        <v>45666</v>
      </c>
      <c r="J651" s="33" t="s">
        <v>52</v>
      </c>
      <c r="K651" s="33" t="s">
        <v>23</v>
      </c>
      <c r="L651" s="38">
        <f t="shared" si="23"/>
        <v>6727.3214999999991</v>
      </c>
      <c r="M651" s="38">
        <v>-640.58000000000004</v>
      </c>
      <c r="N651" s="24">
        <f>_xlfn.XLOOKUP(Snitch_Fashion_Sales_cleaned!$J651,Table2[City],Table2[City_Key],"not found")</f>
        <v>5</v>
      </c>
      <c r="O651" s="23">
        <f>_xlfn.XLOOKUP(Snitch_Fashion_Sales_cleaned!$D651,Table4[Product_Name],Table4[Product_Key],"not found")</f>
        <v>18</v>
      </c>
      <c r="P651" s="32">
        <f>_xlfn.XLOOKUP(Snitch_Fashion_Sales_cleaned!$I651,Table3[Order_Date],Table3[Date_Key])</f>
        <v>107</v>
      </c>
    </row>
    <row r="652" spans="1:16" x14ac:dyDescent="0.3">
      <c r="A652" s="27">
        <v>1650</v>
      </c>
      <c r="B652" s="25" t="s">
        <v>697</v>
      </c>
      <c r="C652" s="25" t="s">
        <v>36</v>
      </c>
      <c r="D652" s="26" t="s">
        <v>59</v>
      </c>
      <c r="E652" s="27">
        <v>2</v>
      </c>
      <c r="F652" s="28">
        <v>2765.26</v>
      </c>
      <c r="G652" s="29">
        <v>0.96</v>
      </c>
      <c r="H652" s="28">
        <f t="shared" si="22"/>
        <v>5530.52</v>
      </c>
      <c r="I652" s="30">
        <v>45617</v>
      </c>
      <c r="J652" s="26" t="s">
        <v>22</v>
      </c>
      <c r="K652" s="26" t="s">
        <v>23</v>
      </c>
      <c r="L652" s="31">
        <f t="shared" si="23"/>
        <v>221.22080000000022</v>
      </c>
      <c r="M652" s="31">
        <v>55.305200000000056</v>
      </c>
      <c r="N652" s="22">
        <f>_xlfn.XLOOKUP(Snitch_Fashion_Sales_cleaned!$J652,Table2[City],Table2[City_Key],"not found")</f>
        <v>3</v>
      </c>
      <c r="O652" s="21">
        <f>_xlfn.XLOOKUP(Snitch_Fashion_Sales_cleaned!$D652,Table4[Product_Name],Table4[Product_Key],"not found")</f>
        <v>13</v>
      </c>
      <c r="P652" s="25">
        <f>_xlfn.XLOOKUP(Snitch_Fashion_Sales_cleaned!$I652,Table3[Order_Date],Table3[Date_Key])</f>
        <v>199</v>
      </c>
    </row>
    <row r="653" spans="1:16" x14ac:dyDescent="0.3">
      <c r="A653" s="34">
        <v>1651</v>
      </c>
      <c r="B653" s="32" t="s">
        <v>698</v>
      </c>
      <c r="C653" s="32" t="s">
        <v>25</v>
      </c>
      <c r="D653" s="33" t="s">
        <v>50</v>
      </c>
      <c r="E653" s="34">
        <v>3</v>
      </c>
      <c r="F653" s="35">
        <v>2666.2200000000003</v>
      </c>
      <c r="G653" s="36">
        <v>0.05</v>
      </c>
      <c r="H653" s="35">
        <f t="shared" si="22"/>
        <v>7998.6600000000008</v>
      </c>
      <c r="I653" s="37">
        <v>45647</v>
      </c>
      <c r="J653" s="33" t="s">
        <v>22</v>
      </c>
      <c r="K653" s="33" t="s">
        <v>23</v>
      </c>
      <c r="L653" s="38">
        <f t="shared" si="23"/>
        <v>7598.7270000000008</v>
      </c>
      <c r="M653" s="38">
        <v>-551.78</v>
      </c>
      <c r="N653" s="24">
        <f>_xlfn.XLOOKUP(Snitch_Fashion_Sales_cleaned!$J653,Table2[City],Table2[City_Key],"not found")</f>
        <v>3</v>
      </c>
      <c r="O653" s="23">
        <f>_xlfn.XLOOKUP(Snitch_Fashion_Sales_cleaned!$D653,Table4[Product_Name],Table4[Product_Key],"not found")</f>
        <v>11</v>
      </c>
      <c r="P653" s="32">
        <f>_xlfn.XLOOKUP(Snitch_Fashion_Sales_cleaned!$I653,Table3[Order_Date],Table3[Date_Key])</f>
        <v>5</v>
      </c>
    </row>
    <row r="654" spans="1:16" x14ac:dyDescent="0.3">
      <c r="A654" s="27">
        <v>1652</v>
      </c>
      <c r="B654" s="25" t="s">
        <v>699</v>
      </c>
      <c r="C654" s="25" t="s">
        <v>36</v>
      </c>
      <c r="D654" s="26" t="s">
        <v>55</v>
      </c>
      <c r="E654" s="27">
        <v>3</v>
      </c>
      <c r="F654" s="28">
        <v>2375.56</v>
      </c>
      <c r="G654" s="29">
        <v>0.59</v>
      </c>
      <c r="H654" s="28">
        <f t="shared" si="22"/>
        <v>7126.68</v>
      </c>
      <c r="I654" s="30">
        <v>45647</v>
      </c>
      <c r="J654" s="26" t="s">
        <v>52</v>
      </c>
      <c r="K654" s="26" t="s">
        <v>23</v>
      </c>
      <c r="L654" s="31">
        <f t="shared" si="23"/>
        <v>2921.9388000000004</v>
      </c>
      <c r="M654" s="31">
        <v>2699.88</v>
      </c>
      <c r="N654" s="22">
        <f>_xlfn.XLOOKUP(Snitch_Fashion_Sales_cleaned!$J654,Table2[City],Table2[City_Key],"not found")</f>
        <v>5</v>
      </c>
      <c r="O654" s="21">
        <f>_xlfn.XLOOKUP(Snitch_Fashion_Sales_cleaned!$D654,Table4[Product_Name],Table4[Product_Key],"not found")</f>
        <v>12</v>
      </c>
      <c r="P654" s="25">
        <f>_xlfn.XLOOKUP(Snitch_Fashion_Sales_cleaned!$I654,Table3[Order_Date],Table3[Date_Key])</f>
        <v>5</v>
      </c>
    </row>
    <row r="655" spans="1:16" x14ac:dyDescent="0.3">
      <c r="A655" s="34">
        <v>1653</v>
      </c>
      <c r="B655" s="32" t="s">
        <v>700</v>
      </c>
      <c r="C655" s="32" t="s">
        <v>20</v>
      </c>
      <c r="D655" s="33" t="s">
        <v>84</v>
      </c>
      <c r="E655" s="34">
        <v>3</v>
      </c>
      <c r="F655" s="35">
        <v>2563.6</v>
      </c>
      <c r="G655" s="36">
        <v>0.88</v>
      </c>
      <c r="H655" s="35">
        <f t="shared" si="22"/>
        <v>7690.7999999999993</v>
      </c>
      <c r="I655" s="37">
        <v>45822</v>
      </c>
      <c r="J655" s="33" t="s">
        <v>22</v>
      </c>
      <c r="K655" s="33" t="s">
        <v>23</v>
      </c>
      <c r="L655" s="38">
        <f t="shared" si="23"/>
        <v>922.89599999999984</v>
      </c>
      <c r="M655" s="38">
        <v>516.95000000000005</v>
      </c>
      <c r="N655" s="24">
        <f>_xlfn.XLOOKUP(Snitch_Fashion_Sales_cleaned!$J655,Table2[City],Table2[City_Key],"not found")</f>
        <v>3</v>
      </c>
      <c r="O655" s="23">
        <f>_xlfn.XLOOKUP(Snitch_Fashion_Sales_cleaned!$D655,Table4[Product_Name],Table4[Product_Key],"not found")</f>
        <v>19</v>
      </c>
      <c r="P655" s="32">
        <f>_xlfn.XLOOKUP(Snitch_Fashion_Sales_cleaned!$I655,Table3[Order_Date],Table3[Date_Key])</f>
        <v>325</v>
      </c>
    </row>
    <row r="656" spans="1:16" x14ac:dyDescent="0.3">
      <c r="A656" s="27">
        <v>1654</v>
      </c>
      <c r="B656" s="25" t="s">
        <v>701</v>
      </c>
      <c r="C656" s="25" t="s">
        <v>28</v>
      </c>
      <c r="D656" s="26" t="s">
        <v>137</v>
      </c>
      <c r="E656" s="27">
        <v>1</v>
      </c>
      <c r="F656" s="28">
        <v>2338.04</v>
      </c>
      <c r="G656" s="29">
        <v>0.51</v>
      </c>
      <c r="H656" s="28">
        <f t="shared" si="22"/>
        <v>2338.04</v>
      </c>
      <c r="I656" s="30">
        <v>45523</v>
      </c>
      <c r="J656" s="26" t="s">
        <v>18</v>
      </c>
      <c r="K656" s="26" t="s">
        <v>23</v>
      </c>
      <c r="L656" s="31">
        <f t="shared" si="23"/>
        <v>1145.6396</v>
      </c>
      <c r="M656" s="31">
        <v>286.40989999999999</v>
      </c>
      <c r="N656" s="22">
        <f>_xlfn.XLOOKUP(Snitch_Fashion_Sales_cleaned!$J656,Table2[City],Table2[City_Key],"not found")</f>
        <v>2</v>
      </c>
      <c r="O656" s="21">
        <f>_xlfn.XLOOKUP(Snitch_Fashion_Sales_cleaned!$D656,Table4[Product_Name],Table4[Product_Key],"not found")</f>
        <v>24</v>
      </c>
      <c r="P656" s="25">
        <f>_xlfn.XLOOKUP(Snitch_Fashion_Sales_cleaned!$I656,Table3[Order_Date],Table3[Date_Key])</f>
        <v>326</v>
      </c>
    </row>
    <row r="657" spans="1:16" x14ac:dyDescent="0.3">
      <c r="A657" s="34">
        <v>1655</v>
      </c>
      <c r="B657" s="32" t="s">
        <v>702</v>
      </c>
      <c r="C657" s="32" t="s">
        <v>13</v>
      </c>
      <c r="D657" s="33" t="s">
        <v>34</v>
      </c>
      <c r="E657" s="34">
        <v>5</v>
      </c>
      <c r="F657" s="35">
        <v>1385.86</v>
      </c>
      <c r="G657" s="36">
        <v>0.71</v>
      </c>
      <c r="H657" s="35">
        <f t="shared" si="22"/>
        <v>6929.2999999999993</v>
      </c>
      <c r="I657" s="37">
        <v>45809</v>
      </c>
      <c r="J657" s="33" t="s">
        <v>22</v>
      </c>
      <c r="K657" s="33" t="s">
        <v>16</v>
      </c>
      <c r="L657" s="38">
        <f t="shared" si="23"/>
        <v>2009.4970000000001</v>
      </c>
      <c r="M657" s="38">
        <v>1839.94</v>
      </c>
      <c r="N657" s="24">
        <f>_xlfn.XLOOKUP(Snitch_Fashion_Sales_cleaned!$J657,Table2[City],Table2[City_Key],"not found")</f>
        <v>3</v>
      </c>
      <c r="O657" s="23">
        <f>_xlfn.XLOOKUP(Snitch_Fashion_Sales_cleaned!$D657,Table4[Product_Name],Table4[Product_Key],"not found")</f>
        <v>6</v>
      </c>
      <c r="P657" s="32">
        <f>_xlfn.XLOOKUP(Snitch_Fashion_Sales_cleaned!$I657,Table3[Order_Date],Table3[Date_Key])</f>
        <v>327</v>
      </c>
    </row>
    <row r="658" spans="1:16" x14ac:dyDescent="0.3">
      <c r="A658" s="27">
        <v>1656</v>
      </c>
      <c r="B658" s="25" t="s">
        <v>703</v>
      </c>
      <c r="C658" s="25" t="s">
        <v>25</v>
      </c>
      <c r="D658" s="26" t="s">
        <v>62</v>
      </c>
      <c r="E658" s="27">
        <v>4</v>
      </c>
      <c r="F658" s="28">
        <v>2538.0450000000001</v>
      </c>
      <c r="G658" s="29">
        <v>0.51</v>
      </c>
      <c r="H658" s="28">
        <f t="shared" si="22"/>
        <v>10152.18</v>
      </c>
      <c r="I658" s="30">
        <v>45647</v>
      </c>
      <c r="J658" s="26" t="s">
        <v>15</v>
      </c>
      <c r="K658" s="26" t="s">
        <v>23</v>
      </c>
      <c r="L658" s="31">
        <f t="shared" si="23"/>
        <v>4974.5681999999997</v>
      </c>
      <c r="M658" s="31">
        <v>1872.27</v>
      </c>
      <c r="N658" s="22">
        <f>_xlfn.XLOOKUP(Snitch_Fashion_Sales_cleaned!$J658,Table2[City],Table2[City_Key],"not found")</f>
        <v>1</v>
      </c>
      <c r="O658" s="21">
        <f>_xlfn.XLOOKUP(Snitch_Fashion_Sales_cleaned!$D658,Table4[Product_Name],Table4[Product_Key],"not found")</f>
        <v>14</v>
      </c>
      <c r="P658" s="25">
        <f>_xlfn.XLOOKUP(Snitch_Fashion_Sales_cleaned!$I658,Table3[Order_Date],Table3[Date_Key])</f>
        <v>5</v>
      </c>
    </row>
    <row r="659" spans="1:16" x14ac:dyDescent="0.3">
      <c r="A659" s="34">
        <v>1657</v>
      </c>
      <c r="B659" s="32" t="s">
        <v>704</v>
      </c>
      <c r="C659" s="32" t="s">
        <v>13</v>
      </c>
      <c r="D659" s="33" t="s">
        <v>98</v>
      </c>
      <c r="E659" s="34">
        <v>5</v>
      </c>
      <c r="F659" s="35">
        <v>2750.33</v>
      </c>
      <c r="G659" s="36">
        <v>0.51</v>
      </c>
      <c r="H659" s="35">
        <f t="shared" si="22"/>
        <v>13751.65</v>
      </c>
      <c r="I659" s="37">
        <v>45520</v>
      </c>
      <c r="J659" s="33" t="s">
        <v>2540</v>
      </c>
      <c r="K659" s="33" t="s">
        <v>23</v>
      </c>
      <c r="L659" s="38">
        <f t="shared" si="23"/>
        <v>6738.3085000000001</v>
      </c>
      <c r="M659" s="38">
        <v>2507.9299999999998</v>
      </c>
      <c r="N659" s="24">
        <f>_xlfn.XLOOKUP(Snitch_Fashion_Sales_cleaned!$J659,Table2[City],Table2[City_Key],"not found")</f>
        <v>4</v>
      </c>
      <c r="O659" s="23">
        <f>_xlfn.XLOOKUP(Snitch_Fashion_Sales_cleaned!$D659,Table4[Product_Name],Table4[Product_Key],"not found")</f>
        <v>21</v>
      </c>
      <c r="P659" s="32">
        <f>_xlfn.XLOOKUP(Snitch_Fashion_Sales_cleaned!$I659,Table3[Order_Date],Table3[Date_Key])</f>
        <v>321</v>
      </c>
    </row>
    <row r="660" spans="1:16" x14ac:dyDescent="0.3">
      <c r="A660" s="27">
        <v>1658</v>
      </c>
      <c r="B660" s="25" t="s">
        <v>705</v>
      </c>
      <c r="C660" s="25" t="s">
        <v>20</v>
      </c>
      <c r="D660" s="26" t="s">
        <v>21</v>
      </c>
      <c r="E660" s="27">
        <v>4</v>
      </c>
      <c r="F660" s="28">
        <v>2579.8000000000002</v>
      </c>
      <c r="G660" s="29">
        <v>0.51</v>
      </c>
      <c r="H660" s="28">
        <f t="shared" si="22"/>
        <v>10319.200000000001</v>
      </c>
      <c r="I660" s="30">
        <v>45750</v>
      </c>
      <c r="J660" s="26" t="s">
        <v>2540</v>
      </c>
      <c r="K660" s="26" t="s">
        <v>23</v>
      </c>
      <c r="L660" s="31">
        <f t="shared" si="23"/>
        <v>5056.4080000000004</v>
      </c>
      <c r="M660" s="31">
        <v>2996.16</v>
      </c>
      <c r="N660" s="22">
        <f>_xlfn.XLOOKUP(Snitch_Fashion_Sales_cleaned!$J660,Table2[City],Table2[City_Key],"not found")</f>
        <v>4</v>
      </c>
      <c r="O660" s="21">
        <f>_xlfn.XLOOKUP(Snitch_Fashion_Sales_cleaned!$D660,Table4[Product_Name],Table4[Product_Key],"not found")</f>
        <v>2</v>
      </c>
      <c r="P660" s="25">
        <f>_xlfn.XLOOKUP(Snitch_Fashion_Sales_cleaned!$I660,Table3[Order_Date],Table3[Date_Key])</f>
        <v>308</v>
      </c>
    </row>
    <row r="661" spans="1:16" x14ac:dyDescent="0.3">
      <c r="A661" s="34">
        <v>1659</v>
      </c>
      <c r="B661" s="32" t="s">
        <v>706</v>
      </c>
      <c r="C661" s="32" t="s">
        <v>25</v>
      </c>
      <c r="D661" s="33" t="s">
        <v>50</v>
      </c>
      <c r="E661" s="34">
        <v>4</v>
      </c>
      <c r="F661" s="35">
        <v>1014.86</v>
      </c>
      <c r="G661" s="36">
        <v>0.31</v>
      </c>
      <c r="H661" s="35">
        <f t="shared" si="22"/>
        <v>4059.44</v>
      </c>
      <c r="I661" s="37">
        <v>45647</v>
      </c>
      <c r="J661" s="33" t="s">
        <v>43</v>
      </c>
      <c r="K661" s="33" t="s">
        <v>16</v>
      </c>
      <c r="L661" s="38">
        <f t="shared" si="23"/>
        <v>2801.0135999999998</v>
      </c>
      <c r="M661" s="38">
        <v>-379.55</v>
      </c>
      <c r="N661" s="24">
        <f>_xlfn.XLOOKUP(Snitch_Fashion_Sales_cleaned!$J661,Table2[City],Table2[City_Key],"not found")</f>
        <v>6</v>
      </c>
      <c r="O661" s="23">
        <f>_xlfn.XLOOKUP(Snitch_Fashion_Sales_cleaned!$D661,Table4[Product_Name],Table4[Product_Key],"not found")</f>
        <v>11</v>
      </c>
      <c r="P661" s="32">
        <f>_xlfn.XLOOKUP(Snitch_Fashion_Sales_cleaned!$I661,Table3[Order_Date],Table3[Date_Key])</f>
        <v>5</v>
      </c>
    </row>
    <row r="662" spans="1:16" x14ac:dyDescent="0.3">
      <c r="A662" s="27">
        <v>1660</v>
      </c>
      <c r="B662" s="25" t="s">
        <v>707</v>
      </c>
      <c r="C662" s="25" t="s">
        <v>13</v>
      </c>
      <c r="D662" s="26" t="s">
        <v>14</v>
      </c>
      <c r="E662" s="27">
        <v>4</v>
      </c>
      <c r="F662" s="28">
        <v>2366.6149999999998</v>
      </c>
      <c r="G662" s="29">
        <v>0.51</v>
      </c>
      <c r="H662" s="28">
        <f t="shared" si="22"/>
        <v>9466.4599999999991</v>
      </c>
      <c r="I662" s="30">
        <v>45737</v>
      </c>
      <c r="J662" s="26" t="s">
        <v>22</v>
      </c>
      <c r="K662" s="26" t="s">
        <v>23</v>
      </c>
      <c r="L662" s="31">
        <f t="shared" si="23"/>
        <v>4638.5653999999995</v>
      </c>
      <c r="M662" s="31">
        <v>2345.37</v>
      </c>
      <c r="N662" s="22">
        <f>_xlfn.XLOOKUP(Snitch_Fashion_Sales_cleaned!$J662,Table2[City],Table2[City_Key],"not found")</f>
        <v>3</v>
      </c>
      <c r="O662" s="21">
        <f>_xlfn.XLOOKUP(Snitch_Fashion_Sales_cleaned!$D662,Table4[Product_Name],Table4[Product_Key],"not found")</f>
        <v>1</v>
      </c>
      <c r="P662" s="25">
        <f>_xlfn.XLOOKUP(Snitch_Fashion_Sales_cleaned!$I662,Table3[Order_Date],Table3[Date_Key])</f>
        <v>136</v>
      </c>
    </row>
    <row r="663" spans="1:16" x14ac:dyDescent="0.3">
      <c r="A663" s="34">
        <v>1661</v>
      </c>
      <c r="B663" s="32" t="s">
        <v>708</v>
      </c>
      <c r="C663" s="32" t="s">
        <v>25</v>
      </c>
      <c r="D663" s="33" t="s">
        <v>82</v>
      </c>
      <c r="E663" s="34">
        <v>3</v>
      </c>
      <c r="F663" s="35">
        <v>2385.5749999999998</v>
      </c>
      <c r="G663" s="36">
        <v>0.51</v>
      </c>
      <c r="H663" s="35">
        <f t="shared" si="22"/>
        <v>7156.7249999999995</v>
      </c>
      <c r="I663" s="37">
        <v>45633</v>
      </c>
      <c r="J663" s="33" t="s">
        <v>2540</v>
      </c>
      <c r="K663" s="33" t="s">
        <v>23</v>
      </c>
      <c r="L663" s="38">
        <f t="shared" si="23"/>
        <v>3506.7952499999997</v>
      </c>
      <c r="M663" s="38">
        <v>49.2</v>
      </c>
      <c r="N663" s="24">
        <f>_xlfn.XLOOKUP(Snitch_Fashion_Sales_cleaned!$J663,Table2[City],Table2[City_Key],"not found")</f>
        <v>4</v>
      </c>
      <c r="O663" s="23">
        <f>_xlfn.XLOOKUP(Snitch_Fashion_Sales_cleaned!$D663,Table4[Product_Name],Table4[Product_Key],"not found")</f>
        <v>18</v>
      </c>
      <c r="P663" s="32">
        <f>_xlfn.XLOOKUP(Snitch_Fashion_Sales_cleaned!$I663,Table3[Order_Date],Table3[Date_Key])</f>
        <v>211</v>
      </c>
    </row>
    <row r="664" spans="1:16" x14ac:dyDescent="0.3">
      <c r="A664" s="27">
        <v>1662</v>
      </c>
      <c r="B664" s="25" t="s">
        <v>709</v>
      </c>
      <c r="C664" s="25" t="s">
        <v>28</v>
      </c>
      <c r="D664" s="26" t="s">
        <v>29</v>
      </c>
      <c r="E664" s="27">
        <v>6</v>
      </c>
      <c r="F664" s="28">
        <v>2515.415</v>
      </c>
      <c r="G664" s="29">
        <v>0.96</v>
      </c>
      <c r="H664" s="28">
        <f t="shared" si="22"/>
        <v>15092.49</v>
      </c>
      <c r="I664" s="30">
        <v>45647</v>
      </c>
      <c r="J664" s="26" t="s">
        <v>18</v>
      </c>
      <c r="K664" s="26" t="s">
        <v>16</v>
      </c>
      <c r="L664" s="31">
        <f t="shared" si="23"/>
        <v>603.69960000000049</v>
      </c>
      <c r="M664" s="31">
        <v>150.92490000000012</v>
      </c>
      <c r="N664" s="22">
        <f>_xlfn.XLOOKUP(Snitch_Fashion_Sales_cleaned!$J664,Table2[City],Table2[City_Key],"not found")</f>
        <v>2</v>
      </c>
      <c r="O664" s="21">
        <f>_xlfn.XLOOKUP(Snitch_Fashion_Sales_cleaned!$D664,Table4[Product_Name],Table4[Product_Key],"not found")</f>
        <v>4</v>
      </c>
      <c r="P664" s="25">
        <f>_xlfn.XLOOKUP(Snitch_Fashion_Sales_cleaned!$I664,Table3[Order_Date],Table3[Date_Key])</f>
        <v>5</v>
      </c>
    </row>
    <row r="665" spans="1:16" x14ac:dyDescent="0.3">
      <c r="A665" s="34">
        <v>1663</v>
      </c>
      <c r="B665" s="32" t="s">
        <v>710</v>
      </c>
      <c r="C665" s="32" t="s">
        <v>25</v>
      </c>
      <c r="D665" s="33" t="s">
        <v>26</v>
      </c>
      <c r="E665" s="34">
        <v>3</v>
      </c>
      <c r="F665" s="35">
        <v>2933.45</v>
      </c>
      <c r="G665" s="36">
        <v>0.51</v>
      </c>
      <c r="H665" s="35">
        <f t="shared" si="22"/>
        <v>8800.3499999999985</v>
      </c>
      <c r="I665" s="37">
        <v>45514</v>
      </c>
      <c r="J665" s="33" t="s">
        <v>2540</v>
      </c>
      <c r="K665" s="33" t="s">
        <v>23</v>
      </c>
      <c r="L665" s="38">
        <f t="shared" si="23"/>
        <v>4312.1714999999995</v>
      </c>
      <c r="M665" s="38">
        <v>2091.5300000000002</v>
      </c>
      <c r="N665" s="24">
        <f>_xlfn.XLOOKUP(Snitch_Fashion_Sales_cleaned!$J665,Table2[City],Table2[City_Key],"not found")</f>
        <v>4</v>
      </c>
      <c r="O665" s="23">
        <f>_xlfn.XLOOKUP(Snitch_Fashion_Sales_cleaned!$D665,Table4[Product_Name],Table4[Product_Key],"not found")</f>
        <v>3</v>
      </c>
      <c r="P665" s="32">
        <f>_xlfn.XLOOKUP(Snitch_Fashion_Sales_cleaned!$I665,Table3[Order_Date],Table3[Date_Key])</f>
        <v>328</v>
      </c>
    </row>
    <row r="666" spans="1:16" x14ac:dyDescent="0.3">
      <c r="A666" s="27">
        <v>1664</v>
      </c>
      <c r="B666" s="25" t="s">
        <v>711</v>
      </c>
      <c r="C666" s="25" t="s">
        <v>25</v>
      </c>
      <c r="D666" s="26" t="s">
        <v>82</v>
      </c>
      <c r="E666" s="27">
        <v>3</v>
      </c>
      <c r="F666" s="28">
        <v>2385.5749999999998</v>
      </c>
      <c r="G666" s="29">
        <v>0.51</v>
      </c>
      <c r="H666" s="28">
        <f t="shared" si="22"/>
        <v>7156.7249999999995</v>
      </c>
      <c r="I666" s="30">
        <v>45797</v>
      </c>
      <c r="J666" s="26" t="s">
        <v>52</v>
      </c>
      <c r="K666" s="26" t="s">
        <v>23</v>
      </c>
      <c r="L666" s="31">
        <f t="shared" si="23"/>
        <v>3506.7952499999997</v>
      </c>
      <c r="M666" s="31">
        <v>844.94</v>
      </c>
      <c r="N666" s="22">
        <f>_xlfn.XLOOKUP(Snitch_Fashion_Sales_cleaned!$J666,Table2[City],Table2[City_Key],"not found")</f>
        <v>5</v>
      </c>
      <c r="O666" s="21">
        <f>_xlfn.XLOOKUP(Snitch_Fashion_Sales_cleaned!$D666,Table4[Product_Name],Table4[Product_Key],"not found")</f>
        <v>18</v>
      </c>
      <c r="P666" s="25">
        <f>_xlfn.XLOOKUP(Snitch_Fashion_Sales_cleaned!$I666,Table3[Order_Date],Table3[Date_Key])</f>
        <v>26</v>
      </c>
    </row>
    <row r="667" spans="1:16" x14ac:dyDescent="0.3">
      <c r="A667" s="34">
        <v>1665</v>
      </c>
      <c r="B667" s="32" t="s">
        <v>712</v>
      </c>
      <c r="C667" s="32" t="s">
        <v>31</v>
      </c>
      <c r="D667" s="33" t="s">
        <v>32</v>
      </c>
      <c r="E667" s="34">
        <v>4</v>
      </c>
      <c r="F667" s="35">
        <v>4504.03</v>
      </c>
      <c r="G667" s="36">
        <v>0.51</v>
      </c>
      <c r="H667" s="35">
        <f t="shared" si="22"/>
        <v>18016.12</v>
      </c>
      <c r="I667" s="37">
        <v>45739</v>
      </c>
      <c r="J667" s="33" t="s">
        <v>15</v>
      </c>
      <c r="K667" s="33" t="s">
        <v>16</v>
      </c>
      <c r="L667" s="38">
        <f t="shared" si="23"/>
        <v>8827.898799999999</v>
      </c>
      <c r="M667" s="38">
        <v>1488.95</v>
      </c>
      <c r="N667" s="24">
        <f>_xlfn.XLOOKUP(Snitch_Fashion_Sales_cleaned!$J667,Table2[City],Table2[City_Key],"not found")</f>
        <v>1</v>
      </c>
      <c r="O667" s="23">
        <f>_xlfn.XLOOKUP(Snitch_Fashion_Sales_cleaned!$D667,Table4[Product_Name],Table4[Product_Key],"not found")</f>
        <v>5</v>
      </c>
      <c r="P667" s="32">
        <f>_xlfn.XLOOKUP(Snitch_Fashion_Sales_cleaned!$I667,Table3[Order_Date],Table3[Date_Key])</f>
        <v>124</v>
      </c>
    </row>
    <row r="668" spans="1:16" x14ac:dyDescent="0.3">
      <c r="A668" s="27">
        <v>1666</v>
      </c>
      <c r="B668" s="25" t="s">
        <v>713</v>
      </c>
      <c r="C668" s="25" t="s">
        <v>13</v>
      </c>
      <c r="D668" s="26" t="s">
        <v>46</v>
      </c>
      <c r="E668" s="27">
        <v>4</v>
      </c>
      <c r="F668" s="28">
        <v>973.63</v>
      </c>
      <c r="G668" s="29">
        <v>0.51</v>
      </c>
      <c r="H668" s="28">
        <f t="shared" si="22"/>
        <v>3894.52</v>
      </c>
      <c r="I668" s="30">
        <v>45609</v>
      </c>
      <c r="J668" s="26" t="s">
        <v>15</v>
      </c>
      <c r="K668" s="26" t="s">
        <v>16</v>
      </c>
      <c r="L668" s="31">
        <f t="shared" si="23"/>
        <v>1908.3147999999999</v>
      </c>
      <c r="M668" s="31">
        <v>-148.66999999999999</v>
      </c>
      <c r="N668" s="22">
        <f>_xlfn.XLOOKUP(Snitch_Fashion_Sales_cleaned!$J668,Table2[City],Table2[City_Key],"not found")</f>
        <v>1</v>
      </c>
      <c r="O668" s="21">
        <f>_xlfn.XLOOKUP(Snitch_Fashion_Sales_cleaned!$D668,Table4[Product_Name],Table4[Product_Key],"not found")</f>
        <v>10</v>
      </c>
      <c r="P668" s="25">
        <f>_xlfn.XLOOKUP(Snitch_Fashion_Sales_cleaned!$I668,Table3[Order_Date],Table3[Date_Key])</f>
        <v>22</v>
      </c>
    </row>
    <row r="669" spans="1:16" x14ac:dyDescent="0.3">
      <c r="A669" s="34">
        <v>1667</v>
      </c>
      <c r="B669" s="32" t="s">
        <v>714</v>
      </c>
      <c r="C669" s="32" t="s">
        <v>25</v>
      </c>
      <c r="D669" s="33" t="s">
        <v>50</v>
      </c>
      <c r="E669" s="34">
        <v>4</v>
      </c>
      <c r="F669" s="35">
        <v>4021</v>
      </c>
      <c r="G669" s="36">
        <v>0.51</v>
      </c>
      <c r="H669" s="35">
        <f t="shared" si="22"/>
        <v>16084</v>
      </c>
      <c r="I669" s="37">
        <v>45598</v>
      </c>
      <c r="J669" s="33" t="s">
        <v>22</v>
      </c>
      <c r="K669" s="33" t="s">
        <v>23</v>
      </c>
      <c r="L669" s="38">
        <f t="shared" si="23"/>
        <v>7881.16</v>
      </c>
      <c r="M669" s="38">
        <v>2323.66</v>
      </c>
      <c r="N669" s="24">
        <f>_xlfn.XLOOKUP(Snitch_Fashion_Sales_cleaned!$J669,Table2[City],Table2[City_Key],"not found")</f>
        <v>3</v>
      </c>
      <c r="O669" s="23">
        <f>_xlfn.XLOOKUP(Snitch_Fashion_Sales_cleaned!$D669,Table4[Product_Name],Table4[Product_Key],"not found")</f>
        <v>11</v>
      </c>
      <c r="P669" s="32">
        <f>_xlfn.XLOOKUP(Snitch_Fashion_Sales_cleaned!$I669,Table3[Order_Date],Table3[Date_Key])</f>
        <v>158</v>
      </c>
    </row>
    <row r="670" spans="1:16" x14ac:dyDescent="0.3">
      <c r="A670" s="27">
        <v>1668</v>
      </c>
      <c r="B670" s="25" t="s">
        <v>715</v>
      </c>
      <c r="C670" s="25" t="s">
        <v>13</v>
      </c>
      <c r="D670" s="26" t="s">
        <v>34</v>
      </c>
      <c r="E670" s="27">
        <v>3</v>
      </c>
      <c r="F670" s="28">
        <v>2534.08</v>
      </c>
      <c r="G670" s="29">
        <v>0.51</v>
      </c>
      <c r="H670" s="28">
        <f t="shared" si="22"/>
        <v>7602.24</v>
      </c>
      <c r="I670" s="30">
        <v>45587</v>
      </c>
      <c r="J670" s="26" t="s">
        <v>52</v>
      </c>
      <c r="K670" s="26" t="s">
        <v>23</v>
      </c>
      <c r="L670" s="31">
        <f t="shared" si="23"/>
        <v>3725.0975999999996</v>
      </c>
      <c r="M670" s="31">
        <v>941.2</v>
      </c>
      <c r="N670" s="22">
        <f>_xlfn.XLOOKUP(Snitch_Fashion_Sales_cleaned!$J670,Table2[City],Table2[City_Key],"not found")</f>
        <v>5</v>
      </c>
      <c r="O670" s="21">
        <f>_xlfn.XLOOKUP(Snitch_Fashion_Sales_cleaned!$D670,Table4[Product_Name],Table4[Product_Key],"not found")</f>
        <v>6</v>
      </c>
      <c r="P670" s="25">
        <f>_xlfn.XLOOKUP(Snitch_Fashion_Sales_cleaned!$I670,Table3[Order_Date],Table3[Date_Key])</f>
        <v>14</v>
      </c>
    </row>
    <row r="671" spans="1:16" x14ac:dyDescent="0.3">
      <c r="A671" s="34">
        <v>1669</v>
      </c>
      <c r="B671" s="32" t="s">
        <v>716</v>
      </c>
      <c r="C671" s="32" t="s">
        <v>25</v>
      </c>
      <c r="D671" s="33" t="s">
        <v>82</v>
      </c>
      <c r="E671" s="34">
        <v>3</v>
      </c>
      <c r="F671" s="35">
        <v>1838.63</v>
      </c>
      <c r="G671" s="36">
        <v>0.51</v>
      </c>
      <c r="H671" s="35">
        <f t="shared" si="22"/>
        <v>5515.89</v>
      </c>
      <c r="I671" s="37">
        <v>45647</v>
      </c>
      <c r="J671" s="33" t="s">
        <v>43</v>
      </c>
      <c r="K671" s="33" t="s">
        <v>16</v>
      </c>
      <c r="L671" s="38">
        <f t="shared" si="23"/>
        <v>2702.7861000000003</v>
      </c>
      <c r="M671" s="38">
        <v>-524.25</v>
      </c>
      <c r="N671" s="24">
        <f>_xlfn.XLOOKUP(Snitch_Fashion_Sales_cleaned!$J671,Table2[City],Table2[City_Key],"not found")</f>
        <v>6</v>
      </c>
      <c r="O671" s="23">
        <f>_xlfn.XLOOKUP(Snitch_Fashion_Sales_cleaned!$D671,Table4[Product_Name],Table4[Product_Key],"not found")</f>
        <v>18</v>
      </c>
      <c r="P671" s="32">
        <f>_xlfn.XLOOKUP(Snitch_Fashion_Sales_cleaned!$I671,Table3[Order_Date],Table3[Date_Key])</f>
        <v>5</v>
      </c>
    </row>
    <row r="672" spans="1:16" x14ac:dyDescent="0.3">
      <c r="A672" s="27">
        <v>1670</v>
      </c>
      <c r="B672" s="25" t="s">
        <v>717</v>
      </c>
      <c r="C672" s="25" t="s">
        <v>31</v>
      </c>
      <c r="D672" s="26" t="s">
        <v>68</v>
      </c>
      <c r="E672" s="27">
        <v>4</v>
      </c>
      <c r="F672" s="28">
        <v>2765.79</v>
      </c>
      <c r="G672" s="29">
        <v>0.69</v>
      </c>
      <c r="H672" s="28">
        <f t="shared" si="22"/>
        <v>11063.16</v>
      </c>
      <c r="I672" s="30">
        <v>45518</v>
      </c>
      <c r="J672" s="26" t="s">
        <v>52</v>
      </c>
      <c r="K672" s="26" t="s">
        <v>23</v>
      </c>
      <c r="L672" s="31">
        <f t="shared" si="23"/>
        <v>3429.5796000000005</v>
      </c>
      <c r="M672" s="31">
        <v>462.22</v>
      </c>
      <c r="N672" s="22">
        <f>_xlfn.XLOOKUP(Snitch_Fashion_Sales_cleaned!$J672,Table2[City],Table2[City_Key],"not found")</f>
        <v>5</v>
      </c>
      <c r="O672" s="21">
        <f>_xlfn.XLOOKUP(Snitch_Fashion_Sales_cleaned!$D672,Table4[Product_Name],Table4[Product_Key],"not found")</f>
        <v>15</v>
      </c>
      <c r="P672" s="25">
        <f>_xlfn.XLOOKUP(Snitch_Fashion_Sales_cleaned!$I672,Table3[Order_Date],Table3[Date_Key])</f>
        <v>43</v>
      </c>
    </row>
    <row r="673" spans="1:16" x14ac:dyDescent="0.3">
      <c r="A673" s="34">
        <v>1671</v>
      </c>
      <c r="B673" s="32" t="s">
        <v>718</v>
      </c>
      <c r="C673" s="32" t="s">
        <v>13</v>
      </c>
      <c r="D673" s="33" t="s">
        <v>14</v>
      </c>
      <c r="E673" s="34">
        <v>4</v>
      </c>
      <c r="F673" s="35">
        <v>4417.34</v>
      </c>
      <c r="G673" s="36">
        <v>0.51</v>
      </c>
      <c r="H673" s="35">
        <f t="shared" si="22"/>
        <v>17669.36</v>
      </c>
      <c r="I673" s="37">
        <v>45626</v>
      </c>
      <c r="J673" s="33" t="s">
        <v>18</v>
      </c>
      <c r="K673" s="33" t="s">
        <v>23</v>
      </c>
      <c r="L673" s="38">
        <f t="shared" si="23"/>
        <v>8657.9863999999998</v>
      </c>
      <c r="M673" s="38">
        <v>-72.28</v>
      </c>
      <c r="N673" s="24">
        <f>_xlfn.XLOOKUP(Snitch_Fashion_Sales_cleaned!$J673,Table2[City],Table2[City_Key],"not found")</f>
        <v>2</v>
      </c>
      <c r="O673" s="23">
        <f>_xlfn.XLOOKUP(Snitch_Fashion_Sales_cleaned!$D673,Table4[Product_Name],Table4[Product_Key],"not found")</f>
        <v>1</v>
      </c>
      <c r="P673" s="32">
        <f>_xlfn.XLOOKUP(Snitch_Fashion_Sales_cleaned!$I673,Table3[Order_Date],Table3[Date_Key])</f>
        <v>185</v>
      </c>
    </row>
    <row r="674" spans="1:16" x14ac:dyDescent="0.3">
      <c r="A674" s="27">
        <v>1672</v>
      </c>
      <c r="B674" s="25" t="s">
        <v>719</v>
      </c>
      <c r="C674" s="25" t="s">
        <v>28</v>
      </c>
      <c r="D674" s="26" t="s">
        <v>29</v>
      </c>
      <c r="E674" s="27">
        <v>5</v>
      </c>
      <c r="F674" s="28">
        <v>2515.415</v>
      </c>
      <c r="G674" s="29">
        <v>0.51</v>
      </c>
      <c r="H674" s="28">
        <f t="shared" si="22"/>
        <v>12577.075000000001</v>
      </c>
      <c r="I674" s="30">
        <v>45647</v>
      </c>
      <c r="J674" s="26" t="s">
        <v>15</v>
      </c>
      <c r="K674" s="26" t="s">
        <v>23</v>
      </c>
      <c r="L674" s="31">
        <f t="shared" si="23"/>
        <v>6162.7667500000007</v>
      </c>
      <c r="M674" s="31">
        <v>-587.27</v>
      </c>
      <c r="N674" s="22">
        <f>_xlfn.XLOOKUP(Snitch_Fashion_Sales_cleaned!$J674,Table2[City],Table2[City_Key],"not found")</f>
        <v>1</v>
      </c>
      <c r="O674" s="21">
        <f>_xlfn.XLOOKUP(Snitch_Fashion_Sales_cleaned!$D674,Table4[Product_Name],Table4[Product_Key],"not found")</f>
        <v>4</v>
      </c>
      <c r="P674" s="25">
        <f>_xlfn.XLOOKUP(Snitch_Fashion_Sales_cleaned!$I674,Table3[Order_Date],Table3[Date_Key])</f>
        <v>5</v>
      </c>
    </row>
    <row r="675" spans="1:16" x14ac:dyDescent="0.3">
      <c r="A675" s="34">
        <v>1673</v>
      </c>
      <c r="B675" s="32" t="s">
        <v>720</v>
      </c>
      <c r="C675" s="32" t="s">
        <v>28</v>
      </c>
      <c r="D675" s="33" t="s">
        <v>116</v>
      </c>
      <c r="E675" s="34">
        <v>4</v>
      </c>
      <c r="F675" s="35">
        <v>3992.21</v>
      </c>
      <c r="G675" s="36">
        <v>0.67</v>
      </c>
      <c r="H675" s="35">
        <f t="shared" si="22"/>
        <v>15968.84</v>
      </c>
      <c r="I675" s="37">
        <v>45647</v>
      </c>
      <c r="J675" s="33" t="s">
        <v>22</v>
      </c>
      <c r="K675" s="33" t="s">
        <v>23</v>
      </c>
      <c r="L675" s="38">
        <f t="shared" si="23"/>
        <v>5269.7171999999991</v>
      </c>
      <c r="M675" s="38">
        <v>617.12</v>
      </c>
      <c r="N675" s="24">
        <f>_xlfn.XLOOKUP(Snitch_Fashion_Sales_cleaned!$J675,Table2[City],Table2[City_Key],"not found")</f>
        <v>3</v>
      </c>
      <c r="O675" s="23">
        <f>_xlfn.XLOOKUP(Snitch_Fashion_Sales_cleaned!$D675,Table4[Product_Name],Table4[Product_Key],"not found")</f>
        <v>22</v>
      </c>
      <c r="P675" s="32">
        <f>_xlfn.XLOOKUP(Snitch_Fashion_Sales_cleaned!$I675,Table3[Order_Date],Table3[Date_Key])</f>
        <v>5</v>
      </c>
    </row>
    <row r="676" spans="1:16" x14ac:dyDescent="0.3">
      <c r="A676" s="27">
        <v>1674</v>
      </c>
      <c r="B676" s="25" t="s">
        <v>721</v>
      </c>
      <c r="C676" s="25" t="s">
        <v>13</v>
      </c>
      <c r="D676" s="26" t="s">
        <v>46</v>
      </c>
      <c r="E676" s="27">
        <v>4</v>
      </c>
      <c r="F676" s="28">
        <v>2891.64</v>
      </c>
      <c r="G676" s="29">
        <v>0.19</v>
      </c>
      <c r="H676" s="28">
        <f t="shared" si="22"/>
        <v>11566.56</v>
      </c>
      <c r="I676" s="30">
        <v>45781</v>
      </c>
      <c r="J676" s="26" t="s">
        <v>2540</v>
      </c>
      <c r="K676" s="26" t="s">
        <v>23</v>
      </c>
      <c r="L676" s="31">
        <f t="shared" si="23"/>
        <v>9368.9135999999999</v>
      </c>
      <c r="M676" s="31">
        <v>-680.26</v>
      </c>
      <c r="N676" s="22">
        <f>_xlfn.XLOOKUP(Snitch_Fashion_Sales_cleaned!$J676,Table2[City],Table2[City_Key],"not found")</f>
        <v>4</v>
      </c>
      <c r="O676" s="21">
        <f>_xlfn.XLOOKUP(Snitch_Fashion_Sales_cleaned!$D676,Table4[Product_Name],Table4[Product_Key],"not found")</f>
        <v>10</v>
      </c>
      <c r="P676" s="25">
        <f>_xlfn.XLOOKUP(Snitch_Fashion_Sales_cleaned!$I676,Table3[Order_Date],Table3[Date_Key])</f>
        <v>277</v>
      </c>
    </row>
    <row r="677" spans="1:16" x14ac:dyDescent="0.3">
      <c r="A677" s="34">
        <v>1675</v>
      </c>
      <c r="B677" s="32" t="s">
        <v>722</v>
      </c>
      <c r="C677" s="32" t="s">
        <v>36</v>
      </c>
      <c r="D677" s="33" t="s">
        <v>37</v>
      </c>
      <c r="E677" s="34">
        <v>4</v>
      </c>
      <c r="F677" s="35">
        <v>2975.64</v>
      </c>
      <c r="G677" s="36">
        <v>0.51</v>
      </c>
      <c r="H677" s="35">
        <f t="shared" si="22"/>
        <v>11902.56</v>
      </c>
      <c r="I677" s="37">
        <v>45778</v>
      </c>
      <c r="J677" s="33" t="s">
        <v>22</v>
      </c>
      <c r="K677" s="33" t="s">
        <v>16</v>
      </c>
      <c r="L677" s="38">
        <f t="shared" si="23"/>
        <v>5832.2543999999998</v>
      </c>
      <c r="M677" s="38">
        <v>340.43</v>
      </c>
      <c r="N677" s="24">
        <f>_xlfn.XLOOKUP(Snitch_Fashion_Sales_cleaned!$J677,Table2[City],Table2[City_Key],"not found")</f>
        <v>3</v>
      </c>
      <c r="O677" s="23">
        <f>_xlfn.XLOOKUP(Snitch_Fashion_Sales_cleaned!$D677,Table4[Product_Name],Table4[Product_Key],"not found")</f>
        <v>7</v>
      </c>
      <c r="P677" s="32">
        <f>_xlfn.XLOOKUP(Snitch_Fashion_Sales_cleaned!$I677,Table3[Order_Date],Table3[Date_Key])</f>
        <v>78</v>
      </c>
    </row>
    <row r="678" spans="1:16" x14ac:dyDescent="0.3">
      <c r="A678" s="27">
        <v>1676</v>
      </c>
      <c r="B678" s="25" t="s">
        <v>723</v>
      </c>
      <c r="C678" s="25" t="s">
        <v>36</v>
      </c>
      <c r="D678" s="26" t="s">
        <v>55</v>
      </c>
      <c r="E678" s="27">
        <v>3</v>
      </c>
      <c r="F678" s="28">
        <v>4351.82</v>
      </c>
      <c r="G678" s="29">
        <v>0.51</v>
      </c>
      <c r="H678" s="28">
        <f t="shared" si="22"/>
        <v>13055.46</v>
      </c>
      <c r="I678" s="30">
        <v>45647</v>
      </c>
      <c r="J678" s="26" t="s">
        <v>2540</v>
      </c>
      <c r="K678" s="26" t="s">
        <v>23</v>
      </c>
      <c r="L678" s="31">
        <f t="shared" si="23"/>
        <v>6397.1753999999992</v>
      </c>
      <c r="M678" s="31">
        <v>1818.14</v>
      </c>
      <c r="N678" s="22">
        <f>_xlfn.XLOOKUP(Snitch_Fashion_Sales_cleaned!$J678,Table2[City],Table2[City_Key],"not found")</f>
        <v>4</v>
      </c>
      <c r="O678" s="21">
        <f>_xlfn.XLOOKUP(Snitch_Fashion_Sales_cleaned!$D678,Table4[Product_Name],Table4[Product_Key],"not found")</f>
        <v>12</v>
      </c>
      <c r="P678" s="25">
        <f>_xlfn.XLOOKUP(Snitch_Fashion_Sales_cleaned!$I678,Table3[Order_Date],Table3[Date_Key])</f>
        <v>5</v>
      </c>
    </row>
    <row r="679" spans="1:16" x14ac:dyDescent="0.3">
      <c r="A679" s="34">
        <v>1677</v>
      </c>
      <c r="B679" s="32" t="s">
        <v>724</v>
      </c>
      <c r="C679" s="32" t="s">
        <v>20</v>
      </c>
      <c r="D679" s="33" t="s">
        <v>76</v>
      </c>
      <c r="E679" s="34">
        <v>3</v>
      </c>
      <c r="F679" s="35">
        <v>4639.8599999999997</v>
      </c>
      <c r="G679" s="36">
        <v>0.69</v>
      </c>
      <c r="H679" s="35">
        <f t="shared" si="22"/>
        <v>13919.579999999998</v>
      </c>
      <c r="I679" s="37">
        <v>45209</v>
      </c>
      <c r="J679" s="33" t="s">
        <v>52</v>
      </c>
      <c r="K679" s="33" t="s">
        <v>23</v>
      </c>
      <c r="L679" s="38">
        <f t="shared" si="23"/>
        <v>4315.0698000000002</v>
      </c>
      <c r="M679" s="38">
        <v>1323.79</v>
      </c>
      <c r="N679" s="24">
        <f>_xlfn.XLOOKUP(Snitch_Fashion_Sales_cleaned!$J679,Table2[City],Table2[City_Key],"not found")</f>
        <v>5</v>
      </c>
      <c r="O679" s="23">
        <f>_xlfn.XLOOKUP(Snitch_Fashion_Sales_cleaned!$D679,Table4[Product_Name],Table4[Product_Key],"not found")</f>
        <v>16</v>
      </c>
      <c r="P679" s="32">
        <f>_xlfn.XLOOKUP(Snitch_Fashion_Sales_cleaned!$I679,Table3[Order_Date],Table3[Date_Key])</f>
        <v>329</v>
      </c>
    </row>
    <row r="680" spans="1:16" x14ac:dyDescent="0.3">
      <c r="A680" s="27">
        <v>1048</v>
      </c>
      <c r="B680" s="25" t="s">
        <v>725</v>
      </c>
      <c r="C680" s="25" t="s">
        <v>28</v>
      </c>
      <c r="D680" s="26" t="s">
        <v>116</v>
      </c>
      <c r="E680" s="27">
        <v>4</v>
      </c>
      <c r="F680" s="28">
        <v>1429.93</v>
      </c>
      <c r="G680" s="29">
        <v>0.51</v>
      </c>
      <c r="H680" s="28">
        <f t="shared" si="22"/>
        <v>5719.72</v>
      </c>
      <c r="I680" s="30">
        <v>45610</v>
      </c>
      <c r="J680" s="26" t="s">
        <v>18</v>
      </c>
      <c r="K680" s="26" t="s">
        <v>23</v>
      </c>
      <c r="L680" s="31">
        <f t="shared" si="23"/>
        <v>2802.6628000000001</v>
      </c>
      <c r="M680" s="31">
        <v>1844.84</v>
      </c>
      <c r="N680" s="22">
        <f>_xlfn.XLOOKUP(Snitch_Fashion_Sales_cleaned!$J680,Table2[City],Table2[City_Key],"not found")</f>
        <v>2</v>
      </c>
      <c r="O680" s="21">
        <f>_xlfn.XLOOKUP(Snitch_Fashion_Sales_cleaned!$D680,Table4[Product_Name],Table4[Product_Key],"not found")</f>
        <v>22</v>
      </c>
      <c r="P680" s="25">
        <f>_xlfn.XLOOKUP(Snitch_Fashion_Sales_cleaned!$I680,Table3[Order_Date],Table3[Date_Key])</f>
        <v>330</v>
      </c>
    </row>
    <row r="681" spans="1:16" x14ac:dyDescent="0.3">
      <c r="A681" s="34">
        <v>1679</v>
      </c>
      <c r="B681" s="32" t="s">
        <v>726</v>
      </c>
      <c r="C681" s="32" t="s">
        <v>31</v>
      </c>
      <c r="D681" s="33" t="s">
        <v>68</v>
      </c>
      <c r="E681" s="34">
        <v>1</v>
      </c>
      <c r="F681" s="35">
        <v>4198.5</v>
      </c>
      <c r="G681" s="36">
        <v>0.51</v>
      </c>
      <c r="H681" s="35">
        <f t="shared" si="22"/>
        <v>4198.5</v>
      </c>
      <c r="I681" s="37">
        <v>45494</v>
      </c>
      <c r="J681" s="33" t="s">
        <v>43</v>
      </c>
      <c r="K681" s="33" t="s">
        <v>23</v>
      </c>
      <c r="L681" s="38">
        <f t="shared" si="23"/>
        <v>2057.2649999999999</v>
      </c>
      <c r="M681" s="38">
        <v>514.31624999999997</v>
      </c>
      <c r="N681" s="24">
        <f>_xlfn.XLOOKUP(Snitch_Fashion_Sales_cleaned!$J681,Table2[City],Table2[City_Key],"not found")</f>
        <v>6</v>
      </c>
      <c r="O681" s="23">
        <f>_xlfn.XLOOKUP(Snitch_Fashion_Sales_cleaned!$D681,Table4[Product_Name],Table4[Product_Key],"not found")</f>
        <v>15</v>
      </c>
      <c r="P681" s="32">
        <f>_xlfn.XLOOKUP(Snitch_Fashion_Sales_cleaned!$I681,Table3[Order_Date],Table3[Date_Key])</f>
        <v>331</v>
      </c>
    </row>
    <row r="682" spans="1:16" x14ac:dyDescent="0.3">
      <c r="A682" s="27">
        <v>1680</v>
      </c>
      <c r="B682" s="25" t="s">
        <v>727</v>
      </c>
      <c r="C682" s="25" t="s">
        <v>13</v>
      </c>
      <c r="D682" s="26" t="s">
        <v>46</v>
      </c>
      <c r="E682" s="27">
        <v>4</v>
      </c>
      <c r="F682" s="28">
        <v>2891.64</v>
      </c>
      <c r="G682" s="29">
        <v>0.51</v>
      </c>
      <c r="H682" s="28">
        <f t="shared" si="22"/>
        <v>11566.56</v>
      </c>
      <c r="I682" s="30">
        <v>45561</v>
      </c>
      <c r="J682" s="26" t="s">
        <v>18</v>
      </c>
      <c r="K682" s="26" t="s">
        <v>23</v>
      </c>
      <c r="L682" s="31">
        <f t="shared" si="23"/>
        <v>5667.6143999999995</v>
      </c>
      <c r="M682" s="31">
        <v>2873.92</v>
      </c>
      <c r="N682" s="22">
        <f>_xlfn.XLOOKUP(Snitch_Fashion_Sales_cleaned!$J682,Table2[City],Table2[City_Key],"not found")</f>
        <v>2</v>
      </c>
      <c r="O682" s="21">
        <f>_xlfn.XLOOKUP(Snitch_Fashion_Sales_cleaned!$D682,Table4[Product_Name],Table4[Product_Key],"not found")</f>
        <v>10</v>
      </c>
      <c r="P682" s="25">
        <f>_xlfn.XLOOKUP(Snitch_Fashion_Sales_cleaned!$I682,Table3[Order_Date],Table3[Date_Key])</f>
        <v>190</v>
      </c>
    </row>
    <row r="683" spans="1:16" x14ac:dyDescent="0.3">
      <c r="A683" s="34">
        <v>1681</v>
      </c>
      <c r="B683" s="32" t="s">
        <v>728</v>
      </c>
      <c r="C683" s="32" t="s">
        <v>36</v>
      </c>
      <c r="D683" s="33" t="s">
        <v>55</v>
      </c>
      <c r="E683" s="34">
        <v>3</v>
      </c>
      <c r="F683" s="35">
        <v>2731.6350000000002</v>
      </c>
      <c r="G683" s="36">
        <v>0.26</v>
      </c>
      <c r="H683" s="35">
        <f t="shared" si="22"/>
        <v>8194.9050000000007</v>
      </c>
      <c r="I683" s="37">
        <v>45337</v>
      </c>
      <c r="J683" s="33" t="s">
        <v>18</v>
      </c>
      <c r="K683" s="33" t="s">
        <v>23</v>
      </c>
      <c r="L683" s="38">
        <f t="shared" si="23"/>
        <v>6064.2297000000008</v>
      </c>
      <c r="M683" s="38">
        <v>-579.16</v>
      </c>
      <c r="N683" s="24">
        <f>_xlfn.XLOOKUP(Snitch_Fashion_Sales_cleaned!$J683,Table2[City],Table2[City_Key],"not found")</f>
        <v>2</v>
      </c>
      <c r="O683" s="23">
        <f>_xlfn.XLOOKUP(Snitch_Fashion_Sales_cleaned!$D683,Table4[Product_Name],Table4[Product_Key],"not found")</f>
        <v>12</v>
      </c>
      <c r="P683" s="32">
        <f>_xlfn.XLOOKUP(Snitch_Fashion_Sales_cleaned!$I683,Table3[Order_Date],Table3[Date_Key])</f>
        <v>332</v>
      </c>
    </row>
    <row r="684" spans="1:16" x14ac:dyDescent="0.3">
      <c r="A684" s="27">
        <v>1682</v>
      </c>
      <c r="B684" s="25" t="s">
        <v>729</v>
      </c>
      <c r="C684" s="25" t="s">
        <v>28</v>
      </c>
      <c r="D684" s="26" t="s">
        <v>39</v>
      </c>
      <c r="E684" s="27">
        <v>5</v>
      </c>
      <c r="F684" s="28">
        <v>4307.08</v>
      </c>
      <c r="G684" s="29">
        <v>0.51</v>
      </c>
      <c r="H684" s="28">
        <f t="shared" si="22"/>
        <v>21535.4</v>
      </c>
      <c r="I684" s="30">
        <v>45654</v>
      </c>
      <c r="J684" s="26" t="s">
        <v>15</v>
      </c>
      <c r="K684" s="26" t="s">
        <v>16</v>
      </c>
      <c r="L684" s="31">
        <f t="shared" si="23"/>
        <v>10552.346000000001</v>
      </c>
      <c r="M684" s="31">
        <v>961.46</v>
      </c>
      <c r="N684" s="22">
        <f>_xlfn.XLOOKUP(Snitch_Fashion_Sales_cleaned!$J684,Table2[City],Table2[City_Key],"not found")</f>
        <v>1</v>
      </c>
      <c r="O684" s="21">
        <f>_xlfn.XLOOKUP(Snitch_Fashion_Sales_cleaned!$D684,Table4[Product_Name],Table4[Product_Key],"not found")</f>
        <v>8</v>
      </c>
      <c r="P684" s="25">
        <f>_xlfn.XLOOKUP(Snitch_Fashion_Sales_cleaned!$I684,Table3[Order_Date],Table3[Date_Key])</f>
        <v>333</v>
      </c>
    </row>
    <row r="685" spans="1:16" x14ac:dyDescent="0.3">
      <c r="A685" s="34">
        <v>1683</v>
      </c>
      <c r="B685" s="32" t="s">
        <v>730</v>
      </c>
      <c r="C685" s="32" t="s">
        <v>13</v>
      </c>
      <c r="D685" s="33" t="s">
        <v>98</v>
      </c>
      <c r="E685" s="34">
        <v>5</v>
      </c>
      <c r="F685" s="35">
        <v>1743.64</v>
      </c>
      <c r="G685" s="36">
        <v>0.51</v>
      </c>
      <c r="H685" s="35">
        <f t="shared" si="22"/>
        <v>8718.2000000000007</v>
      </c>
      <c r="I685" s="37">
        <v>45647</v>
      </c>
      <c r="J685" s="33" t="s">
        <v>43</v>
      </c>
      <c r="K685" s="33" t="s">
        <v>16</v>
      </c>
      <c r="L685" s="38">
        <f t="shared" si="23"/>
        <v>4271.9180000000006</v>
      </c>
      <c r="M685" s="38">
        <v>32.33</v>
      </c>
      <c r="N685" s="24">
        <f>_xlfn.XLOOKUP(Snitch_Fashion_Sales_cleaned!$J685,Table2[City],Table2[City_Key],"not found")</f>
        <v>6</v>
      </c>
      <c r="O685" s="23">
        <f>_xlfn.XLOOKUP(Snitch_Fashion_Sales_cleaned!$D685,Table4[Product_Name],Table4[Product_Key],"not found")</f>
        <v>21</v>
      </c>
      <c r="P685" s="32">
        <f>_xlfn.XLOOKUP(Snitch_Fashion_Sales_cleaned!$I685,Table3[Order_Date],Table3[Date_Key])</f>
        <v>5</v>
      </c>
    </row>
    <row r="686" spans="1:16" x14ac:dyDescent="0.3">
      <c r="A686" s="27">
        <v>1684</v>
      </c>
      <c r="B686" s="25" t="s">
        <v>731</v>
      </c>
      <c r="C686" s="25" t="s">
        <v>36</v>
      </c>
      <c r="D686" s="26" t="s">
        <v>55</v>
      </c>
      <c r="E686" s="27">
        <v>3</v>
      </c>
      <c r="F686" s="28">
        <v>3537.97</v>
      </c>
      <c r="G686" s="29">
        <v>0.26</v>
      </c>
      <c r="H686" s="28">
        <f t="shared" si="22"/>
        <v>10613.91</v>
      </c>
      <c r="I686" s="30">
        <v>45509</v>
      </c>
      <c r="J686" s="26" t="s">
        <v>2540</v>
      </c>
      <c r="K686" s="26" t="s">
        <v>23</v>
      </c>
      <c r="L686" s="31">
        <f t="shared" si="23"/>
        <v>7854.2933999999996</v>
      </c>
      <c r="M686" s="31">
        <v>1385.75</v>
      </c>
      <c r="N686" s="22">
        <f>_xlfn.XLOOKUP(Snitch_Fashion_Sales_cleaned!$J686,Table2[City],Table2[City_Key],"not found")</f>
        <v>4</v>
      </c>
      <c r="O686" s="21">
        <f>_xlfn.XLOOKUP(Snitch_Fashion_Sales_cleaned!$D686,Table4[Product_Name],Table4[Product_Key],"not found")</f>
        <v>12</v>
      </c>
      <c r="P686" s="25">
        <f>_xlfn.XLOOKUP(Snitch_Fashion_Sales_cleaned!$I686,Table3[Order_Date],Table3[Date_Key])</f>
        <v>334</v>
      </c>
    </row>
    <row r="687" spans="1:16" x14ac:dyDescent="0.3">
      <c r="A687" s="34">
        <v>1685</v>
      </c>
      <c r="B687" s="32" t="s">
        <v>732</v>
      </c>
      <c r="C687" s="32" t="s">
        <v>36</v>
      </c>
      <c r="D687" s="33" t="s">
        <v>87</v>
      </c>
      <c r="E687" s="34">
        <v>4</v>
      </c>
      <c r="F687" s="35">
        <v>2889.5349999999999</v>
      </c>
      <c r="G687" s="36">
        <v>0.51</v>
      </c>
      <c r="H687" s="35">
        <f t="shared" si="22"/>
        <v>11558.14</v>
      </c>
      <c r="I687" s="37">
        <v>45647</v>
      </c>
      <c r="J687" s="33" t="s">
        <v>52</v>
      </c>
      <c r="K687" s="33" t="s">
        <v>23</v>
      </c>
      <c r="L687" s="38">
        <f t="shared" si="23"/>
        <v>5663.4885999999997</v>
      </c>
      <c r="M687" s="38">
        <v>1108.04</v>
      </c>
      <c r="N687" s="24">
        <f>_xlfn.XLOOKUP(Snitch_Fashion_Sales_cleaned!$J687,Table2[City],Table2[City_Key],"not found")</f>
        <v>5</v>
      </c>
      <c r="O687" s="23">
        <f>_xlfn.XLOOKUP(Snitch_Fashion_Sales_cleaned!$D687,Table4[Product_Name],Table4[Product_Key],"not found")</f>
        <v>20</v>
      </c>
      <c r="P687" s="32">
        <f>_xlfn.XLOOKUP(Snitch_Fashion_Sales_cleaned!$I687,Table3[Order_Date],Table3[Date_Key])</f>
        <v>5</v>
      </c>
    </row>
    <row r="688" spans="1:16" x14ac:dyDescent="0.3">
      <c r="A688" s="27">
        <v>1686</v>
      </c>
      <c r="B688" s="25" t="s">
        <v>733</v>
      </c>
      <c r="C688" s="25" t="s">
        <v>13</v>
      </c>
      <c r="D688" s="26" t="s">
        <v>34</v>
      </c>
      <c r="E688" s="27">
        <v>1</v>
      </c>
      <c r="F688" s="28">
        <v>3008.6549999999997</v>
      </c>
      <c r="G688" s="29">
        <v>0.06</v>
      </c>
      <c r="H688" s="28">
        <f t="shared" si="22"/>
        <v>3008.6549999999997</v>
      </c>
      <c r="I688" s="30">
        <v>45647</v>
      </c>
      <c r="J688" s="26" t="s">
        <v>43</v>
      </c>
      <c r="K688" s="26" t="s">
        <v>23</v>
      </c>
      <c r="L688" s="31">
        <f t="shared" si="23"/>
        <v>2828.1356999999998</v>
      </c>
      <c r="M688" s="31">
        <v>718.58</v>
      </c>
      <c r="N688" s="22">
        <f>_xlfn.XLOOKUP(Snitch_Fashion_Sales_cleaned!$J688,Table2[City],Table2[City_Key],"not found")</f>
        <v>6</v>
      </c>
      <c r="O688" s="21">
        <f>_xlfn.XLOOKUP(Snitch_Fashion_Sales_cleaned!$D688,Table4[Product_Name],Table4[Product_Key],"not found")</f>
        <v>6</v>
      </c>
      <c r="P688" s="25">
        <f>_xlfn.XLOOKUP(Snitch_Fashion_Sales_cleaned!$I688,Table3[Order_Date],Table3[Date_Key])</f>
        <v>5</v>
      </c>
    </row>
    <row r="689" spans="1:16" x14ac:dyDescent="0.3">
      <c r="A689" s="34">
        <v>1687</v>
      </c>
      <c r="B689" s="32" t="s">
        <v>734</v>
      </c>
      <c r="C689" s="32" t="s">
        <v>20</v>
      </c>
      <c r="D689" s="33" t="s">
        <v>84</v>
      </c>
      <c r="E689" s="34">
        <v>3</v>
      </c>
      <c r="F689" s="35">
        <v>2537.59</v>
      </c>
      <c r="G689" s="36">
        <v>0.51</v>
      </c>
      <c r="H689" s="35">
        <f t="shared" si="22"/>
        <v>7612.77</v>
      </c>
      <c r="I689" s="37">
        <v>45850</v>
      </c>
      <c r="J689" s="33" t="s">
        <v>52</v>
      </c>
      <c r="K689" s="33" t="s">
        <v>23</v>
      </c>
      <c r="L689" s="38">
        <f t="shared" si="23"/>
        <v>3730.2573000000002</v>
      </c>
      <c r="M689" s="38">
        <v>1132.23</v>
      </c>
      <c r="N689" s="24">
        <f>_xlfn.XLOOKUP(Snitch_Fashion_Sales_cleaned!$J689,Table2[City],Table2[City_Key],"not found")</f>
        <v>5</v>
      </c>
      <c r="O689" s="23">
        <f>_xlfn.XLOOKUP(Snitch_Fashion_Sales_cleaned!$D689,Table4[Product_Name],Table4[Product_Key],"not found")</f>
        <v>19</v>
      </c>
      <c r="P689" s="32">
        <f>_xlfn.XLOOKUP(Snitch_Fashion_Sales_cleaned!$I689,Table3[Order_Date],Table3[Date_Key])</f>
        <v>335</v>
      </c>
    </row>
    <row r="690" spans="1:16" x14ac:dyDescent="0.3">
      <c r="A690" s="27">
        <v>1688</v>
      </c>
      <c r="B690" s="25" t="s">
        <v>735</v>
      </c>
      <c r="C690" s="25" t="s">
        <v>28</v>
      </c>
      <c r="D690" s="26" t="s">
        <v>116</v>
      </c>
      <c r="E690" s="27">
        <v>4</v>
      </c>
      <c r="F690" s="28">
        <v>4177.8599999999997</v>
      </c>
      <c r="G690" s="29">
        <v>0.51</v>
      </c>
      <c r="H690" s="28">
        <f t="shared" si="22"/>
        <v>16711.439999999999</v>
      </c>
      <c r="I690" s="30">
        <v>45647</v>
      </c>
      <c r="J690" s="26" t="s">
        <v>52</v>
      </c>
      <c r="K690" s="26" t="s">
        <v>23</v>
      </c>
      <c r="L690" s="31">
        <f t="shared" si="23"/>
        <v>8188.605599999999</v>
      </c>
      <c r="M690" s="31">
        <v>2610.69</v>
      </c>
      <c r="N690" s="22">
        <f>_xlfn.XLOOKUP(Snitch_Fashion_Sales_cleaned!$J690,Table2[City],Table2[City_Key],"not found")</f>
        <v>5</v>
      </c>
      <c r="O690" s="21">
        <f>_xlfn.XLOOKUP(Snitch_Fashion_Sales_cleaned!$D690,Table4[Product_Name],Table4[Product_Key],"not found")</f>
        <v>22</v>
      </c>
      <c r="P690" s="25">
        <f>_xlfn.XLOOKUP(Snitch_Fashion_Sales_cleaned!$I690,Table3[Order_Date],Table3[Date_Key])</f>
        <v>5</v>
      </c>
    </row>
    <row r="691" spans="1:16" x14ac:dyDescent="0.3">
      <c r="A691" s="34">
        <v>1689</v>
      </c>
      <c r="B691" s="32" t="s">
        <v>736</v>
      </c>
      <c r="C691" s="32" t="s">
        <v>31</v>
      </c>
      <c r="D691" s="33" t="s">
        <v>41</v>
      </c>
      <c r="E691" s="34">
        <v>3</v>
      </c>
      <c r="F691" s="35">
        <v>1193.48</v>
      </c>
      <c r="G691" s="36">
        <v>0.51</v>
      </c>
      <c r="H691" s="35">
        <f t="shared" si="22"/>
        <v>3580.44</v>
      </c>
      <c r="I691" s="37">
        <v>45647</v>
      </c>
      <c r="J691" s="33" t="s">
        <v>43</v>
      </c>
      <c r="K691" s="33" t="s">
        <v>23</v>
      </c>
      <c r="L691" s="38">
        <f t="shared" si="23"/>
        <v>1754.4156</v>
      </c>
      <c r="M691" s="38">
        <v>438.60390000000001</v>
      </c>
      <c r="N691" s="24">
        <f>_xlfn.XLOOKUP(Snitch_Fashion_Sales_cleaned!$J691,Table2[City],Table2[City_Key],"not found")</f>
        <v>6</v>
      </c>
      <c r="O691" s="23">
        <f>_xlfn.XLOOKUP(Snitch_Fashion_Sales_cleaned!$D691,Table4[Product_Name],Table4[Product_Key],"not found")</f>
        <v>9</v>
      </c>
      <c r="P691" s="32">
        <f>_xlfn.XLOOKUP(Snitch_Fashion_Sales_cleaned!$I691,Table3[Order_Date],Table3[Date_Key])</f>
        <v>5</v>
      </c>
    </row>
    <row r="692" spans="1:16" x14ac:dyDescent="0.3">
      <c r="A692" s="27">
        <v>1690</v>
      </c>
      <c r="B692" s="25" t="s">
        <v>737</v>
      </c>
      <c r="C692" s="25" t="s">
        <v>20</v>
      </c>
      <c r="D692" s="26" t="s">
        <v>21</v>
      </c>
      <c r="E692" s="27">
        <v>5</v>
      </c>
      <c r="F692" s="28">
        <v>1941.39</v>
      </c>
      <c r="G692" s="29">
        <v>0.54</v>
      </c>
      <c r="H692" s="28">
        <f t="shared" si="22"/>
        <v>9706.9500000000007</v>
      </c>
      <c r="I692" s="30">
        <v>45720</v>
      </c>
      <c r="J692" s="26" t="s">
        <v>15</v>
      </c>
      <c r="K692" s="26" t="s">
        <v>16</v>
      </c>
      <c r="L692" s="31">
        <f t="shared" si="23"/>
        <v>4465.1970000000001</v>
      </c>
      <c r="M692" s="31">
        <v>206.95</v>
      </c>
      <c r="N692" s="22">
        <f>_xlfn.XLOOKUP(Snitch_Fashion_Sales_cleaned!$J692,Table2[City],Table2[City_Key],"not found")</f>
        <v>1</v>
      </c>
      <c r="O692" s="21">
        <f>_xlfn.XLOOKUP(Snitch_Fashion_Sales_cleaned!$D692,Table4[Product_Name],Table4[Product_Key],"not found")</f>
        <v>2</v>
      </c>
      <c r="P692" s="25">
        <f>_xlfn.XLOOKUP(Snitch_Fashion_Sales_cleaned!$I692,Table3[Order_Date],Table3[Date_Key])</f>
        <v>68</v>
      </c>
    </row>
    <row r="693" spans="1:16" x14ac:dyDescent="0.3">
      <c r="A693" s="34">
        <v>1691</v>
      </c>
      <c r="B693" s="32" t="s">
        <v>738</v>
      </c>
      <c r="C693" s="32" t="s">
        <v>25</v>
      </c>
      <c r="D693" s="33" t="s">
        <v>82</v>
      </c>
      <c r="E693" s="34">
        <v>6</v>
      </c>
      <c r="F693" s="35">
        <v>2878.51</v>
      </c>
      <c r="G693" s="36">
        <v>0.51</v>
      </c>
      <c r="H693" s="35">
        <f t="shared" si="22"/>
        <v>17271.060000000001</v>
      </c>
      <c r="I693" s="37">
        <v>45765</v>
      </c>
      <c r="J693" s="33" t="s">
        <v>22</v>
      </c>
      <c r="K693" s="33" t="s">
        <v>23</v>
      </c>
      <c r="L693" s="38">
        <f t="shared" si="23"/>
        <v>8462.8194000000003</v>
      </c>
      <c r="M693" s="38">
        <v>2503.5100000000002</v>
      </c>
      <c r="N693" s="24">
        <f>_xlfn.XLOOKUP(Snitch_Fashion_Sales_cleaned!$J693,Table2[City],Table2[City_Key],"not found")</f>
        <v>3</v>
      </c>
      <c r="O693" s="23">
        <f>_xlfn.XLOOKUP(Snitch_Fashion_Sales_cleaned!$D693,Table4[Product_Name],Table4[Product_Key],"not found")</f>
        <v>18</v>
      </c>
      <c r="P693" s="32">
        <f>_xlfn.XLOOKUP(Snitch_Fashion_Sales_cleaned!$I693,Table3[Order_Date],Table3[Date_Key])</f>
        <v>142</v>
      </c>
    </row>
    <row r="694" spans="1:16" x14ac:dyDescent="0.3">
      <c r="A694" s="27">
        <v>1692</v>
      </c>
      <c r="B694" s="25" t="s">
        <v>739</v>
      </c>
      <c r="C694" s="25" t="s">
        <v>31</v>
      </c>
      <c r="D694" s="26" t="s">
        <v>41</v>
      </c>
      <c r="E694" s="27">
        <v>3</v>
      </c>
      <c r="F694" s="28">
        <v>2509.38</v>
      </c>
      <c r="G694" s="29">
        <v>0.67</v>
      </c>
      <c r="H694" s="28">
        <f t="shared" si="22"/>
        <v>7528.14</v>
      </c>
      <c r="I694" s="30">
        <v>45567</v>
      </c>
      <c r="J694" s="26" t="s">
        <v>18</v>
      </c>
      <c r="K694" s="26" t="s">
        <v>16</v>
      </c>
      <c r="L694" s="31">
        <f t="shared" si="23"/>
        <v>2484.2862</v>
      </c>
      <c r="M694" s="31">
        <v>39.25</v>
      </c>
      <c r="N694" s="22">
        <f>_xlfn.XLOOKUP(Snitch_Fashion_Sales_cleaned!$J694,Table2[City],Table2[City_Key],"not found")</f>
        <v>2</v>
      </c>
      <c r="O694" s="21">
        <f>_xlfn.XLOOKUP(Snitch_Fashion_Sales_cleaned!$D694,Table4[Product_Name],Table4[Product_Key],"not found")</f>
        <v>9</v>
      </c>
      <c r="P694" s="25">
        <f>_xlfn.XLOOKUP(Snitch_Fashion_Sales_cleaned!$I694,Table3[Order_Date],Table3[Date_Key])</f>
        <v>336</v>
      </c>
    </row>
    <row r="695" spans="1:16" x14ac:dyDescent="0.3">
      <c r="A695" s="34">
        <v>1693</v>
      </c>
      <c r="B695" s="32" t="s">
        <v>740</v>
      </c>
      <c r="C695" s="32" t="s">
        <v>20</v>
      </c>
      <c r="D695" s="33" t="s">
        <v>118</v>
      </c>
      <c r="E695" s="34">
        <v>1</v>
      </c>
      <c r="F695" s="35">
        <v>2752.99</v>
      </c>
      <c r="G695" s="36">
        <v>0.51</v>
      </c>
      <c r="H695" s="35">
        <f t="shared" si="22"/>
        <v>2752.99</v>
      </c>
      <c r="I695" s="37">
        <v>45562</v>
      </c>
      <c r="J695" s="33" t="s">
        <v>2540</v>
      </c>
      <c r="K695" s="33" t="s">
        <v>16</v>
      </c>
      <c r="L695" s="38">
        <f t="shared" si="23"/>
        <v>1348.9650999999999</v>
      </c>
      <c r="M695" s="38">
        <v>337.24127499999997</v>
      </c>
      <c r="N695" s="24">
        <f>_xlfn.XLOOKUP(Snitch_Fashion_Sales_cleaned!$J695,Table2[City],Table2[City_Key],"not found")</f>
        <v>4</v>
      </c>
      <c r="O695" s="23">
        <f>_xlfn.XLOOKUP(Snitch_Fashion_Sales_cleaned!$D695,Table4[Product_Name],Table4[Product_Key],"not found")</f>
        <v>23</v>
      </c>
      <c r="P695" s="32">
        <f>_xlfn.XLOOKUP(Snitch_Fashion_Sales_cleaned!$I695,Table3[Order_Date],Table3[Date_Key])</f>
        <v>337</v>
      </c>
    </row>
    <row r="696" spans="1:16" x14ac:dyDescent="0.3">
      <c r="A696" s="27">
        <v>1694</v>
      </c>
      <c r="B696" s="25" t="s">
        <v>741</v>
      </c>
      <c r="C696" s="25" t="s">
        <v>13</v>
      </c>
      <c r="D696" s="26" t="s">
        <v>34</v>
      </c>
      <c r="E696" s="27">
        <v>3</v>
      </c>
      <c r="F696" s="28">
        <v>3008.6549999999997</v>
      </c>
      <c r="G696" s="29">
        <v>0.51</v>
      </c>
      <c r="H696" s="28">
        <f t="shared" si="22"/>
        <v>9025.9650000000001</v>
      </c>
      <c r="I696" s="30">
        <v>45693</v>
      </c>
      <c r="J696" s="26" t="s">
        <v>52</v>
      </c>
      <c r="K696" s="26" t="s">
        <v>23</v>
      </c>
      <c r="L696" s="31">
        <f t="shared" si="23"/>
        <v>4422.7228500000001</v>
      </c>
      <c r="M696" s="31">
        <v>264.60000000000002</v>
      </c>
      <c r="N696" s="22">
        <f>_xlfn.XLOOKUP(Snitch_Fashion_Sales_cleaned!$J696,Table2[City],Table2[City_Key],"not found")</f>
        <v>5</v>
      </c>
      <c r="O696" s="21">
        <f>_xlfn.XLOOKUP(Snitch_Fashion_Sales_cleaned!$D696,Table4[Product_Name],Table4[Product_Key],"not found")</f>
        <v>6</v>
      </c>
      <c r="P696" s="25">
        <f>_xlfn.XLOOKUP(Snitch_Fashion_Sales_cleaned!$I696,Table3[Order_Date],Table3[Date_Key])</f>
        <v>204</v>
      </c>
    </row>
    <row r="697" spans="1:16" x14ac:dyDescent="0.3">
      <c r="A697" s="34">
        <v>1695</v>
      </c>
      <c r="B697" s="32" t="s">
        <v>742</v>
      </c>
      <c r="C697" s="32" t="s">
        <v>20</v>
      </c>
      <c r="D697" s="33" t="s">
        <v>118</v>
      </c>
      <c r="E697" s="34">
        <v>3.5</v>
      </c>
      <c r="F697" s="35">
        <v>3785.14</v>
      </c>
      <c r="G697" s="36">
        <v>0.51</v>
      </c>
      <c r="H697" s="35">
        <f t="shared" si="22"/>
        <v>13247.99</v>
      </c>
      <c r="I697" s="37">
        <v>45647</v>
      </c>
      <c r="J697" s="33" t="s">
        <v>22</v>
      </c>
      <c r="K697" s="33" t="s">
        <v>16</v>
      </c>
      <c r="L697" s="38">
        <f t="shared" si="23"/>
        <v>6491.5150999999996</v>
      </c>
      <c r="M697" s="38">
        <v>-982.7</v>
      </c>
      <c r="N697" s="24">
        <f>_xlfn.XLOOKUP(Snitch_Fashion_Sales_cleaned!$J697,Table2[City],Table2[City_Key],"not found")</f>
        <v>3</v>
      </c>
      <c r="O697" s="23">
        <f>_xlfn.XLOOKUP(Snitch_Fashion_Sales_cleaned!$D697,Table4[Product_Name],Table4[Product_Key],"not found")</f>
        <v>23</v>
      </c>
      <c r="P697" s="32">
        <f>_xlfn.XLOOKUP(Snitch_Fashion_Sales_cleaned!$I697,Table3[Order_Date],Table3[Date_Key])</f>
        <v>5</v>
      </c>
    </row>
    <row r="698" spans="1:16" x14ac:dyDescent="0.3">
      <c r="A698" s="27">
        <v>1696</v>
      </c>
      <c r="B698" s="25" t="s">
        <v>743</v>
      </c>
      <c r="C698" s="25" t="s">
        <v>25</v>
      </c>
      <c r="D698" s="26" t="s">
        <v>50</v>
      </c>
      <c r="E698" s="27">
        <v>4</v>
      </c>
      <c r="F698" s="28">
        <v>532.47</v>
      </c>
      <c r="G698" s="29">
        <v>0.51</v>
      </c>
      <c r="H698" s="28">
        <f t="shared" si="22"/>
        <v>2129.88</v>
      </c>
      <c r="I698" s="30">
        <v>45647</v>
      </c>
      <c r="J698" s="26" t="s">
        <v>22</v>
      </c>
      <c r="K698" s="26" t="s">
        <v>23</v>
      </c>
      <c r="L698" s="31">
        <f t="shared" si="23"/>
        <v>1043.6412</v>
      </c>
      <c r="M698" s="31">
        <v>666.49</v>
      </c>
      <c r="N698" s="22">
        <f>_xlfn.XLOOKUP(Snitch_Fashion_Sales_cleaned!$J698,Table2[City],Table2[City_Key],"not found")</f>
        <v>3</v>
      </c>
      <c r="O698" s="21">
        <f>_xlfn.XLOOKUP(Snitch_Fashion_Sales_cleaned!$D698,Table4[Product_Name],Table4[Product_Key],"not found")</f>
        <v>11</v>
      </c>
      <c r="P698" s="25">
        <f>_xlfn.XLOOKUP(Snitch_Fashion_Sales_cleaned!$I698,Table3[Order_Date],Table3[Date_Key])</f>
        <v>5</v>
      </c>
    </row>
    <row r="699" spans="1:16" x14ac:dyDescent="0.3">
      <c r="A699" s="34">
        <v>1697</v>
      </c>
      <c r="B699" s="32" t="s">
        <v>744</v>
      </c>
      <c r="C699" s="32" t="s">
        <v>28</v>
      </c>
      <c r="D699" s="33" t="s">
        <v>29</v>
      </c>
      <c r="E699" s="34">
        <v>2</v>
      </c>
      <c r="F699" s="35">
        <v>1758.97</v>
      </c>
      <c r="G699" s="36">
        <v>0.51</v>
      </c>
      <c r="H699" s="35">
        <f t="shared" si="22"/>
        <v>3517.94</v>
      </c>
      <c r="I699" s="37">
        <v>45700</v>
      </c>
      <c r="J699" s="33" t="s">
        <v>15</v>
      </c>
      <c r="K699" s="33" t="s">
        <v>23</v>
      </c>
      <c r="L699" s="38">
        <f t="shared" si="23"/>
        <v>1723.7906</v>
      </c>
      <c r="M699" s="38">
        <v>430.94765000000001</v>
      </c>
      <c r="N699" s="24">
        <f>_xlfn.XLOOKUP(Snitch_Fashion_Sales_cleaned!$J699,Table2[City],Table2[City_Key],"not found")</f>
        <v>1</v>
      </c>
      <c r="O699" s="23">
        <f>_xlfn.XLOOKUP(Snitch_Fashion_Sales_cleaned!$D699,Table4[Product_Name],Table4[Product_Key],"not found")</f>
        <v>4</v>
      </c>
      <c r="P699" s="32">
        <f>_xlfn.XLOOKUP(Snitch_Fashion_Sales_cleaned!$I699,Table3[Order_Date],Table3[Date_Key])</f>
        <v>39</v>
      </c>
    </row>
    <row r="700" spans="1:16" x14ac:dyDescent="0.3">
      <c r="A700" s="27">
        <v>1698</v>
      </c>
      <c r="B700" s="25" t="s">
        <v>745</v>
      </c>
      <c r="C700" s="25" t="s">
        <v>25</v>
      </c>
      <c r="D700" s="26" t="s">
        <v>26</v>
      </c>
      <c r="E700" s="27">
        <v>4</v>
      </c>
      <c r="F700" s="28">
        <v>2111.87</v>
      </c>
      <c r="G700" s="29">
        <v>0.51</v>
      </c>
      <c r="H700" s="28">
        <f t="shared" si="22"/>
        <v>8447.48</v>
      </c>
      <c r="I700" s="30">
        <v>45502</v>
      </c>
      <c r="J700" s="26" t="s">
        <v>52</v>
      </c>
      <c r="K700" s="26" t="s">
        <v>16</v>
      </c>
      <c r="L700" s="31">
        <f t="shared" si="23"/>
        <v>4139.2651999999998</v>
      </c>
      <c r="M700" s="31">
        <v>-621</v>
      </c>
      <c r="N700" s="22">
        <f>_xlfn.XLOOKUP(Snitch_Fashion_Sales_cleaned!$J700,Table2[City],Table2[City_Key],"not found")</f>
        <v>5</v>
      </c>
      <c r="O700" s="21">
        <f>_xlfn.XLOOKUP(Snitch_Fashion_Sales_cleaned!$D700,Table4[Product_Name],Table4[Product_Key],"not found")</f>
        <v>3</v>
      </c>
      <c r="P700" s="25">
        <f>_xlfn.XLOOKUP(Snitch_Fashion_Sales_cleaned!$I700,Table3[Order_Date],Table3[Date_Key])</f>
        <v>338</v>
      </c>
    </row>
    <row r="701" spans="1:16" x14ac:dyDescent="0.3">
      <c r="A701" s="34">
        <v>1699</v>
      </c>
      <c r="B701" s="32" t="s">
        <v>746</v>
      </c>
      <c r="C701" s="32" t="s">
        <v>25</v>
      </c>
      <c r="D701" s="33" t="s">
        <v>50</v>
      </c>
      <c r="E701" s="34">
        <v>6</v>
      </c>
      <c r="F701" s="35">
        <v>701.16</v>
      </c>
      <c r="G701" s="36">
        <v>0.51</v>
      </c>
      <c r="H701" s="35">
        <f t="shared" si="22"/>
        <v>4206.96</v>
      </c>
      <c r="I701" s="37">
        <v>45697</v>
      </c>
      <c r="J701" s="33" t="s">
        <v>15</v>
      </c>
      <c r="K701" s="33" t="s">
        <v>16</v>
      </c>
      <c r="L701" s="38">
        <f t="shared" si="23"/>
        <v>2061.4103999999998</v>
      </c>
      <c r="M701" s="38">
        <v>515.35259999999994</v>
      </c>
      <c r="N701" s="24">
        <f>_xlfn.XLOOKUP(Snitch_Fashion_Sales_cleaned!$J701,Table2[City],Table2[City_Key],"not found")</f>
        <v>1</v>
      </c>
      <c r="O701" s="23">
        <f>_xlfn.XLOOKUP(Snitch_Fashion_Sales_cleaned!$D701,Table4[Product_Name],Table4[Product_Key],"not found")</f>
        <v>11</v>
      </c>
      <c r="P701" s="32">
        <f>_xlfn.XLOOKUP(Snitch_Fashion_Sales_cleaned!$I701,Table3[Order_Date],Table3[Date_Key])</f>
        <v>339</v>
      </c>
    </row>
    <row r="702" spans="1:16" x14ac:dyDescent="0.3">
      <c r="A702" s="27">
        <v>1700</v>
      </c>
      <c r="B702" s="25" t="s">
        <v>747</v>
      </c>
      <c r="C702" s="25" t="s">
        <v>31</v>
      </c>
      <c r="D702" s="26" t="s">
        <v>41</v>
      </c>
      <c r="E702" s="27">
        <v>3</v>
      </c>
      <c r="F702" s="28">
        <v>3332.06</v>
      </c>
      <c r="G702" s="29">
        <v>0.47</v>
      </c>
      <c r="H702" s="28">
        <f t="shared" si="22"/>
        <v>9996.18</v>
      </c>
      <c r="I702" s="30">
        <v>45593</v>
      </c>
      <c r="J702" s="26" t="s">
        <v>22</v>
      </c>
      <c r="K702" s="26" t="s">
        <v>23</v>
      </c>
      <c r="L702" s="31">
        <f t="shared" si="23"/>
        <v>5297.9754000000003</v>
      </c>
      <c r="M702" s="31">
        <v>1969.67</v>
      </c>
      <c r="N702" s="22">
        <f>_xlfn.XLOOKUP(Snitch_Fashion_Sales_cleaned!$J702,Table2[City],Table2[City_Key],"not found")</f>
        <v>3</v>
      </c>
      <c r="O702" s="21">
        <f>_xlfn.XLOOKUP(Snitch_Fashion_Sales_cleaned!$D702,Table4[Product_Name],Table4[Product_Key],"not found")</f>
        <v>9</v>
      </c>
      <c r="P702" s="25">
        <f>_xlfn.XLOOKUP(Snitch_Fashion_Sales_cleaned!$I702,Table3[Order_Date],Table3[Date_Key])</f>
        <v>88</v>
      </c>
    </row>
    <row r="703" spans="1:16" x14ac:dyDescent="0.3">
      <c r="A703" s="34">
        <v>1701</v>
      </c>
      <c r="B703" s="32" t="s">
        <v>748</v>
      </c>
      <c r="C703" s="32" t="s">
        <v>36</v>
      </c>
      <c r="D703" s="33" t="s">
        <v>59</v>
      </c>
      <c r="E703" s="34">
        <v>2</v>
      </c>
      <c r="F703" s="35">
        <v>3402.47</v>
      </c>
      <c r="G703" s="36">
        <v>0.51</v>
      </c>
      <c r="H703" s="35">
        <f t="shared" si="22"/>
        <v>6804.94</v>
      </c>
      <c r="I703" s="37">
        <v>45647</v>
      </c>
      <c r="J703" s="33" t="s">
        <v>18</v>
      </c>
      <c r="K703" s="33" t="s">
        <v>23</v>
      </c>
      <c r="L703" s="38">
        <f t="shared" si="23"/>
        <v>3334.4205999999999</v>
      </c>
      <c r="M703" s="38">
        <v>1713.45</v>
      </c>
      <c r="N703" s="24">
        <f>_xlfn.XLOOKUP(Snitch_Fashion_Sales_cleaned!$J703,Table2[City],Table2[City_Key],"not found")</f>
        <v>2</v>
      </c>
      <c r="O703" s="23">
        <f>_xlfn.XLOOKUP(Snitch_Fashion_Sales_cleaned!$D703,Table4[Product_Name],Table4[Product_Key],"not found")</f>
        <v>13</v>
      </c>
      <c r="P703" s="32">
        <f>_xlfn.XLOOKUP(Snitch_Fashion_Sales_cleaned!$I703,Table3[Order_Date],Table3[Date_Key])</f>
        <v>5</v>
      </c>
    </row>
    <row r="704" spans="1:16" x14ac:dyDescent="0.3">
      <c r="A704" s="27">
        <v>1702</v>
      </c>
      <c r="B704" s="25" t="s">
        <v>749</v>
      </c>
      <c r="C704" s="25" t="s">
        <v>25</v>
      </c>
      <c r="D704" s="26" t="s">
        <v>50</v>
      </c>
      <c r="E704" s="27">
        <v>4</v>
      </c>
      <c r="F704" s="28">
        <v>792.36</v>
      </c>
      <c r="G704" s="29">
        <v>0.51</v>
      </c>
      <c r="H704" s="28">
        <f t="shared" si="22"/>
        <v>3169.44</v>
      </c>
      <c r="I704" s="30">
        <v>45745</v>
      </c>
      <c r="J704" s="26" t="s">
        <v>18</v>
      </c>
      <c r="K704" s="26" t="s">
        <v>23</v>
      </c>
      <c r="L704" s="31">
        <f t="shared" si="23"/>
        <v>1553.0255999999999</v>
      </c>
      <c r="M704" s="31">
        <v>990.35</v>
      </c>
      <c r="N704" s="22">
        <f>_xlfn.XLOOKUP(Snitch_Fashion_Sales_cleaned!$J704,Table2[City],Table2[City_Key],"not found")</f>
        <v>2</v>
      </c>
      <c r="O704" s="21">
        <f>_xlfn.XLOOKUP(Snitch_Fashion_Sales_cleaned!$D704,Table4[Product_Name],Table4[Product_Key],"not found")</f>
        <v>11</v>
      </c>
      <c r="P704" s="25">
        <f>_xlfn.XLOOKUP(Snitch_Fashion_Sales_cleaned!$I704,Table3[Order_Date],Table3[Date_Key])</f>
        <v>293</v>
      </c>
    </row>
    <row r="705" spans="1:16" x14ac:dyDescent="0.3">
      <c r="A705" s="34">
        <v>1703</v>
      </c>
      <c r="B705" s="32" t="s">
        <v>750</v>
      </c>
      <c r="C705" s="32" t="s">
        <v>13</v>
      </c>
      <c r="D705" s="33" t="s">
        <v>14</v>
      </c>
      <c r="E705" s="34">
        <v>4</v>
      </c>
      <c r="F705" s="35">
        <v>2366.6149999999998</v>
      </c>
      <c r="G705" s="36">
        <v>0.92</v>
      </c>
      <c r="H705" s="35">
        <f t="shared" si="22"/>
        <v>9466.4599999999991</v>
      </c>
      <c r="I705" s="37">
        <v>45687</v>
      </c>
      <c r="J705" s="33" t="s">
        <v>43</v>
      </c>
      <c r="K705" s="33" t="s">
        <v>23</v>
      </c>
      <c r="L705" s="38">
        <f t="shared" si="23"/>
        <v>757.3167999999996</v>
      </c>
      <c r="M705" s="38">
        <v>-96.41</v>
      </c>
      <c r="N705" s="24">
        <f>_xlfn.XLOOKUP(Snitch_Fashion_Sales_cleaned!$J705,Table2[City],Table2[City_Key],"not found")</f>
        <v>6</v>
      </c>
      <c r="O705" s="23">
        <f>_xlfn.XLOOKUP(Snitch_Fashion_Sales_cleaned!$D705,Table4[Product_Name],Table4[Product_Key],"not found")</f>
        <v>1</v>
      </c>
      <c r="P705" s="32">
        <f>_xlfn.XLOOKUP(Snitch_Fashion_Sales_cleaned!$I705,Table3[Order_Date],Table3[Date_Key])</f>
        <v>340</v>
      </c>
    </row>
    <row r="706" spans="1:16" x14ac:dyDescent="0.3">
      <c r="A706" s="27">
        <v>1704</v>
      </c>
      <c r="B706" s="25" t="s">
        <v>751</v>
      </c>
      <c r="C706" s="25" t="s">
        <v>31</v>
      </c>
      <c r="D706" s="26" t="s">
        <v>68</v>
      </c>
      <c r="E706" s="27">
        <v>4</v>
      </c>
      <c r="F706" s="28">
        <v>2765.79</v>
      </c>
      <c r="G706" s="29">
        <v>0.47</v>
      </c>
      <c r="H706" s="28">
        <f t="shared" si="22"/>
        <v>11063.16</v>
      </c>
      <c r="I706" s="30">
        <v>45556</v>
      </c>
      <c r="J706" s="26" t="s">
        <v>2540</v>
      </c>
      <c r="K706" s="26" t="s">
        <v>23</v>
      </c>
      <c r="L706" s="31">
        <f t="shared" si="23"/>
        <v>5863.4748</v>
      </c>
      <c r="M706" s="31">
        <v>2611.36</v>
      </c>
      <c r="N706" s="22">
        <f>_xlfn.XLOOKUP(Snitch_Fashion_Sales_cleaned!$J706,Table2[City],Table2[City_Key],"not found")</f>
        <v>4</v>
      </c>
      <c r="O706" s="21">
        <f>_xlfn.XLOOKUP(Snitch_Fashion_Sales_cleaned!$D706,Table4[Product_Name],Table4[Product_Key],"not found")</f>
        <v>15</v>
      </c>
      <c r="P706" s="25">
        <f>_xlfn.XLOOKUP(Snitch_Fashion_Sales_cleaned!$I706,Table3[Order_Date],Table3[Date_Key])</f>
        <v>11</v>
      </c>
    </row>
    <row r="707" spans="1:16" x14ac:dyDescent="0.3">
      <c r="A707" s="34">
        <v>1705</v>
      </c>
      <c r="B707" s="32" t="s">
        <v>752</v>
      </c>
      <c r="C707" s="32" t="s">
        <v>25</v>
      </c>
      <c r="D707" s="33" t="s">
        <v>50</v>
      </c>
      <c r="E707" s="34">
        <v>4</v>
      </c>
      <c r="F707" s="35">
        <v>4170.76</v>
      </c>
      <c r="G707" s="36">
        <v>0.51</v>
      </c>
      <c r="H707" s="35">
        <f t="shared" si="22"/>
        <v>16683.04</v>
      </c>
      <c r="I707" s="37">
        <v>45789</v>
      </c>
      <c r="J707" s="33" t="s">
        <v>2540</v>
      </c>
      <c r="K707" s="33" t="s">
        <v>23</v>
      </c>
      <c r="L707" s="38">
        <f t="shared" si="23"/>
        <v>8174.6896000000006</v>
      </c>
      <c r="M707" s="38">
        <v>826.76</v>
      </c>
      <c r="N707" s="24">
        <f>_xlfn.XLOOKUP(Snitch_Fashion_Sales_cleaned!$J707,Table2[City],Table2[City_Key],"not found")</f>
        <v>4</v>
      </c>
      <c r="O707" s="23">
        <f>_xlfn.XLOOKUP(Snitch_Fashion_Sales_cleaned!$D707,Table4[Product_Name],Table4[Product_Key],"not found")</f>
        <v>11</v>
      </c>
      <c r="P707" s="32">
        <f>_xlfn.XLOOKUP(Snitch_Fashion_Sales_cleaned!$I707,Table3[Order_Date],Table3[Date_Key])</f>
        <v>206</v>
      </c>
    </row>
    <row r="708" spans="1:16" x14ac:dyDescent="0.3">
      <c r="A708" s="27">
        <v>1706</v>
      </c>
      <c r="B708" s="25" t="s">
        <v>753</v>
      </c>
      <c r="C708" s="25" t="s">
        <v>20</v>
      </c>
      <c r="D708" s="26" t="s">
        <v>84</v>
      </c>
      <c r="E708" s="27">
        <v>5</v>
      </c>
      <c r="F708" s="28">
        <v>4827.8900000000003</v>
      </c>
      <c r="G708" s="29">
        <v>0.84</v>
      </c>
      <c r="H708" s="28">
        <f t="shared" si="22"/>
        <v>24139.45</v>
      </c>
      <c r="I708" s="30">
        <v>45647</v>
      </c>
      <c r="J708" s="26" t="s">
        <v>18</v>
      </c>
      <c r="K708" s="26" t="s">
        <v>16</v>
      </c>
      <c r="L708" s="31">
        <f t="shared" si="23"/>
        <v>3862.3120000000008</v>
      </c>
      <c r="M708" s="31">
        <v>2824.1</v>
      </c>
      <c r="N708" s="22">
        <f>_xlfn.XLOOKUP(Snitch_Fashion_Sales_cleaned!$J708,Table2[City],Table2[City_Key],"not found")</f>
        <v>2</v>
      </c>
      <c r="O708" s="21">
        <f>_xlfn.XLOOKUP(Snitch_Fashion_Sales_cleaned!$D708,Table4[Product_Name],Table4[Product_Key],"not found")</f>
        <v>19</v>
      </c>
      <c r="P708" s="25">
        <f>_xlfn.XLOOKUP(Snitch_Fashion_Sales_cleaned!$I708,Table3[Order_Date],Table3[Date_Key])</f>
        <v>5</v>
      </c>
    </row>
    <row r="709" spans="1:16" x14ac:dyDescent="0.3">
      <c r="A709" s="34">
        <v>1707</v>
      </c>
      <c r="B709" s="32" t="s">
        <v>754</v>
      </c>
      <c r="C709" s="32" t="s">
        <v>20</v>
      </c>
      <c r="D709" s="33" t="s">
        <v>21</v>
      </c>
      <c r="E709" s="34">
        <v>6</v>
      </c>
      <c r="F709" s="35">
        <v>2579.8000000000002</v>
      </c>
      <c r="G709" s="36">
        <v>0.51</v>
      </c>
      <c r="H709" s="35">
        <f t="shared" si="22"/>
        <v>15478.800000000001</v>
      </c>
      <c r="I709" s="37">
        <v>45647</v>
      </c>
      <c r="J709" s="33" t="s">
        <v>22</v>
      </c>
      <c r="K709" s="33" t="s">
        <v>23</v>
      </c>
      <c r="L709" s="38">
        <f t="shared" si="23"/>
        <v>7584.6120000000001</v>
      </c>
      <c r="M709" s="38">
        <v>1903.2</v>
      </c>
      <c r="N709" s="24">
        <f>_xlfn.XLOOKUP(Snitch_Fashion_Sales_cleaned!$J709,Table2[City],Table2[City_Key],"not found")</f>
        <v>3</v>
      </c>
      <c r="O709" s="23">
        <f>_xlfn.XLOOKUP(Snitch_Fashion_Sales_cleaned!$D709,Table4[Product_Name],Table4[Product_Key],"not found")</f>
        <v>2</v>
      </c>
      <c r="P709" s="32">
        <f>_xlfn.XLOOKUP(Snitch_Fashion_Sales_cleaned!$I709,Table3[Order_Date],Table3[Date_Key])</f>
        <v>5</v>
      </c>
    </row>
    <row r="710" spans="1:16" x14ac:dyDescent="0.3">
      <c r="A710" s="27">
        <v>1708</v>
      </c>
      <c r="B710" s="25" t="s">
        <v>755</v>
      </c>
      <c r="C710" s="25" t="s">
        <v>28</v>
      </c>
      <c r="D710" s="26" t="s">
        <v>39</v>
      </c>
      <c r="E710" s="27">
        <v>3</v>
      </c>
      <c r="F710" s="28">
        <v>2577.6350000000002</v>
      </c>
      <c r="G710" s="29">
        <v>0.55000000000000004</v>
      </c>
      <c r="H710" s="28">
        <f t="shared" ref="H710:H773" si="24">E710*F710</f>
        <v>7732.9050000000007</v>
      </c>
      <c r="I710" s="30">
        <v>45813</v>
      </c>
      <c r="J710" s="26" t="s">
        <v>15</v>
      </c>
      <c r="K710" s="26" t="s">
        <v>23</v>
      </c>
      <c r="L710" s="31">
        <f t="shared" ref="L710:L773" si="25">H710*(1-G710)</f>
        <v>3479.8072499999998</v>
      </c>
      <c r="M710" s="31">
        <v>1400.39</v>
      </c>
      <c r="N710" s="22">
        <f>_xlfn.XLOOKUP(Snitch_Fashion_Sales_cleaned!$J710,Table2[City],Table2[City_Key],"not found")</f>
        <v>1</v>
      </c>
      <c r="O710" s="21">
        <f>_xlfn.XLOOKUP(Snitch_Fashion_Sales_cleaned!$D710,Table4[Product_Name],Table4[Product_Key],"not found")</f>
        <v>8</v>
      </c>
      <c r="P710" s="25">
        <f>_xlfn.XLOOKUP(Snitch_Fashion_Sales_cleaned!$I710,Table3[Order_Date],Table3[Date_Key])</f>
        <v>341</v>
      </c>
    </row>
    <row r="711" spans="1:16" x14ac:dyDescent="0.3">
      <c r="A711" s="34">
        <v>1709</v>
      </c>
      <c r="B711" s="32" t="s">
        <v>756</v>
      </c>
      <c r="C711" s="32" t="s">
        <v>20</v>
      </c>
      <c r="D711" s="33" t="s">
        <v>84</v>
      </c>
      <c r="E711" s="34">
        <v>5</v>
      </c>
      <c r="F711" s="35">
        <v>1717.79</v>
      </c>
      <c r="G711" s="36">
        <v>0.51</v>
      </c>
      <c r="H711" s="35">
        <f t="shared" si="24"/>
        <v>8588.9500000000007</v>
      </c>
      <c r="I711" s="37">
        <v>45563</v>
      </c>
      <c r="J711" s="33" t="s">
        <v>18</v>
      </c>
      <c r="K711" s="33" t="s">
        <v>23</v>
      </c>
      <c r="L711" s="38">
        <f t="shared" si="25"/>
        <v>4208.5855000000001</v>
      </c>
      <c r="M711" s="38">
        <v>2264.16</v>
      </c>
      <c r="N711" s="24">
        <f>_xlfn.XLOOKUP(Snitch_Fashion_Sales_cleaned!$J711,Table2[City],Table2[City_Key],"not found")</f>
        <v>2</v>
      </c>
      <c r="O711" s="23">
        <f>_xlfn.XLOOKUP(Snitch_Fashion_Sales_cleaned!$D711,Table4[Product_Name],Table4[Product_Key],"not found")</f>
        <v>19</v>
      </c>
      <c r="P711" s="32">
        <f>_xlfn.XLOOKUP(Snitch_Fashion_Sales_cleaned!$I711,Table3[Order_Date],Table3[Date_Key])</f>
        <v>134</v>
      </c>
    </row>
    <row r="712" spans="1:16" x14ac:dyDescent="0.3">
      <c r="A712" s="27">
        <v>1710</v>
      </c>
      <c r="B712" s="25" t="s">
        <v>757</v>
      </c>
      <c r="C712" s="25" t="s">
        <v>28</v>
      </c>
      <c r="D712" s="26" t="s">
        <v>116</v>
      </c>
      <c r="E712" s="27">
        <v>4</v>
      </c>
      <c r="F712" s="28">
        <v>2785.79</v>
      </c>
      <c r="G712" s="29">
        <v>0.45</v>
      </c>
      <c r="H712" s="28">
        <f t="shared" si="24"/>
        <v>11143.16</v>
      </c>
      <c r="I712" s="30">
        <v>45576</v>
      </c>
      <c r="J712" s="26" t="s">
        <v>18</v>
      </c>
      <c r="K712" s="26" t="s">
        <v>16</v>
      </c>
      <c r="L712" s="31">
        <f t="shared" si="25"/>
        <v>6128.7380000000003</v>
      </c>
      <c r="M712" s="31">
        <v>-333.46</v>
      </c>
      <c r="N712" s="22">
        <f>_xlfn.XLOOKUP(Snitch_Fashion_Sales_cleaned!$J712,Table2[City],Table2[City_Key],"not found")</f>
        <v>2</v>
      </c>
      <c r="O712" s="21">
        <f>_xlfn.XLOOKUP(Snitch_Fashion_Sales_cleaned!$D712,Table4[Product_Name],Table4[Product_Key],"not found")</f>
        <v>22</v>
      </c>
      <c r="P712" s="25">
        <f>_xlfn.XLOOKUP(Snitch_Fashion_Sales_cleaned!$I712,Table3[Order_Date],Table3[Date_Key])</f>
        <v>285</v>
      </c>
    </row>
    <row r="713" spans="1:16" x14ac:dyDescent="0.3">
      <c r="A713" s="34">
        <v>1711</v>
      </c>
      <c r="B713" s="32" t="s">
        <v>758</v>
      </c>
      <c r="C713" s="32" t="s">
        <v>28</v>
      </c>
      <c r="D713" s="33" t="s">
        <v>116</v>
      </c>
      <c r="E713" s="34">
        <v>4</v>
      </c>
      <c r="F713" s="35">
        <v>2685.92</v>
      </c>
      <c r="G713" s="36">
        <v>0.51</v>
      </c>
      <c r="H713" s="35">
        <f t="shared" si="24"/>
        <v>10743.68</v>
      </c>
      <c r="I713" s="37">
        <v>45585</v>
      </c>
      <c r="J713" s="33" t="s">
        <v>43</v>
      </c>
      <c r="K713" s="33" t="s">
        <v>23</v>
      </c>
      <c r="L713" s="38">
        <f t="shared" si="25"/>
        <v>5264.4031999999997</v>
      </c>
      <c r="M713" s="38">
        <v>2804.29</v>
      </c>
      <c r="N713" s="24">
        <f>_xlfn.XLOOKUP(Snitch_Fashion_Sales_cleaned!$J713,Table2[City],Table2[City_Key],"not found")</f>
        <v>6</v>
      </c>
      <c r="O713" s="23">
        <f>_xlfn.XLOOKUP(Snitch_Fashion_Sales_cleaned!$D713,Table4[Product_Name],Table4[Product_Key],"not found")</f>
        <v>22</v>
      </c>
      <c r="P713" s="32">
        <f>_xlfn.XLOOKUP(Snitch_Fashion_Sales_cleaned!$I713,Table3[Order_Date],Table3[Date_Key])</f>
        <v>144</v>
      </c>
    </row>
    <row r="714" spans="1:16" x14ac:dyDescent="0.3">
      <c r="A714" s="27">
        <v>1712</v>
      </c>
      <c r="B714" s="25" t="s">
        <v>759</v>
      </c>
      <c r="C714" s="25" t="s">
        <v>28</v>
      </c>
      <c r="D714" s="26" t="s">
        <v>29</v>
      </c>
      <c r="E714" s="27">
        <v>3</v>
      </c>
      <c r="F714" s="28">
        <v>2386.58</v>
      </c>
      <c r="G714" s="29">
        <v>0.51</v>
      </c>
      <c r="H714" s="28">
        <f t="shared" si="24"/>
        <v>7159.74</v>
      </c>
      <c r="I714" s="30">
        <v>45518</v>
      </c>
      <c r="J714" s="26" t="s">
        <v>43</v>
      </c>
      <c r="K714" s="26" t="s">
        <v>23</v>
      </c>
      <c r="L714" s="31">
        <f t="shared" si="25"/>
        <v>3508.2725999999998</v>
      </c>
      <c r="M714" s="31">
        <v>1879.59</v>
      </c>
      <c r="N714" s="22">
        <f>_xlfn.XLOOKUP(Snitch_Fashion_Sales_cleaned!$J714,Table2[City],Table2[City_Key],"not found")</f>
        <v>6</v>
      </c>
      <c r="O714" s="21">
        <f>_xlfn.XLOOKUP(Snitch_Fashion_Sales_cleaned!$D714,Table4[Product_Name],Table4[Product_Key],"not found")</f>
        <v>4</v>
      </c>
      <c r="P714" s="25">
        <f>_xlfn.XLOOKUP(Snitch_Fashion_Sales_cleaned!$I714,Table3[Order_Date],Table3[Date_Key])</f>
        <v>43</v>
      </c>
    </row>
    <row r="715" spans="1:16" x14ac:dyDescent="0.3">
      <c r="A715" s="34">
        <v>1713</v>
      </c>
      <c r="B715" s="32" t="s">
        <v>760</v>
      </c>
      <c r="C715" s="32" t="s">
        <v>31</v>
      </c>
      <c r="D715" s="33" t="s">
        <v>78</v>
      </c>
      <c r="E715" s="34">
        <v>4</v>
      </c>
      <c r="F715" s="35">
        <v>2599.75</v>
      </c>
      <c r="G715" s="36">
        <v>0.51</v>
      </c>
      <c r="H715" s="35">
        <f t="shared" si="24"/>
        <v>10399</v>
      </c>
      <c r="I715" s="37">
        <v>45597</v>
      </c>
      <c r="J715" s="33" t="s">
        <v>43</v>
      </c>
      <c r="K715" s="33" t="s">
        <v>16</v>
      </c>
      <c r="L715" s="38">
        <f t="shared" si="25"/>
        <v>5095.51</v>
      </c>
      <c r="M715" s="38">
        <v>832.34</v>
      </c>
      <c r="N715" s="24">
        <f>_xlfn.XLOOKUP(Snitch_Fashion_Sales_cleaned!$J715,Table2[City],Table2[City_Key],"not found")</f>
        <v>6</v>
      </c>
      <c r="O715" s="23">
        <f>_xlfn.XLOOKUP(Snitch_Fashion_Sales_cleaned!$D715,Table4[Product_Name],Table4[Product_Key],"not found")</f>
        <v>17</v>
      </c>
      <c r="P715" s="32">
        <f>_xlfn.XLOOKUP(Snitch_Fashion_Sales_cleaned!$I715,Table3[Order_Date],Table3[Date_Key])</f>
        <v>342</v>
      </c>
    </row>
    <row r="716" spans="1:16" x14ac:dyDescent="0.3">
      <c r="A716" s="27">
        <v>1714</v>
      </c>
      <c r="B716" s="25" t="s">
        <v>761</v>
      </c>
      <c r="C716" s="25" t="s">
        <v>31</v>
      </c>
      <c r="D716" s="26" t="s">
        <v>78</v>
      </c>
      <c r="E716" s="27">
        <v>4</v>
      </c>
      <c r="F716" s="28">
        <v>2599.75</v>
      </c>
      <c r="G716" s="29">
        <v>0.51</v>
      </c>
      <c r="H716" s="28">
        <f t="shared" si="24"/>
        <v>10399</v>
      </c>
      <c r="I716" s="30">
        <v>45647</v>
      </c>
      <c r="J716" s="26" t="s">
        <v>52</v>
      </c>
      <c r="K716" s="26" t="s">
        <v>16</v>
      </c>
      <c r="L716" s="31">
        <f t="shared" si="25"/>
        <v>5095.51</v>
      </c>
      <c r="M716" s="31">
        <v>-746.03</v>
      </c>
      <c r="N716" s="22">
        <f>_xlfn.XLOOKUP(Snitch_Fashion_Sales_cleaned!$J716,Table2[City],Table2[City_Key],"not found")</f>
        <v>5</v>
      </c>
      <c r="O716" s="21">
        <f>_xlfn.XLOOKUP(Snitch_Fashion_Sales_cleaned!$D716,Table4[Product_Name],Table4[Product_Key],"not found")</f>
        <v>17</v>
      </c>
      <c r="P716" s="25">
        <f>_xlfn.XLOOKUP(Snitch_Fashion_Sales_cleaned!$I716,Table3[Order_Date],Table3[Date_Key])</f>
        <v>5</v>
      </c>
    </row>
    <row r="717" spans="1:16" x14ac:dyDescent="0.3">
      <c r="A717" s="34">
        <v>1715</v>
      </c>
      <c r="B717" s="32" t="s">
        <v>762</v>
      </c>
      <c r="C717" s="32" t="s">
        <v>28</v>
      </c>
      <c r="D717" s="33" t="s">
        <v>116</v>
      </c>
      <c r="E717" s="34">
        <v>4</v>
      </c>
      <c r="F717" s="35">
        <v>3863.51</v>
      </c>
      <c r="G717" s="36">
        <v>0.51</v>
      </c>
      <c r="H717" s="35">
        <f t="shared" si="24"/>
        <v>15454.04</v>
      </c>
      <c r="I717" s="37">
        <v>45796</v>
      </c>
      <c r="J717" s="33" t="s">
        <v>22</v>
      </c>
      <c r="K717" s="33" t="s">
        <v>16</v>
      </c>
      <c r="L717" s="38">
        <f t="shared" si="25"/>
        <v>7572.4796000000006</v>
      </c>
      <c r="M717" s="38">
        <v>-830.55</v>
      </c>
      <c r="N717" s="24">
        <f>_xlfn.XLOOKUP(Snitch_Fashion_Sales_cleaned!$J717,Table2[City],Table2[City_Key],"not found")</f>
        <v>3</v>
      </c>
      <c r="O717" s="23">
        <f>_xlfn.XLOOKUP(Snitch_Fashion_Sales_cleaned!$D717,Table4[Product_Name],Table4[Product_Key],"not found")</f>
        <v>22</v>
      </c>
      <c r="P717" s="32">
        <f>_xlfn.XLOOKUP(Snitch_Fashion_Sales_cleaned!$I717,Table3[Order_Date],Table3[Date_Key])</f>
        <v>343</v>
      </c>
    </row>
    <row r="718" spans="1:16" x14ac:dyDescent="0.3">
      <c r="A718" s="27">
        <v>1716</v>
      </c>
      <c r="B718" s="25" t="s">
        <v>763</v>
      </c>
      <c r="C718" s="25" t="s">
        <v>36</v>
      </c>
      <c r="D718" s="26" t="s">
        <v>37</v>
      </c>
      <c r="E718" s="27">
        <v>4</v>
      </c>
      <c r="F718" s="28">
        <v>980.17</v>
      </c>
      <c r="G718" s="29">
        <v>0.51</v>
      </c>
      <c r="H718" s="28">
        <f t="shared" si="24"/>
        <v>3920.68</v>
      </c>
      <c r="I718" s="30">
        <v>45496</v>
      </c>
      <c r="J718" s="26" t="s">
        <v>22</v>
      </c>
      <c r="K718" s="26" t="s">
        <v>23</v>
      </c>
      <c r="L718" s="31">
        <f t="shared" si="25"/>
        <v>1921.1332</v>
      </c>
      <c r="M718" s="31">
        <v>275.05</v>
      </c>
      <c r="N718" s="22">
        <f>_xlfn.XLOOKUP(Snitch_Fashion_Sales_cleaned!$J718,Table2[City],Table2[City_Key],"not found")</f>
        <v>3</v>
      </c>
      <c r="O718" s="21">
        <f>_xlfn.XLOOKUP(Snitch_Fashion_Sales_cleaned!$D718,Table4[Product_Name],Table4[Product_Key],"not found")</f>
        <v>7</v>
      </c>
      <c r="P718" s="25">
        <f>_xlfn.XLOOKUP(Snitch_Fashion_Sales_cleaned!$I718,Table3[Order_Date],Table3[Date_Key])</f>
        <v>344</v>
      </c>
    </row>
    <row r="719" spans="1:16" x14ac:dyDescent="0.3">
      <c r="A719" s="34">
        <v>1717</v>
      </c>
      <c r="B719" s="32" t="s">
        <v>764</v>
      </c>
      <c r="C719" s="32" t="s">
        <v>31</v>
      </c>
      <c r="D719" s="33" t="s">
        <v>32</v>
      </c>
      <c r="E719" s="34">
        <v>4</v>
      </c>
      <c r="F719" s="35">
        <v>1279.2</v>
      </c>
      <c r="G719" s="36">
        <v>0.27</v>
      </c>
      <c r="H719" s="35">
        <f t="shared" si="24"/>
        <v>5116.8</v>
      </c>
      <c r="I719" s="37">
        <v>45611</v>
      </c>
      <c r="J719" s="33" t="s">
        <v>15</v>
      </c>
      <c r="K719" s="33" t="s">
        <v>16</v>
      </c>
      <c r="L719" s="38">
        <f t="shared" si="25"/>
        <v>3735.2640000000001</v>
      </c>
      <c r="M719" s="38">
        <v>453.7</v>
      </c>
      <c r="N719" s="24">
        <f>_xlfn.XLOOKUP(Snitch_Fashion_Sales_cleaned!$J719,Table2[City],Table2[City_Key],"not found")</f>
        <v>1</v>
      </c>
      <c r="O719" s="23">
        <f>_xlfn.XLOOKUP(Snitch_Fashion_Sales_cleaned!$D719,Table4[Product_Name],Table4[Product_Key],"not found")</f>
        <v>5</v>
      </c>
      <c r="P719" s="32">
        <f>_xlfn.XLOOKUP(Snitch_Fashion_Sales_cleaned!$I719,Table3[Order_Date],Table3[Date_Key])</f>
        <v>27</v>
      </c>
    </row>
    <row r="720" spans="1:16" x14ac:dyDescent="0.3">
      <c r="A720" s="27">
        <v>1718</v>
      </c>
      <c r="B720" s="25" t="s">
        <v>765</v>
      </c>
      <c r="C720" s="25" t="s">
        <v>20</v>
      </c>
      <c r="D720" s="26" t="s">
        <v>84</v>
      </c>
      <c r="E720" s="27">
        <v>5</v>
      </c>
      <c r="F720" s="28">
        <v>3988.99</v>
      </c>
      <c r="G720" s="29">
        <v>0.51</v>
      </c>
      <c r="H720" s="28">
        <f t="shared" si="24"/>
        <v>19944.949999999997</v>
      </c>
      <c r="I720" s="30">
        <v>45802</v>
      </c>
      <c r="J720" s="26" t="s">
        <v>52</v>
      </c>
      <c r="K720" s="26" t="s">
        <v>16</v>
      </c>
      <c r="L720" s="31">
        <f t="shared" si="25"/>
        <v>9773.0254999999979</v>
      </c>
      <c r="M720" s="31">
        <v>1430.08</v>
      </c>
      <c r="N720" s="22">
        <f>_xlfn.XLOOKUP(Snitch_Fashion_Sales_cleaned!$J720,Table2[City],Table2[City_Key],"not found")</f>
        <v>5</v>
      </c>
      <c r="O720" s="21">
        <f>_xlfn.XLOOKUP(Snitch_Fashion_Sales_cleaned!$D720,Table4[Product_Name],Table4[Product_Key],"not found")</f>
        <v>19</v>
      </c>
      <c r="P720" s="25">
        <f>_xlfn.XLOOKUP(Snitch_Fashion_Sales_cleaned!$I720,Table3[Order_Date],Table3[Date_Key])</f>
        <v>345</v>
      </c>
    </row>
    <row r="721" spans="1:16" x14ac:dyDescent="0.3">
      <c r="A721" s="34">
        <v>1719</v>
      </c>
      <c r="B721" s="32" t="s">
        <v>766</v>
      </c>
      <c r="C721" s="32" t="s">
        <v>13</v>
      </c>
      <c r="D721" s="33" t="s">
        <v>34</v>
      </c>
      <c r="E721" s="34">
        <v>3</v>
      </c>
      <c r="F721" s="35">
        <v>4407.79</v>
      </c>
      <c r="G721" s="36">
        <v>0.64</v>
      </c>
      <c r="H721" s="35">
        <f t="shared" si="24"/>
        <v>13223.369999999999</v>
      </c>
      <c r="I721" s="37">
        <v>45731</v>
      </c>
      <c r="J721" s="33" t="s">
        <v>15</v>
      </c>
      <c r="K721" s="33" t="s">
        <v>23</v>
      </c>
      <c r="L721" s="38">
        <f t="shared" si="25"/>
        <v>4760.4131999999991</v>
      </c>
      <c r="M721" s="38">
        <v>1150.06</v>
      </c>
      <c r="N721" s="24">
        <f>_xlfn.XLOOKUP(Snitch_Fashion_Sales_cleaned!$J721,Table2[City],Table2[City_Key],"not found")</f>
        <v>1</v>
      </c>
      <c r="O721" s="23">
        <f>_xlfn.XLOOKUP(Snitch_Fashion_Sales_cleaned!$D721,Table4[Product_Name],Table4[Product_Key],"not found")</f>
        <v>6</v>
      </c>
      <c r="P721" s="32">
        <f>_xlfn.XLOOKUP(Snitch_Fashion_Sales_cleaned!$I721,Table3[Order_Date],Table3[Date_Key])</f>
        <v>346</v>
      </c>
    </row>
    <row r="722" spans="1:16" x14ac:dyDescent="0.3">
      <c r="A722" s="27">
        <v>1720</v>
      </c>
      <c r="B722" s="25" t="s">
        <v>767</v>
      </c>
      <c r="C722" s="25" t="s">
        <v>20</v>
      </c>
      <c r="D722" s="26" t="s">
        <v>118</v>
      </c>
      <c r="E722" s="27">
        <v>3</v>
      </c>
      <c r="F722" s="28">
        <v>3667.54</v>
      </c>
      <c r="G722" s="29">
        <v>0.56999999999999995</v>
      </c>
      <c r="H722" s="28">
        <f t="shared" si="24"/>
        <v>11002.619999999999</v>
      </c>
      <c r="I722" s="30">
        <v>45138</v>
      </c>
      <c r="J722" s="26" t="s">
        <v>18</v>
      </c>
      <c r="K722" s="26" t="s">
        <v>23</v>
      </c>
      <c r="L722" s="31">
        <f t="shared" si="25"/>
        <v>4731.1266000000005</v>
      </c>
      <c r="M722" s="31">
        <v>459.43</v>
      </c>
      <c r="N722" s="22">
        <f>_xlfn.XLOOKUP(Snitch_Fashion_Sales_cleaned!$J722,Table2[City],Table2[City_Key],"not found")</f>
        <v>2</v>
      </c>
      <c r="O722" s="21">
        <f>_xlfn.XLOOKUP(Snitch_Fashion_Sales_cleaned!$D722,Table4[Product_Name],Table4[Product_Key],"not found")</f>
        <v>23</v>
      </c>
      <c r="P722" s="25">
        <f>_xlfn.XLOOKUP(Snitch_Fashion_Sales_cleaned!$I722,Table3[Order_Date],Table3[Date_Key])</f>
        <v>347</v>
      </c>
    </row>
    <row r="723" spans="1:16" x14ac:dyDescent="0.3">
      <c r="A723" s="34">
        <v>1721</v>
      </c>
      <c r="B723" s="32" t="s">
        <v>768</v>
      </c>
      <c r="C723" s="32" t="s">
        <v>36</v>
      </c>
      <c r="D723" s="33" t="s">
        <v>59</v>
      </c>
      <c r="E723" s="34">
        <v>3</v>
      </c>
      <c r="F723" s="35">
        <v>2765.26</v>
      </c>
      <c r="G723" s="36">
        <v>0.51</v>
      </c>
      <c r="H723" s="35">
        <f t="shared" si="24"/>
        <v>8295.7800000000007</v>
      </c>
      <c r="I723" s="37">
        <v>45575</v>
      </c>
      <c r="J723" s="33" t="s">
        <v>15</v>
      </c>
      <c r="K723" s="33" t="s">
        <v>16</v>
      </c>
      <c r="L723" s="38">
        <f t="shared" si="25"/>
        <v>4064.9322000000002</v>
      </c>
      <c r="M723" s="38">
        <v>788.55</v>
      </c>
      <c r="N723" s="24">
        <f>_xlfn.XLOOKUP(Snitch_Fashion_Sales_cleaned!$J723,Table2[City],Table2[City_Key],"not found")</f>
        <v>1</v>
      </c>
      <c r="O723" s="23">
        <f>_xlfn.XLOOKUP(Snitch_Fashion_Sales_cleaned!$D723,Table4[Product_Name],Table4[Product_Key],"not found")</f>
        <v>13</v>
      </c>
      <c r="P723" s="32">
        <f>_xlfn.XLOOKUP(Snitch_Fashion_Sales_cleaned!$I723,Table3[Order_Date],Table3[Date_Key])</f>
        <v>100</v>
      </c>
    </row>
    <row r="724" spans="1:16" x14ac:dyDescent="0.3">
      <c r="A724" s="27">
        <v>1722</v>
      </c>
      <c r="B724" s="25" t="s">
        <v>769</v>
      </c>
      <c r="C724" s="25" t="s">
        <v>20</v>
      </c>
      <c r="D724" s="26" t="s">
        <v>76</v>
      </c>
      <c r="E724" s="27">
        <v>3</v>
      </c>
      <c r="F724" s="28">
        <v>2229.4899999999998</v>
      </c>
      <c r="G724" s="29">
        <v>0.85</v>
      </c>
      <c r="H724" s="28">
        <f t="shared" si="24"/>
        <v>6688.4699999999993</v>
      </c>
      <c r="I724" s="30">
        <v>45647</v>
      </c>
      <c r="J724" s="26" t="s">
        <v>22</v>
      </c>
      <c r="K724" s="26" t="s">
        <v>16</v>
      </c>
      <c r="L724" s="31">
        <f t="shared" si="25"/>
        <v>1003.2705000000001</v>
      </c>
      <c r="M724" s="31">
        <v>250.81762500000002</v>
      </c>
      <c r="N724" s="22">
        <f>_xlfn.XLOOKUP(Snitch_Fashion_Sales_cleaned!$J724,Table2[City],Table2[City_Key],"not found")</f>
        <v>3</v>
      </c>
      <c r="O724" s="21">
        <f>_xlfn.XLOOKUP(Snitch_Fashion_Sales_cleaned!$D724,Table4[Product_Name],Table4[Product_Key],"not found")</f>
        <v>16</v>
      </c>
      <c r="P724" s="25">
        <f>_xlfn.XLOOKUP(Snitch_Fashion_Sales_cleaned!$I724,Table3[Order_Date],Table3[Date_Key])</f>
        <v>5</v>
      </c>
    </row>
    <row r="725" spans="1:16" x14ac:dyDescent="0.3">
      <c r="A725" s="34">
        <v>1723</v>
      </c>
      <c r="B725" s="32" t="s">
        <v>770</v>
      </c>
      <c r="C725" s="32" t="s">
        <v>36</v>
      </c>
      <c r="D725" s="33" t="s">
        <v>87</v>
      </c>
      <c r="E725" s="34">
        <v>4</v>
      </c>
      <c r="F725" s="35">
        <v>2889.5349999999999</v>
      </c>
      <c r="G725" s="36">
        <v>0.2</v>
      </c>
      <c r="H725" s="35">
        <f t="shared" si="24"/>
        <v>11558.14</v>
      </c>
      <c r="I725" s="37">
        <v>45827</v>
      </c>
      <c r="J725" s="33" t="s">
        <v>18</v>
      </c>
      <c r="K725" s="33" t="s">
        <v>23</v>
      </c>
      <c r="L725" s="38">
        <f t="shared" si="25"/>
        <v>9246.5120000000006</v>
      </c>
      <c r="M725" s="38">
        <v>351.59</v>
      </c>
      <c r="N725" s="24">
        <f>_xlfn.XLOOKUP(Snitch_Fashion_Sales_cleaned!$J725,Table2[City],Table2[City_Key],"not found")</f>
        <v>2</v>
      </c>
      <c r="O725" s="23">
        <f>_xlfn.XLOOKUP(Snitch_Fashion_Sales_cleaned!$D725,Table4[Product_Name],Table4[Product_Key],"not found")</f>
        <v>20</v>
      </c>
      <c r="P725" s="32">
        <f>_xlfn.XLOOKUP(Snitch_Fashion_Sales_cleaned!$I725,Table3[Order_Date],Table3[Date_Key])</f>
        <v>247</v>
      </c>
    </row>
    <row r="726" spans="1:16" x14ac:dyDescent="0.3">
      <c r="A726" s="27">
        <v>1724</v>
      </c>
      <c r="B726" s="25" t="s">
        <v>771</v>
      </c>
      <c r="C726" s="25" t="s">
        <v>13</v>
      </c>
      <c r="D726" s="26" t="s">
        <v>98</v>
      </c>
      <c r="E726" s="27">
        <v>5</v>
      </c>
      <c r="F726" s="28">
        <v>2047.6</v>
      </c>
      <c r="G726" s="29">
        <v>0.92</v>
      </c>
      <c r="H726" s="28">
        <f t="shared" si="24"/>
        <v>10238</v>
      </c>
      <c r="I726" s="30">
        <v>45556</v>
      </c>
      <c r="J726" s="26" t="s">
        <v>2540</v>
      </c>
      <c r="K726" s="26" t="s">
        <v>23</v>
      </c>
      <c r="L726" s="31">
        <f t="shared" si="25"/>
        <v>819.03999999999962</v>
      </c>
      <c r="M726" s="31">
        <v>123.78</v>
      </c>
      <c r="N726" s="22">
        <f>_xlfn.XLOOKUP(Snitch_Fashion_Sales_cleaned!$J726,Table2[City],Table2[City_Key],"not found")</f>
        <v>4</v>
      </c>
      <c r="O726" s="21">
        <f>_xlfn.XLOOKUP(Snitch_Fashion_Sales_cleaned!$D726,Table4[Product_Name],Table4[Product_Key],"not found")</f>
        <v>21</v>
      </c>
      <c r="P726" s="25">
        <f>_xlfn.XLOOKUP(Snitch_Fashion_Sales_cleaned!$I726,Table3[Order_Date],Table3[Date_Key])</f>
        <v>11</v>
      </c>
    </row>
    <row r="727" spans="1:16" x14ac:dyDescent="0.3">
      <c r="A727" s="34">
        <v>1725</v>
      </c>
      <c r="B727" s="32" t="s">
        <v>772</v>
      </c>
      <c r="C727" s="32" t="s">
        <v>36</v>
      </c>
      <c r="D727" s="33" t="s">
        <v>55</v>
      </c>
      <c r="E727" s="34">
        <v>3</v>
      </c>
      <c r="F727" s="35">
        <v>671.5</v>
      </c>
      <c r="G727" s="36">
        <v>0.51</v>
      </c>
      <c r="H727" s="35">
        <f t="shared" si="24"/>
        <v>2014.5</v>
      </c>
      <c r="I727" s="37">
        <v>45517</v>
      </c>
      <c r="J727" s="33" t="s">
        <v>52</v>
      </c>
      <c r="K727" s="33" t="s">
        <v>23</v>
      </c>
      <c r="L727" s="38">
        <f t="shared" si="25"/>
        <v>987.10500000000002</v>
      </c>
      <c r="M727" s="38">
        <v>246.77625</v>
      </c>
      <c r="N727" s="24">
        <f>_xlfn.XLOOKUP(Snitch_Fashion_Sales_cleaned!$J727,Table2[City],Table2[City_Key],"not found")</f>
        <v>5</v>
      </c>
      <c r="O727" s="23">
        <f>_xlfn.XLOOKUP(Snitch_Fashion_Sales_cleaned!$D727,Table4[Product_Name],Table4[Product_Key],"not found")</f>
        <v>12</v>
      </c>
      <c r="P727" s="32">
        <f>_xlfn.XLOOKUP(Snitch_Fashion_Sales_cleaned!$I727,Table3[Order_Date],Table3[Date_Key])</f>
        <v>89</v>
      </c>
    </row>
    <row r="728" spans="1:16" x14ac:dyDescent="0.3">
      <c r="A728" s="27">
        <v>1726</v>
      </c>
      <c r="B728" s="25" t="s">
        <v>773</v>
      </c>
      <c r="C728" s="25" t="s">
        <v>36</v>
      </c>
      <c r="D728" s="26" t="s">
        <v>87</v>
      </c>
      <c r="E728" s="27">
        <v>5</v>
      </c>
      <c r="F728" s="28">
        <v>1363.51</v>
      </c>
      <c r="G728" s="29">
        <v>0.51</v>
      </c>
      <c r="H728" s="28">
        <f t="shared" si="24"/>
        <v>6817.55</v>
      </c>
      <c r="I728" s="30">
        <v>45691</v>
      </c>
      <c r="J728" s="26" t="s">
        <v>2540</v>
      </c>
      <c r="K728" s="26" t="s">
        <v>16</v>
      </c>
      <c r="L728" s="31">
        <f t="shared" si="25"/>
        <v>3340.5994999999998</v>
      </c>
      <c r="M728" s="31">
        <v>2854.74</v>
      </c>
      <c r="N728" s="22">
        <f>_xlfn.XLOOKUP(Snitch_Fashion_Sales_cleaned!$J728,Table2[City],Table2[City_Key],"not found")</f>
        <v>4</v>
      </c>
      <c r="O728" s="21">
        <f>_xlfn.XLOOKUP(Snitch_Fashion_Sales_cleaned!$D728,Table4[Product_Name],Table4[Product_Key],"not found")</f>
        <v>20</v>
      </c>
      <c r="P728" s="25">
        <f>_xlfn.XLOOKUP(Snitch_Fashion_Sales_cleaned!$I728,Table3[Order_Date],Table3[Date_Key])</f>
        <v>348</v>
      </c>
    </row>
    <row r="729" spans="1:16" x14ac:dyDescent="0.3">
      <c r="A729" s="34">
        <v>1727</v>
      </c>
      <c r="B729" s="32" t="s">
        <v>774</v>
      </c>
      <c r="C729" s="32" t="s">
        <v>28</v>
      </c>
      <c r="D729" s="33" t="s">
        <v>116</v>
      </c>
      <c r="E729" s="34">
        <v>5</v>
      </c>
      <c r="F729" s="35">
        <v>2785.79</v>
      </c>
      <c r="G729" s="36">
        <v>0.76</v>
      </c>
      <c r="H729" s="35">
        <f t="shared" si="24"/>
        <v>13928.95</v>
      </c>
      <c r="I729" s="37">
        <v>45647</v>
      </c>
      <c r="J729" s="33" t="s">
        <v>22</v>
      </c>
      <c r="K729" s="33" t="s">
        <v>23</v>
      </c>
      <c r="L729" s="38">
        <f t="shared" si="25"/>
        <v>3342.9479999999999</v>
      </c>
      <c r="M729" s="38">
        <v>1252.83</v>
      </c>
      <c r="N729" s="24">
        <f>_xlfn.XLOOKUP(Snitch_Fashion_Sales_cleaned!$J729,Table2[City],Table2[City_Key],"not found")</f>
        <v>3</v>
      </c>
      <c r="O729" s="23">
        <f>_xlfn.XLOOKUP(Snitch_Fashion_Sales_cleaned!$D729,Table4[Product_Name],Table4[Product_Key],"not found")</f>
        <v>22</v>
      </c>
      <c r="P729" s="32">
        <f>_xlfn.XLOOKUP(Snitch_Fashion_Sales_cleaned!$I729,Table3[Order_Date],Table3[Date_Key])</f>
        <v>5</v>
      </c>
    </row>
    <row r="730" spans="1:16" x14ac:dyDescent="0.3">
      <c r="A730" s="27">
        <v>1728</v>
      </c>
      <c r="B730" s="25" t="s">
        <v>775</v>
      </c>
      <c r="C730" s="25" t="s">
        <v>25</v>
      </c>
      <c r="D730" s="26" t="s">
        <v>26</v>
      </c>
      <c r="E730" s="27">
        <v>1</v>
      </c>
      <c r="F730" s="28">
        <v>733.15</v>
      </c>
      <c r="G730" s="29">
        <v>0.27</v>
      </c>
      <c r="H730" s="28">
        <f t="shared" si="24"/>
        <v>733.15</v>
      </c>
      <c r="I730" s="30">
        <v>45682</v>
      </c>
      <c r="J730" s="26" t="s">
        <v>18</v>
      </c>
      <c r="K730" s="26" t="s">
        <v>23</v>
      </c>
      <c r="L730" s="31">
        <f t="shared" si="25"/>
        <v>535.19949999999994</v>
      </c>
      <c r="M730" s="31">
        <v>273.12</v>
      </c>
      <c r="N730" s="22">
        <f>_xlfn.XLOOKUP(Snitch_Fashion_Sales_cleaned!$J730,Table2[City],Table2[City_Key],"not found")</f>
        <v>2</v>
      </c>
      <c r="O730" s="21">
        <f>_xlfn.XLOOKUP(Snitch_Fashion_Sales_cleaned!$D730,Table4[Product_Name],Table4[Product_Key],"not found")</f>
        <v>3</v>
      </c>
      <c r="P730" s="25">
        <f>_xlfn.XLOOKUP(Snitch_Fashion_Sales_cleaned!$I730,Table3[Order_Date],Table3[Date_Key])</f>
        <v>21</v>
      </c>
    </row>
    <row r="731" spans="1:16" x14ac:dyDescent="0.3">
      <c r="A731" s="34">
        <v>1729</v>
      </c>
      <c r="B731" s="32" t="s">
        <v>776</v>
      </c>
      <c r="C731" s="32" t="s">
        <v>13</v>
      </c>
      <c r="D731" s="33" t="s">
        <v>34</v>
      </c>
      <c r="E731" s="34">
        <v>3</v>
      </c>
      <c r="F731" s="35">
        <v>416.58</v>
      </c>
      <c r="G731" s="36">
        <v>0.51</v>
      </c>
      <c r="H731" s="35">
        <f t="shared" si="24"/>
        <v>1249.74</v>
      </c>
      <c r="I731" s="37">
        <v>45647</v>
      </c>
      <c r="J731" s="33" t="s">
        <v>2540</v>
      </c>
      <c r="K731" s="33" t="s">
        <v>23</v>
      </c>
      <c r="L731" s="38">
        <f t="shared" si="25"/>
        <v>612.37260000000003</v>
      </c>
      <c r="M731" s="38">
        <v>-765.44</v>
      </c>
      <c r="N731" s="24">
        <f>_xlfn.XLOOKUP(Snitch_Fashion_Sales_cleaned!$J731,Table2[City],Table2[City_Key],"not found")</f>
        <v>4</v>
      </c>
      <c r="O731" s="23">
        <f>_xlfn.XLOOKUP(Snitch_Fashion_Sales_cleaned!$D731,Table4[Product_Name],Table4[Product_Key],"not found")</f>
        <v>6</v>
      </c>
      <c r="P731" s="32">
        <f>_xlfn.XLOOKUP(Snitch_Fashion_Sales_cleaned!$I731,Table3[Order_Date],Table3[Date_Key])</f>
        <v>5</v>
      </c>
    </row>
    <row r="732" spans="1:16" x14ac:dyDescent="0.3">
      <c r="A732" s="27">
        <v>1730</v>
      </c>
      <c r="B732" s="25" t="s">
        <v>777</v>
      </c>
      <c r="C732" s="25" t="s">
        <v>36</v>
      </c>
      <c r="D732" s="26" t="s">
        <v>59</v>
      </c>
      <c r="E732" s="27">
        <v>3</v>
      </c>
      <c r="F732" s="28">
        <v>3933.55</v>
      </c>
      <c r="G732" s="29">
        <v>0.51</v>
      </c>
      <c r="H732" s="28">
        <f t="shared" si="24"/>
        <v>11800.650000000001</v>
      </c>
      <c r="I732" s="30">
        <v>45666</v>
      </c>
      <c r="J732" s="26" t="s">
        <v>2540</v>
      </c>
      <c r="K732" s="26" t="s">
        <v>16</v>
      </c>
      <c r="L732" s="31">
        <f t="shared" si="25"/>
        <v>5782.3185000000003</v>
      </c>
      <c r="M732" s="31">
        <v>2728.66</v>
      </c>
      <c r="N732" s="22">
        <f>_xlfn.XLOOKUP(Snitch_Fashion_Sales_cleaned!$J732,Table2[City],Table2[City_Key],"not found")</f>
        <v>4</v>
      </c>
      <c r="O732" s="21">
        <f>_xlfn.XLOOKUP(Snitch_Fashion_Sales_cleaned!$D732,Table4[Product_Name],Table4[Product_Key],"not found")</f>
        <v>13</v>
      </c>
      <c r="P732" s="25">
        <f>_xlfn.XLOOKUP(Snitch_Fashion_Sales_cleaned!$I732,Table3[Order_Date],Table3[Date_Key])</f>
        <v>107</v>
      </c>
    </row>
    <row r="733" spans="1:16" x14ac:dyDescent="0.3">
      <c r="A733" s="34">
        <v>1731</v>
      </c>
      <c r="B733" s="32" t="s">
        <v>778</v>
      </c>
      <c r="C733" s="32" t="s">
        <v>20</v>
      </c>
      <c r="D733" s="33" t="s">
        <v>118</v>
      </c>
      <c r="E733" s="34">
        <v>3.5</v>
      </c>
      <c r="F733" s="35">
        <v>2752.99</v>
      </c>
      <c r="G733" s="36">
        <v>1</v>
      </c>
      <c r="H733" s="35">
        <f t="shared" si="24"/>
        <v>9635.4650000000001</v>
      </c>
      <c r="I733" s="37">
        <v>45532</v>
      </c>
      <c r="J733" s="33" t="s">
        <v>22</v>
      </c>
      <c r="K733" s="33" t="s">
        <v>23</v>
      </c>
      <c r="L733" s="38">
        <f t="shared" si="25"/>
        <v>0</v>
      </c>
      <c r="M733" s="38">
        <v>0</v>
      </c>
      <c r="N733" s="24">
        <f>_xlfn.XLOOKUP(Snitch_Fashion_Sales_cleaned!$J733,Table2[City],Table2[City_Key],"not found")</f>
        <v>3</v>
      </c>
      <c r="O733" s="23">
        <f>_xlfn.XLOOKUP(Snitch_Fashion_Sales_cleaned!$D733,Table4[Product_Name],Table4[Product_Key],"not found")</f>
        <v>23</v>
      </c>
      <c r="P733" s="32">
        <f>_xlfn.XLOOKUP(Snitch_Fashion_Sales_cleaned!$I733,Table3[Order_Date],Table3[Date_Key])</f>
        <v>349</v>
      </c>
    </row>
    <row r="734" spans="1:16" x14ac:dyDescent="0.3">
      <c r="A734" s="27">
        <v>1732</v>
      </c>
      <c r="B734" s="25" t="s">
        <v>779</v>
      </c>
      <c r="C734" s="25" t="s">
        <v>36</v>
      </c>
      <c r="D734" s="26" t="s">
        <v>59</v>
      </c>
      <c r="E734" s="27">
        <v>5</v>
      </c>
      <c r="F734" s="28">
        <v>4982.68</v>
      </c>
      <c r="G734" s="29">
        <v>0.51</v>
      </c>
      <c r="H734" s="28">
        <f t="shared" si="24"/>
        <v>24913.4</v>
      </c>
      <c r="I734" s="30">
        <v>45236</v>
      </c>
      <c r="J734" s="26" t="s">
        <v>22</v>
      </c>
      <c r="K734" s="26" t="s">
        <v>23</v>
      </c>
      <c r="L734" s="31">
        <f t="shared" si="25"/>
        <v>12207.566000000001</v>
      </c>
      <c r="M734" s="31">
        <v>2239.42</v>
      </c>
      <c r="N734" s="22">
        <f>_xlfn.XLOOKUP(Snitch_Fashion_Sales_cleaned!$J734,Table2[City],Table2[City_Key],"not found")</f>
        <v>3</v>
      </c>
      <c r="O734" s="21">
        <f>_xlfn.XLOOKUP(Snitch_Fashion_Sales_cleaned!$D734,Table4[Product_Name],Table4[Product_Key],"not found")</f>
        <v>13</v>
      </c>
      <c r="P734" s="25">
        <f>_xlfn.XLOOKUP(Snitch_Fashion_Sales_cleaned!$I734,Table3[Order_Date],Table3[Date_Key])</f>
        <v>350</v>
      </c>
    </row>
    <row r="735" spans="1:16" x14ac:dyDescent="0.3">
      <c r="A735" s="34">
        <v>1733</v>
      </c>
      <c r="B735" s="32" t="s">
        <v>780</v>
      </c>
      <c r="C735" s="32" t="s">
        <v>20</v>
      </c>
      <c r="D735" s="33" t="s">
        <v>76</v>
      </c>
      <c r="E735" s="34">
        <v>3</v>
      </c>
      <c r="F735" s="35">
        <v>721.25</v>
      </c>
      <c r="G735" s="36">
        <v>0.51</v>
      </c>
      <c r="H735" s="35">
        <f t="shared" si="24"/>
        <v>2163.75</v>
      </c>
      <c r="I735" s="37">
        <v>45686</v>
      </c>
      <c r="J735" s="33" t="s">
        <v>15</v>
      </c>
      <c r="K735" s="33" t="s">
        <v>23</v>
      </c>
      <c r="L735" s="38">
        <f t="shared" si="25"/>
        <v>1060.2375</v>
      </c>
      <c r="M735" s="38">
        <v>-936.38</v>
      </c>
      <c r="N735" s="24">
        <f>_xlfn.XLOOKUP(Snitch_Fashion_Sales_cleaned!$J735,Table2[City],Table2[City_Key],"not found")</f>
        <v>1</v>
      </c>
      <c r="O735" s="23">
        <f>_xlfn.XLOOKUP(Snitch_Fashion_Sales_cleaned!$D735,Table4[Product_Name],Table4[Product_Key],"not found")</f>
        <v>16</v>
      </c>
      <c r="P735" s="32">
        <f>_xlfn.XLOOKUP(Snitch_Fashion_Sales_cleaned!$I735,Table3[Order_Date],Table3[Date_Key])</f>
        <v>351</v>
      </c>
    </row>
    <row r="736" spans="1:16" x14ac:dyDescent="0.3">
      <c r="A736" s="27">
        <v>1734</v>
      </c>
      <c r="B736" s="25" t="s">
        <v>781</v>
      </c>
      <c r="C736" s="25" t="s">
        <v>20</v>
      </c>
      <c r="D736" s="26" t="s">
        <v>118</v>
      </c>
      <c r="E736" s="27">
        <v>3.5</v>
      </c>
      <c r="F736" s="28">
        <v>2752.99</v>
      </c>
      <c r="G736" s="29">
        <v>0.51</v>
      </c>
      <c r="H736" s="28">
        <f t="shared" si="24"/>
        <v>9635.4650000000001</v>
      </c>
      <c r="I736" s="30">
        <v>45687</v>
      </c>
      <c r="J736" s="26" t="s">
        <v>52</v>
      </c>
      <c r="K736" s="26" t="s">
        <v>23</v>
      </c>
      <c r="L736" s="31">
        <f t="shared" si="25"/>
        <v>4721.3778499999999</v>
      </c>
      <c r="M736" s="31">
        <v>-461.7</v>
      </c>
      <c r="N736" s="22">
        <f>_xlfn.XLOOKUP(Snitch_Fashion_Sales_cleaned!$J736,Table2[City],Table2[City_Key],"not found")</f>
        <v>5</v>
      </c>
      <c r="O736" s="21">
        <f>_xlfn.XLOOKUP(Snitch_Fashion_Sales_cleaned!$D736,Table4[Product_Name],Table4[Product_Key],"not found")</f>
        <v>23</v>
      </c>
      <c r="P736" s="25">
        <f>_xlfn.XLOOKUP(Snitch_Fashion_Sales_cleaned!$I736,Table3[Order_Date],Table3[Date_Key])</f>
        <v>340</v>
      </c>
    </row>
    <row r="737" spans="1:16" x14ac:dyDescent="0.3">
      <c r="A737" s="34">
        <v>1735</v>
      </c>
      <c r="B737" s="32" t="s">
        <v>782</v>
      </c>
      <c r="C737" s="32" t="s">
        <v>20</v>
      </c>
      <c r="D737" s="33" t="s">
        <v>21</v>
      </c>
      <c r="E737" s="34">
        <v>4</v>
      </c>
      <c r="F737" s="35">
        <v>2579.8000000000002</v>
      </c>
      <c r="G737" s="36">
        <v>0.51</v>
      </c>
      <c r="H737" s="35">
        <f t="shared" si="24"/>
        <v>10319.200000000001</v>
      </c>
      <c r="I737" s="37">
        <v>45654</v>
      </c>
      <c r="J737" s="33" t="s">
        <v>22</v>
      </c>
      <c r="K737" s="33" t="s">
        <v>23</v>
      </c>
      <c r="L737" s="38">
        <f t="shared" si="25"/>
        <v>5056.4080000000004</v>
      </c>
      <c r="M737" s="38">
        <v>2607.4299999999998</v>
      </c>
      <c r="N737" s="24">
        <f>_xlfn.XLOOKUP(Snitch_Fashion_Sales_cleaned!$J737,Table2[City],Table2[City_Key],"not found")</f>
        <v>3</v>
      </c>
      <c r="O737" s="23">
        <f>_xlfn.XLOOKUP(Snitch_Fashion_Sales_cleaned!$D737,Table4[Product_Name],Table4[Product_Key],"not found")</f>
        <v>2</v>
      </c>
      <c r="P737" s="32">
        <f>_xlfn.XLOOKUP(Snitch_Fashion_Sales_cleaned!$I737,Table3[Order_Date],Table3[Date_Key])</f>
        <v>333</v>
      </c>
    </row>
    <row r="738" spans="1:16" x14ac:dyDescent="0.3">
      <c r="A738" s="27">
        <v>1736</v>
      </c>
      <c r="B738" s="25" t="s">
        <v>783</v>
      </c>
      <c r="C738" s="25" t="s">
        <v>20</v>
      </c>
      <c r="D738" s="26" t="s">
        <v>21</v>
      </c>
      <c r="E738" s="27">
        <v>4</v>
      </c>
      <c r="F738" s="28">
        <v>1144.47</v>
      </c>
      <c r="G738" s="29">
        <v>0.09</v>
      </c>
      <c r="H738" s="28">
        <f t="shared" si="24"/>
        <v>4577.88</v>
      </c>
      <c r="I738" s="30">
        <v>45511</v>
      </c>
      <c r="J738" s="26" t="s">
        <v>2540</v>
      </c>
      <c r="K738" s="26" t="s">
        <v>23</v>
      </c>
      <c r="L738" s="31">
        <f t="shared" si="25"/>
        <v>4165.8708000000006</v>
      </c>
      <c r="M738" s="31">
        <v>1236.6199999999999</v>
      </c>
      <c r="N738" s="22">
        <f>_xlfn.XLOOKUP(Snitch_Fashion_Sales_cleaned!$J738,Table2[City],Table2[City_Key],"not found")</f>
        <v>4</v>
      </c>
      <c r="O738" s="21">
        <f>_xlfn.XLOOKUP(Snitch_Fashion_Sales_cleaned!$D738,Table4[Product_Name],Table4[Product_Key],"not found")</f>
        <v>2</v>
      </c>
      <c r="P738" s="25">
        <f>_xlfn.XLOOKUP(Snitch_Fashion_Sales_cleaned!$I738,Table3[Order_Date],Table3[Date_Key])</f>
        <v>83</v>
      </c>
    </row>
    <row r="739" spans="1:16" x14ac:dyDescent="0.3">
      <c r="A739" s="34">
        <v>1737</v>
      </c>
      <c r="B739" s="32" t="s">
        <v>784</v>
      </c>
      <c r="C739" s="32" t="s">
        <v>36</v>
      </c>
      <c r="D739" s="33" t="s">
        <v>37</v>
      </c>
      <c r="E739" s="34">
        <v>5</v>
      </c>
      <c r="F739" s="35">
        <v>2220.4699999999998</v>
      </c>
      <c r="G739" s="36">
        <v>0.51</v>
      </c>
      <c r="H739" s="35">
        <f t="shared" si="24"/>
        <v>11102.349999999999</v>
      </c>
      <c r="I739" s="37">
        <v>45647</v>
      </c>
      <c r="J739" s="33" t="s">
        <v>43</v>
      </c>
      <c r="K739" s="33" t="s">
        <v>16</v>
      </c>
      <c r="L739" s="38">
        <f t="shared" si="25"/>
        <v>5440.151499999999</v>
      </c>
      <c r="M739" s="38">
        <v>-156.87</v>
      </c>
      <c r="N739" s="24">
        <f>_xlfn.XLOOKUP(Snitch_Fashion_Sales_cleaned!$J739,Table2[City],Table2[City_Key],"not found")</f>
        <v>6</v>
      </c>
      <c r="O739" s="23">
        <f>_xlfn.XLOOKUP(Snitch_Fashion_Sales_cleaned!$D739,Table4[Product_Name],Table4[Product_Key],"not found")</f>
        <v>7</v>
      </c>
      <c r="P739" s="32">
        <f>_xlfn.XLOOKUP(Snitch_Fashion_Sales_cleaned!$I739,Table3[Order_Date],Table3[Date_Key])</f>
        <v>5</v>
      </c>
    </row>
    <row r="740" spans="1:16" x14ac:dyDescent="0.3">
      <c r="A740" s="27">
        <v>1738</v>
      </c>
      <c r="B740" s="25" t="s">
        <v>785</v>
      </c>
      <c r="C740" s="25" t="s">
        <v>31</v>
      </c>
      <c r="D740" s="26" t="s">
        <v>68</v>
      </c>
      <c r="E740" s="27">
        <v>4</v>
      </c>
      <c r="F740" s="28">
        <v>1171.19</v>
      </c>
      <c r="G740" s="29">
        <v>0.51</v>
      </c>
      <c r="H740" s="28">
        <f t="shared" si="24"/>
        <v>4684.76</v>
      </c>
      <c r="I740" s="30">
        <v>45698</v>
      </c>
      <c r="J740" s="26" t="s">
        <v>18</v>
      </c>
      <c r="K740" s="26" t="s">
        <v>16</v>
      </c>
      <c r="L740" s="31">
        <f t="shared" si="25"/>
        <v>2295.5324000000001</v>
      </c>
      <c r="M740" s="31">
        <v>2205.44</v>
      </c>
      <c r="N740" s="22">
        <f>_xlfn.XLOOKUP(Snitch_Fashion_Sales_cleaned!$J740,Table2[City],Table2[City_Key],"not found")</f>
        <v>2</v>
      </c>
      <c r="O740" s="21">
        <f>_xlfn.XLOOKUP(Snitch_Fashion_Sales_cleaned!$D740,Table4[Product_Name],Table4[Product_Key],"not found")</f>
        <v>15</v>
      </c>
      <c r="P740" s="25">
        <f>_xlfn.XLOOKUP(Snitch_Fashion_Sales_cleaned!$I740,Table3[Order_Date],Table3[Date_Key])</f>
        <v>32</v>
      </c>
    </row>
    <row r="741" spans="1:16" x14ac:dyDescent="0.3">
      <c r="A741" s="34">
        <v>1739</v>
      </c>
      <c r="B741" s="32" t="s">
        <v>786</v>
      </c>
      <c r="C741" s="32" t="s">
        <v>20</v>
      </c>
      <c r="D741" s="33" t="s">
        <v>84</v>
      </c>
      <c r="E741" s="34">
        <v>3</v>
      </c>
      <c r="F741" s="35">
        <v>963.18</v>
      </c>
      <c r="G741" s="36">
        <v>0.51</v>
      </c>
      <c r="H741" s="35">
        <f t="shared" si="24"/>
        <v>2889.54</v>
      </c>
      <c r="I741" s="37">
        <v>45658</v>
      </c>
      <c r="J741" s="33" t="s">
        <v>22</v>
      </c>
      <c r="K741" s="33" t="s">
        <v>23</v>
      </c>
      <c r="L741" s="38">
        <f t="shared" si="25"/>
        <v>1415.8745999999999</v>
      </c>
      <c r="M741" s="38">
        <v>-114.6</v>
      </c>
      <c r="N741" s="24">
        <f>_xlfn.XLOOKUP(Snitch_Fashion_Sales_cleaned!$J741,Table2[City],Table2[City_Key],"not found")</f>
        <v>3</v>
      </c>
      <c r="O741" s="23">
        <f>_xlfn.XLOOKUP(Snitch_Fashion_Sales_cleaned!$D741,Table4[Product_Name],Table4[Product_Key],"not found")</f>
        <v>19</v>
      </c>
      <c r="P741" s="32">
        <f>_xlfn.XLOOKUP(Snitch_Fashion_Sales_cleaned!$I741,Table3[Order_Date],Table3[Date_Key])</f>
        <v>352</v>
      </c>
    </row>
    <row r="742" spans="1:16" x14ac:dyDescent="0.3">
      <c r="A742" s="27">
        <v>1740</v>
      </c>
      <c r="B742" s="25" t="s">
        <v>787</v>
      </c>
      <c r="C742" s="25" t="s">
        <v>13</v>
      </c>
      <c r="D742" s="26" t="s">
        <v>14</v>
      </c>
      <c r="E742" s="27">
        <v>2</v>
      </c>
      <c r="F742" s="28">
        <v>2366.6149999999998</v>
      </c>
      <c r="G742" s="29">
        <v>0.51</v>
      </c>
      <c r="H742" s="28">
        <f t="shared" si="24"/>
        <v>4733.2299999999996</v>
      </c>
      <c r="I742" s="30">
        <v>45832</v>
      </c>
      <c r="J742" s="26" t="s">
        <v>18</v>
      </c>
      <c r="K742" s="26" t="s">
        <v>23</v>
      </c>
      <c r="L742" s="31">
        <f t="shared" si="25"/>
        <v>2319.2826999999997</v>
      </c>
      <c r="M742" s="31">
        <v>796.49</v>
      </c>
      <c r="N742" s="22">
        <f>_xlfn.XLOOKUP(Snitch_Fashion_Sales_cleaned!$J742,Table2[City],Table2[City_Key],"not found")</f>
        <v>2</v>
      </c>
      <c r="O742" s="21">
        <f>_xlfn.XLOOKUP(Snitch_Fashion_Sales_cleaned!$D742,Table4[Product_Name],Table4[Product_Key],"not found")</f>
        <v>1</v>
      </c>
      <c r="P742" s="25">
        <f>_xlfn.XLOOKUP(Snitch_Fashion_Sales_cleaned!$I742,Table3[Order_Date],Table3[Date_Key])</f>
        <v>141</v>
      </c>
    </row>
    <row r="743" spans="1:16" x14ac:dyDescent="0.3">
      <c r="A743" s="34">
        <v>1741</v>
      </c>
      <c r="B743" s="32" t="s">
        <v>788</v>
      </c>
      <c r="C743" s="32" t="s">
        <v>31</v>
      </c>
      <c r="D743" s="33" t="s">
        <v>78</v>
      </c>
      <c r="E743" s="34">
        <v>1</v>
      </c>
      <c r="F743" s="35">
        <v>1762.56</v>
      </c>
      <c r="G743" s="36">
        <v>0.98</v>
      </c>
      <c r="H743" s="35">
        <f t="shared" si="24"/>
        <v>1762.56</v>
      </c>
      <c r="I743" s="37">
        <v>45304</v>
      </c>
      <c r="J743" s="33" t="s">
        <v>18</v>
      </c>
      <c r="K743" s="33" t="s">
        <v>23</v>
      </c>
      <c r="L743" s="38">
        <f t="shared" si="25"/>
        <v>35.251200000000033</v>
      </c>
      <c r="M743" s="38">
        <v>8.8128000000000082</v>
      </c>
      <c r="N743" s="24">
        <f>_xlfn.XLOOKUP(Snitch_Fashion_Sales_cleaned!$J743,Table2[City],Table2[City_Key],"not found")</f>
        <v>2</v>
      </c>
      <c r="O743" s="23">
        <f>_xlfn.XLOOKUP(Snitch_Fashion_Sales_cleaned!$D743,Table4[Product_Name],Table4[Product_Key],"not found")</f>
        <v>17</v>
      </c>
      <c r="P743" s="32">
        <f>_xlfn.XLOOKUP(Snitch_Fashion_Sales_cleaned!$I743,Table3[Order_Date],Table3[Date_Key])</f>
        <v>353</v>
      </c>
    </row>
    <row r="744" spans="1:16" x14ac:dyDescent="0.3">
      <c r="A744" s="27">
        <v>1742</v>
      </c>
      <c r="B744" s="25" t="s">
        <v>789</v>
      </c>
      <c r="C744" s="25" t="s">
        <v>13</v>
      </c>
      <c r="D744" s="26" t="s">
        <v>98</v>
      </c>
      <c r="E744" s="27">
        <v>5</v>
      </c>
      <c r="F744" s="28">
        <v>2750.33</v>
      </c>
      <c r="G744" s="29">
        <v>0.03</v>
      </c>
      <c r="H744" s="28">
        <f t="shared" si="24"/>
        <v>13751.65</v>
      </c>
      <c r="I744" s="30">
        <v>45647</v>
      </c>
      <c r="J744" s="26" t="s">
        <v>2540</v>
      </c>
      <c r="K744" s="26" t="s">
        <v>16</v>
      </c>
      <c r="L744" s="31">
        <f t="shared" si="25"/>
        <v>13339.100499999999</v>
      </c>
      <c r="M744" s="31">
        <v>-222.56</v>
      </c>
      <c r="N744" s="22">
        <f>_xlfn.XLOOKUP(Snitch_Fashion_Sales_cleaned!$J744,Table2[City],Table2[City_Key],"not found")</f>
        <v>4</v>
      </c>
      <c r="O744" s="21">
        <f>_xlfn.XLOOKUP(Snitch_Fashion_Sales_cleaned!$D744,Table4[Product_Name],Table4[Product_Key],"not found")</f>
        <v>21</v>
      </c>
      <c r="P744" s="25">
        <f>_xlfn.XLOOKUP(Snitch_Fashion_Sales_cleaned!$I744,Table3[Order_Date],Table3[Date_Key])</f>
        <v>5</v>
      </c>
    </row>
    <row r="745" spans="1:16" x14ac:dyDescent="0.3">
      <c r="A745" s="34">
        <v>1743</v>
      </c>
      <c r="B745" s="32" t="s">
        <v>790</v>
      </c>
      <c r="C745" s="32" t="s">
        <v>31</v>
      </c>
      <c r="D745" s="33" t="s">
        <v>32</v>
      </c>
      <c r="E745" s="34">
        <v>4</v>
      </c>
      <c r="F745" s="35">
        <v>2001.5500000000002</v>
      </c>
      <c r="G745" s="36">
        <v>0.51</v>
      </c>
      <c r="H745" s="35">
        <f t="shared" si="24"/>
        <v>8006.2000000000007</v>
      </c>
      <c r="I745" s="37">
        <v>45782</v>
      </c>
      <c r="J745" s="33" t="s">
        <v>43</v>
      </c>
      <c r="K745" s="33" t="s">
        <v>16</v>
      </c>
      <c r="L745" s="38">
        <f t="shared" si="25"/>
        <v>3923.0380000000005</v>
      </c>
      <c r="M745" s="38">
        <v>1490.6</v>
      </c>
      <c r="N745" s="24">
        <f>_xlfn.XLOOKUP(Snitch_Fashion_Sales_cleaned!$J745,Table2[City],Table2[City_Key],"not found")</f>
        <v>6</v>
      </c>
      <c r="O745" s="23">
        <f>_xlfn.XLOOKUP(Snitch_Fashion_Sales_cleaned!$D745,Table4[Product_Name],Table4[Product_Key],"not found")</f>
        <v>5</v>
      </c>
      <c r="P745" s="32">
        <f>_xlfn.XLOOKUP(Snitch_Fashion_Sales_cleaned!$I745,Table3[Order_Date],Table3[Date_Key])</f>
        <v>80</v>
      </c>
    </row>
    <row r="746" spans="1:16" x14ac:dyDescent="0.3">
      <c r="A746" s="27">
        <v>1744</v>
      </c>
      <c r="B746" s="25" t="s">
        <v>791</v>
      </c>
      <c r="C746" s="25" t="s">
        <v>25</v>
      </c>
      <c r="D746" s="26" t="s">
        <v>82</v>
      </c>
      <c r="E746" s="27">
        <v>3</v>
      </c>
      <c r="F746" s="28">
        <v>2385.5749999999998</v>
      </c>
      <c r="G746" s="29">
        <v>0.51</v>
      </c>
      <c r="H746" s="28">
        <f t="shared" si="24"/>
        <v>7156.7249999999995</v>
      </c>
      <c r="I746" s="30">
        <v>45389</v>
      </c>
      <c r="J746" s="26" t="s">
        <v>22</v>
      </c>
      <c r="K746" s="26" t="s">
        <v>16</v>
      </c>
      <c r="L746" s="31">
        <f t="shared" si="25"/>
        <v>3506.7952499999997</v>
      </c>
      <c r="M746" s="31">
        <v>1939.6</v>
      </c>
      <c r="N746" s="22">
        <f>_xlfn.XLOOKUP(Snitch_Fashion_Sales_cleaned!$J746,Table2[City],Table2[City_Key],"not found")</f>
        <v>3</v>
      </c>
      <c r="O746" s="21">
        <f>_xlfn.XLOOKUP(Snitch_Fashion_Sales_cleaned!$D746,Table4[Product_Name],Table4[Product_Key],"not found")</f>
        <v>18</v>
      </c>
      <c r="P746" s="25">
        <f>_xlfn.XLOOKUP(Snitch_Fashion_Sales_cleaned!$I746,Table3[Order_Date],Table3[Date_Key])</f>
        <v>354</v>
      </c>
    </row>
    <row r="747" spans="1:16" x14ac:dyDescent="0.3">
      <c r="A747" s="34">
        <v>1745</v>
      </c>
      <c r="B747" s="32" t="s">
        <v>792</v>
      </c>
      <c r="C747" s="32" t="s">
        <v>31</v>
      </c>
      <c r="D747" s="33" t="s">
        <v>78</v>
      </c>
      <c r="E747" s="34">
        <v>4</v>
      </c>
      <c r="F747" s="35">
        <v>2599.75</v>
      </c>
      <c r="G747" s="36">
        <v>0.43</v>
      </c>
      <c r="H747" s="35">
        <f t="shared" si="24"/>
        <v>10399</v>
      </c>
      <c r="I747" s="37">
        <v>45490</v>
      </c>
      <c r="J747" s="33" t="s">
        <v>2540</v>
      </c>
      <c r="K747" s="33" t="s">
        <v>23</v>
      </c>
      <c r="L747" s="38">
        <f t="shared" si="25"/>
        <v>5927.43</v>
      </c>
      <c r="M747" s="38">
        <v>723.22</v>
      </c>
      <c r="N747" s="24">
        <f>_xlfn.XLOOKUP(Snitch_Fashion_Sales_cleaned!$J747,Table2[City],Table2[City_Key],"not found")</f>
        <v>4</v>
      </c>
      <c r="O747" s="23">
        <f>_xlfn.XLOOKUP(Snitch_Fashion_Sales_cleaned!$D747,Table4[Product_Name],Table4[Product_Key],"not found")</f>
        <v>17</v>
      </c>
      <c r="P747" s="32">
        <f>_xlfn.XLOOKUP(Snitch_Fashion_Sales_cleaned!$I747,Table3[Order_Date],Table3[Date_Key])</f>
        <v>355</v>
      </c>
    </row>
    <row r="748" spans="1:16" x14ac:dyDescent="0.3">
      <c r="A748" s="27">
        <v>1746</v>
      </c>
      <c r="B748" s="25" t="s">
        <v>793</v>
      </c>
      <c r="C748" s="25" t="s">
        <v>13</v>
      </c>
      <c r="D748" s="26" t="s">
        <v>14</v>
      </c>
      <c r="E748" s="27">
        <v>4</v>
      </c>
      <c r="F748" s="28">
        <v>2366.6149999999998</v>
      </c>
      <c r="G748" s="29">
        <v>0.37</v>
      </c>
      <c r="H748" s="28">
        <f t="shared" si="24"/>
        <v>9466.4599999999991</v>
      </c>
      <c r="I748" s="30">
        <v>45176</v>
      </c>
      <c r="J748" s="26" t="s">
        <v>2540</v>
      </c>
      <c r="K748" s="26" t="s">
        <v>23</v>
      </c>
      <c r="L748" s="31">
        <f t="shared" si="25"/>
        <v>5963.8697999999995</v>
      </c>
      <c r="M748" s="31">
        <v>2037.45</v>
      </c>
      <c r="N748" s="22">
        <f>_xlfn.XLOOKUP(Snitch_Fashion_Sales_cleaned!$J748,Table2[City],Table2[City_Key],"not found")</f>
        <v>4</v>
      </c>
      <c r="O748" s="21">
        <f>_xlfn.XLOOKUP(Snitch_Fashion_Sales_cleaned!$D748,Table4[Product_Name],Table4[Product_Key],"not found")</f>
        <v>1</v>
      </c>
      <c r="P748" s="25">
        <f>_xlfn.XLOOKUP(Snitch_Fashion_Sales_cleaned!$I748,Table3[Order_Date],Table3[Date_Key])</f>
        <v>259</v>
      </c>
    </row>
    <row r="749" spans="1:16" x14ac:dyDescent="0.3">
      <c r="A749" s="34">
        <v>1747</v>
      </c>
      <c r="B749" s="32" t="s">
        <v>794</v>
      </c>
      <c r="C749" s="32" t="s">
        <v>31</v>
      </c>
      <c r="D749" s="33" t="s">
        <v>41</v>
      </c>
      <c r="E749" s="34">
        <v>3</v>
      </c>
      <c r="F749" s="35">
        <v>405.37</v>
      </c>
      <c r="G749" s="36">
        <v>0.51</v>
      </c>
      <c r="H749" s="35">
        <f t="shared" si="24"/>
        <v>1216.1100000000001</v>
      </c>
      <c r="I749" s="37">
        <v>45647</v>
      </c>
      <c r="J749" s="33" t="s">
        <v>43</v>
      </c>
      <c r="K749" s="33" t="s">
        <v>16</v>
      </c>
      <c r="L749" s="38">
        <f t="shared" si="25"/>
        <v>595.89390000000003</v>
      </c>
      <c r="M749" s="38">
        <v>375.4</v>
      </c>
      <c r="N749" s="24">
        <f>_xlfn.XLOOKUP(Snitch_Fashion_Sales_cleaned!$J749,Table2[City],Table2[City_Key],"not found")</f>
        <v>6</v>
      </c>
      <c r="O749" s="23">
        <f>_xlfn.XLOOKUP(Snitch_Fashion_Sales_cleaned!$D749,Table4[Product_Name],Table4[Product_Key],"not found")</f>
        <v>9</v>
      </c>
      <c r="P749" s="32">
        <f>_xlfn.XLOOKUP(Snitch_Fashion_Sales_cleaned!$I749,Table3[Order_Date],Table3[Date_Key])</f>
        <v>5</v>
      </c>
    </row>
    <row r="750" spans="1:16" x14ac:dyDescent="0.3">
      <c r="A750" s="27">
        <v>1748</v>
      </c>
      <c r="B750" s="25" t="s">
        <v>795</v>
      </c>
      <c r="C750" s="25" t="s">
        <v>36</v>
      </c>
      <c r="D750" s="26" t="s">
        <v>59</v>
      </c>
      <c r="E750" s="27">
        <v>3</v>
      </c>
      <c r="F750" s="28">
        <v>2765.26</v>
      </c>
      <c r="G750" s="29">
        <v>0.51</v>
      </c>
      <c r="H750" s="28">
        <f t="shared" si="24"/>
        <v>8295.7800000000007</v>
      </c>
      <c r="I750" s="30">
        <v>45547</v>
      </c>
      <c r="J750" s="26" t="s">
        <v>18</v>
      </c>
      <c r="K750" s="26" t="s">
        <v>23</v>
      </c>
      <c r="L750" s="31">
        <f t="shared" si="25"/>
        <v>4064.9322000000002</v>
      </c>
      <c r="M750" s="31">
        <v>1687.82</v>
      </c>
      <c r="N750" s="22">
        <f>_xlfn.XLOOKUP(Snitch_Fashion_Sales_cleaned!$J750,Table2[City],Table2[City_Key],"not found")</f>
        <v>2</v>
      </c>
      <c r="O750" s="21">
        <f>_xlfn.XLOOKUP(Snitch_Fashion_Sales_cleaned!$D750,Table4[Product_Name],Table4[Product_Key],"not found")</f>
        <v>13</v>
      </c>
      <c r="P750" s="25">
        <f>_xlfn.XLOOKUP(Snitch_Fashion_Sales_cleaned!$I750,Table3[Order_Date],Table3[Date_Key])</f>
        <v>31</v>
      </c>
    </row>
    <row r="751" spans="1:16" x14ac:dyDescent="0.3">
      <c r="A751" s="34">
        <v>1749</v>
      </c>
      <c r="B751" s="32" t="s">
        <v>228</v>
      </c>
      <c r="C751" s="32" t="s">
        <v>25</v>
      </c>
      <c r="D751" s="33" t="s">
        <v>26</v>
      </c>
      <c r="E751" s="34">
        <v>4</v>
      </c>
      <c r="F751" s="35">
        <v>4499.3900000000003</v>
      </c>
      <c r="G751" s="36">
        <v>0.51</v>
      </c>
      <c r="H751" s="35">
        <f t="shared" si="24"/>
        <v>17997.560000000001</v>
      </c>
      <c r="I751" s="37">
        <v>45743</v>
      </c>
      <c r="J751" s="33" t="s">
        <v>15</v>
      </c>
      <c r="K751" s="33" t="s">
        <v>16</v>
      </c>
      <c r="L751" s="38">
        <f t="shared" si="25"/>
        <v>8818.8044000000009</v>
      </c>
      <c r="M751" s="38">
        <v>17.489999999999998</v>
      </c>
      <c r="N751" s="24">
        <f>_xlfn.XLOOKUP(Snitch_Fashion_Sales_cleaned!$J751,Table2[City],Table2[City_Key],"not found")</f>
        <v>1</v>
      </c>
      <c r="O751" s="23">
        <f>_xlfn.XLOOKUP(Snitch_Fashion_Sales_cleaned!$D751,Table4[Product_Name],Table4[Product_Key],"not found")</f>
        <v>3</v>
      </c>
      <c r="P751" s="32">
        <f>_xlfn.XLOOKUP(Snitch_Fashion_Sales_cleaned!$I751,Table3[Order_Date],Table3[Date_Key])</f>
        <v>138</v>
      </c>
    </row>
    <row r="752" spans="1:16" x14ac:dyDescent="0.3">
      <c r="A752" s="27">
        <v>1750</v>
      </c>
      <c r="B752" s="25" t="s">
        <v>796</v>
      </c>
      <c r="C752" s="25" t="s">
        <v>36</v>
      </c>
      <c r="D752" s="26" t="s">
        <v>55</v>
      </c>
      <c r="E752" s="27">
        <v>3</v>
      </c>
      <c r="F752" s="28">
        <v>2653.9</v>
      </c>
      <c r="G752" s="29">
        <v>0.56000000000000005</v>
      </c>
      <c r="H752" s="28">
        <f t="shared" si="24"/>
        <v>7961.7000000000007</v>
      </c>
      <c r="I752" s="30">
        <v>45853</v>
      </c>
      <c r="J752" s="26" t="s">
        <v>2540</v>
      </c>
      <c r="K752" s="26" t="s">
        <v>23</v>
      </c>
      <c r="L752" s="31">
        <f t="shared" si="25"/>
        <v>3503.1479999999997</v>
      </c>
      <c r="M752" s="31">
        <v>2394.02</v>
      </c>
      <c r="N752" s="22">
        <f>_xlfn.XLOOKUP(Snitch_Fashion_Sales_cleaned!$J752,Table2[City],Table2[City_Key],"not found")</f>
        <v>4</v>
      </c>
      <c r="O752" s="21">
        <f>_xlfn.XLOOKUP(Snitch_Fashion_Sales_cleaned!$D752,Table4[Product_Name],Table4[Product_Key],"not found")</f>
        <v>12</v>
      </c>
      <c r="P752" s="25">
        <f>_xlfn.XLOOKUP(Snitch_Fashion_Sales_cleaned!$I752,Table3[Order_Date],Table3[Date_Key])</f>
        <v>2</v>
      </c>
    </row>
    <row r="753" spans="1:16" x14ac:dyDescent="0.3">
      <c r="A753" s="34">
        <v>1751</v>
      </c>
      <c r="B753" s="32" t="s">
        <v>797</v>
      </c>
      <c r="C753" s="32" t="s">
        <v>20</v>
      </c>
      <c r="D753" s="33" t="s">
        <v>21</v>
      </c>
      <c r="E753" s="34">
        <v>4</v>
      </c>
      <c r="F753" s="35">
        <v>2579.8000000000002</v>
      </c>
      <c r="G753" s="36">
        <v>0.51</v>
      </c>
      <c r="H753" s="35">
        <f t="shared" si="24"/>
        <v>10319.200000000001</v>
      </c>
      <c r="I753" s="37">
        <v>45647</v>
      </c>
      <c r="J753" s="33" t="s">
        <v>43</v>
      </c>
      <c r="K753" s="33" t="s">
        <v>23</v>
      </c>
      <c r="L753" s="38">
        <f t="shared" si="25"/>
        <v>5056.4080000000004</v>
      </c>
      <c r="M753" s="38">
        <v>59.73</v>
      </c>
      <c r="N753" s="24">
        <f>_xlfn.XLOOKUP(Snitch_Fashion_Sales_cleaned!$J753,Table2[City],Table2[City_Key],"not found")</f>
        <v>6</v>
      </c>
      <c r="O753" s="23">
        <f>_xlfn.XLOOKUP(Snitch_Fashion_Sales_cleaned!$D753,Table4[Product_Name],Table4[Product_Key],"not found")</f>
        <v>2</v>
      </c>
      <c r="P753" s="32">
        <f>_xlfn.XLOOKUP(Snitch_Fashion_Sales_cleaned!$I753,Table3[Order_Date],Table3[Date_Key])</f>
        <v>5</v>
      </c>
    </row>
    <row r="754" spans="1:16" x14ac:dyDescent="0.3">
      <c r="A754" s="27">
        <v>1752</v>
      </c>
      <c r="B754" s="25" t="s">
        <v>798</v>
      </c>
      <c r="C754" s="25" t="s">
        <v>13</v>
      </c>
      <c r="D754" s="26" t="s">
        <v>14</v>
      </c>
      <c r="E754" s="27">
        <v>5</v>
      </c>
      <c r="F754" s="28">
        <v>2177.1999999999998</v>
      </c>
      <c r="G754" s="29">
        <v>0.51</v>
      </c>
      <c r="H754" s="28">
        <f t="shared" si="24"/>
        <v>10886</v>
      </c>
      <c r="I754" s="30">
        <v>45647</v>
      </c>
      <c r="J754" s="26" t="s">
        <v>43</v>
      </c>
      <c r="K754" s="26" t="s">
        <v>23</v>
      </c>
      <c r="L754" s="31">
        <f t="shared" si="25"/>
        <v>5334.14</v>
      </c>
      <c r="M754" s="31">
        <v>-341.7</v>
      </c>
      <c r="N754" s="22">
        <f>_xlfn.XLOOKUP(Snitch_Fashion_Sales_cleaned!$J754,Table2[City],Table2[City_Key],"not found")</f>
        <v>6</v>
      </c>
      <c r="O754" s="21">
        <f>_xlfn.XLOOKUP(Snitch_Fashion_Sales_cleaned!$D754,Table4[Product_Name],Table4[Product_Key],"not found")</f>
        <v>1</v>
      </c>
      <c r="P754" s="25">
        <f>_xlfn.XLOOKUP(Snitch_Fashion_Sales_cleaned!$I754,Table3[Order_Date],Table3[Date_Key])</f>
        <v>5</v>
      </c>
    </row>
    <row r="755" spans="1:16" x14ac:dyDescent="0.3">
      <c r="A755" s="34">
        <v>1753</v>
      </c>
      <c r="B755" s="32" t="s">
        <v>799</v>
      </c>
      <c r="C755" s="32" t="s">
        <v>20</v>
      </c>
      <c r="D755" s="33" t="s">
        <v>21</v>
      </c>
      <c r="E755" s="34">
        <v>4</v>
      </c>
      <c r="F755" s="35">
        <v>2579.8000000000002</v>
      </c>
      <c r="G755" s="36">
        <v>0.51</v>
      </c>
      <c r="H755" s="35">
        <f t="shared" si="24"/>
        <v>10319.200000000001</v>
      </c>
      <c r="I755" s="37">
        <v>45137</v>
      </c>
      <c r="J755" s="33" t="s">
        <v>18</v>
      </c>
      <c r="K755" s="33" t="s">
        <v>23</v>
      </c>
      <c r="L755" s="38">
        <f t="shared" si="25"/>
        <v>5056.4080000000004</v>
      </c>
      <c r="M755" s="38">
        <v>1848.5</v>
      </c>
      <c r="N755" s="24">
        <f>_xlfn.XLOOKUP(Snitch_Fashion_Sales_cleaned!$J755,Table2[City],Table2[City_Key],"not found")</f>
        <v>2</v>
      </c>
      <c r="O755" s="23">
        <f>_xlfn.XLOOKUP(Snitch_Fashion_Sales_cleaned!$D755,Table4[Product_Name],Table4[Product_Key],"not found")</f>
        <v>2</v>
      </c>
      <c r="P755" s="32">
        <f>_xlfn.XLOOKUP(Snitch_Fashion_Sales_cleaned!$I755,Table3[Order_Date],Table3[Date_Key])</f>
        <v>356</v>
      </c>
    </row>
    <row r="756" spans="1:16" x14ac:dyDescent="0.3">
      <c r="A756" s="27">
        <v>1754</v>
      </c>
      <c r="B756" s="25" t="s">
        <v>475</v>
      </c>
      <c r="C756" s="25" t="s">
        <v>28</v>
      </c>
      <c r="D756" s="26" t="s">
        <v>137</v>
      </c>
      <c r="E756" s="27">
        <v>3.5</v>
      </c>
      <c r="F756" s="28">
        <v>2338.04</v>
      </c>
      <c r="G756" s="29">
        <v>0.56999999999999995</v>
      </c>
      <c r="H756" s="28">
        <f t="shared" si="24"/>
        <v>8183.1399999999994</v>
      </c>
      <c r="I756" s="30">
        <v>45727</v>
      </c>
      <c r="J756" s="26" t="s">
        <v>15</v>
      </c>
      <c r="K756" s="26" t="s">
        <v>23</v>
      </c>
      <c r="L756" s="31">
        <f t="shared" si="25"/>
        <v>3518.7501999999999</v>
      </c>
      <c r="M756" s="31">
        <v>1945.55</v>
      </c>
      <c r="N756" s="22">
        <f>_xlfn.XLOOKUP(Snitch_Fashion_Sales_cleaned!$J756,Table2[City],Table2[City_Key],"not found")</f>
        <v>1</v>
      </c>
      <c r="O756" s="21">
        <f>_xlfn.XLOOKUP(Snitch_Fashion_Sales_cleaned!$D756,Table4[Product_Name],Table4[Product_Key],"not found")</f>
        <v>24</v>
      </c>
      <c r="P756" s="25">
        <f>_xlfn.XLOOKUP(Snitch_Fashion_Sales_cleaned!$I756,Table3[Order_Date],Table3[Date_Key])</f>
        <v>357</v>
      </c>
    </row>
    <row r="757" spans="1:16" x14ac:dyDescent="0.3">
      <c r="A757" s="34">
        <v>1755</v>
      </c>
      <c r="B757" s="32" t="s">
        <v>800</v>
      </c>
      <c r="C757" s="32" t="s">
        <v>25</v>
      </c>
      <c r="D757" s="33" t="s">
        <v>50</v>
      </c>
      <c r="E757" s="34">
        <v>4</v>
      </c>
      <c r="F757" s="35">
        <v>2666.2200000000003</v>
      </c>
      <c r="G757" s="36">
        <v>0.76</v>
      </c>
      <c r="H757" s="35">
        <f t="shared" si="24"/>
        <v>10664.880000000001</v>
      </c>
      <c r="I757" s="37">
        <v>45647</v>
      </c>
      <c r="J757" s="33" t="s">
        <v>52</v>
      </c>
      <c r="K757" s="33" t="s">
        <v>23</v>
      </c>
      <c r="L757" s="38">
        <f t="shared" si="25"/>
        <v>2559.5712000000003</v>
      </c>
      <c r="M757" s="38">
        <v>-255.22</v>
      </c>
      <c r="N757" s="24">
        <f>_xlfn.XLOOKUP(Snitch_Fashion_Sales_cleaned!$J757,Table2[City],Table2[City_Key],"not found")</f>
        <v>5</v>
      </c>
      <c r="O757" s="23">
        <f>_xlfn.XLOOKUP(Snitch_Fashion_Sales_cleaned!$D757,Table4[Product_Name],Table4[Product_Key],"not found")</f>
        <v>11</v>
      </c>
      <c r="P757" s="32">
        <f>_xlfn.XLOOKUP(Snitch_Fashion_Sales_cleaned!$I757,Table3[Order_Date],Table3[Date_Key])</f>
        <v>5</v>
      </c>
    </row>
    <row r="758" spans="1:16" x14ac:dyDescent="0.3">
      <c r="A758" s="27">
        <v>1756</v>
      </c>
      <c r="B758" s="25" t="s">
        <v>801</v>
      </c>
      <c r="C758" s="25" t="s">
        <v>25</v>
      </c>
      <c r="D758" s="26" t="s">
        <v>26</v>
      </c>
      <c r="E758" s="27">
        <v>5</v>
      </c>
      <c r="F758" s="28">
        <v>2933.45</v>
      </c>
      <c r="G758" s="29">
        <v>0.51</v>
      </c>
      <c r="H758" s="28">
        <f t="shared" si="24"/>
        <v>14667.25</v>
      </c>
      <c r="I758" s="30">
        <v>45672</v>
      </c>
      <c r="J758" s="26" t="s">
        <v>22</v>
      </c>
      <c r="K758" s="26" t="s">
        <v>16</v>
      </c>
      <c r="L758" s="31">
        <f t="shared" si="25"/>
        <v>7186.9524999999994</v>
      </c>
      <c r="M758" s="31">
        <v>1627.12</v>
      </c>
      <c r="N758" s="22">
        <f>_xlfn.XLOOKUP(Snitch_Fashion_Sales_cleaned!$J758,Table2[City],Table2[City_Key],"not found")</f>
        <v>3</v>
      </c>
      <c r="O758" s="21">
        <f>_xlfn.XLOOKUP(Snitch_Fashion_Sales_cleaned!$D758,Table4[Product_Name],Table4[Product_Key],"not found")</f>
        <v>3</v>
      </c>
      <c r="P758" s="25">
        <f>_xlfn.XLOOKUP(Snitch_Fashion_Sales_cleaned!$I758,Table3[Order_Date],Table3[Date_Key])</f>
        <v>48</v>
      </c>
    </row>
    <row r="759" spans="1:16" x14ac:dyDescent="0.3">
      <c r="A759" s="34">
        <v>1757</v>
      </c>
      <c r="B759" s="32" t="s">
        <v>802</v>
      </c>
      <c r="C759" s="32" t="s">
        <v>13</v>
      </c>
      <c r="D759" s="33" t="s">
        <v>14</v>
      </c>
      <c r="E759" s="34">
        <v>2</v>
      </c>
      <c r="F759" s="35">
        <v>3405.13</v>
      </c>
      <c r="G759" s="36">
        <v>0.91</v>
      </c>
      <c r="H759" s="35">
        <f t="shared" si="24"/>
        <v>6810.26</v>
      </c>
      <c r="I759" s="37">
        <v>45647</v>
      </c>
      <c r="J759" s="33" t="s">
        <v>2540</v>
      </c>
      <c r="K759" s="33" t="s">
        <v>23</v>
      </c>
      <c r="L759" s="38">
        <f t="shared" si="25"/>
        <v>612.92339999999979</v>
      </c>
      <c r="M759" s="38">
        <v>153.23084999999995</v>
      </c>
      <c r="N759" s="24">
        <f>_xlfn.XLOOKUP(Snitch_Fashion_Sales_cleaned!$J759,Table2[City],Table2[City_Key],"not found")</f>
        <v>4</v>
      </c>
      <c r="O759" s="23">
        <f>_xlfn.XLOOKUP(Snitch_Fashion_Sales_cleaned!$D759,Table4[Product_Name],Table4[Product_Key],"not found")</f>
        <v>1</v>
      </c>
      <c r="P759" s="32">
        <f>_xlfn.XLOOKUP(Snitch_Fashion_Sales_cleaned!$I759,Table3[Order_Date],Table3[Date_Key])</f>
        <v>5</v>
      </c>
    </row>
    <row r="760" spans="1:16" x14ac:dyDescent="0.3">
      <c r="A760" s="27">
        <v>1758</v>
      </c>
      <c r="B760" s="25" t="s">
        <v>803</v>
      </c>
      <c r="C760" s="25" t="s">
        <v>25</v>
      </c>
      <c r="D760" s="26" t="s">
        <v>50</v>
      </c>
      <c r="E760" s="27">
        <v>4</v>
      </c>
      <c r="F760" s="28">
        <v>1307.6400000000001</v>
      </c>
      <c r="G760" s="29">
        <v>0.18</v>
      </c>
      <c r="H760" s="28">
        <f t="shared" si="24"/>
        <v>5230.5600000000004</v>
      </c>
      <c r="I760" s="30">
        <v>45722</v>
      </c>
      <c r="J760" s="26" t="s">
        <v>22</v>
      </c>
      <c r="K760" s="26" t="s">
        <v>23</v>
      </c>
      <c r="L760" s="31">
        <f t="shared" si="25"/>
        <v>4289.0592000000006</v>
      </c>
      <c r="M760" s="31">
        <v>-122.33</v>
      </c>
      <c r="N760" s="22">
        <f>_xlfn.XLOOKUP(Snitch_Fashion_Sales_cleaned!$J760,Table2[City],Table2[City_Key],"not found")</f>
        <v>3</v>
      </c>
      <c r="O760" s="21">
        <f>_xlfn.XLOOKUP(Snitch_Fashion_Sales_cleaned!$D760,Table4[Product_Name],Table4[Product_Key],"not found")</f>
        <v>11</v>
      </c>
      <c r="P760" s="25">
        <f>_xlfn.XLOOKUP(Snitch_Fashion_Sales_cleaned!$I760,Table3[Order_Date],Table3[Date_Key])</f>
        <v>358</v>
      </c>
    </row>
    <row r="761" spans="1:16" x14ac:dyDescent="0.3">
      <c r="A761" s="34">
        <v>1759</v>
      </c>
      <c r="B761" s="32" t="s">
        <v>804</v>
      </c>
      <c r="C761" s="32" t="s">
        <v>31</v>
      </c>
      <c r="D761" s="33" t="s">
        <v>32</v>
      </c>
      <c r="E761" s="34">
        <v>4</v>
      </c>
      <c r="F761" s="35">
        <v>2001.5500000000002</v>
      </c>
      <c r="G761" s="36">
        <v>0.51</v>
      </c>
      <c r="H761" s="35">
        <f t="shared" si="24"/>
        <v>8006.2000000000007</v>
      </c>
      <c r="I761" s="37">
        <v>45654</v>
      </c>
      <c r="J761" s="33" t="s">
        <v>18</v>
      </c>
      <c r="K761" s="33" t="s">
        <v>23</v>
      </c>
      <c r="L761" s="38">
        <f t="shared" si="25"/>
        <v>3923.0380000000005</v>
      </c>
      <c r="M761" s="38">
        <v>-278.64999999999998</v>
      </c>
      <c r="N761" s="24">
        <f>_xlfn.XLOOKUP(Snitch_Fashion_Sales_cleaned!$J761,Table2[City],Table2[City_Key],"not found")</f>
        <v>2</v>
      </c>
      <c r="O761" s="23">
        <f>_xlfn.XLOOKUP(Snitch_Fashion_Sales_cleaned!$D761,Table4[Product_Name],Table4[Product_Key],"not found")</f>
        <v>5</v>
      </c>
      <c r="P761" s="32">
        <f>_xlfn.XLOOKUP(Snitch_Fashion_Sales_cleaned!$I761,Table3[Order_Date],Table3[Date_Key])</f>
        <v>333</v>
      </c>
    </row>
    <row r="762" spans="1:16" x14ac:dyDescent="0.3">
      <c r="A762" s="27">
        <v>1760</v>
      </c>
      <c r="B762" s="25" t="s">
        <v>805</v>
      </c>
      <c r="C762" s="25" t="s">
        <v>28</v>
      </c>
      <c r="D762" s="26" t="s">
        <v>116</v>
      </c>
      <c r="E762" s="27">
        <v>3</v>
      </c>
      <c r="F762" s="28">
        <v>4326.6000000000004</v>
      </c>
      <c r="G762" s="29">
        <v>0.51</v>
      </c>
      <c r="H762" s="28">
        <f t="shared" si="24"/>
        <v>12979.800000000001</v>
      </c>
      <c r="I762" s="30">
        <v>45663</v>
      </c>
      <c r="J762" s="26" t="s">
        <v>18</v>
      </c>
      <c r="K762" s="26" t="s">
        <v>23</v>
      </c>
      <c r="L762" s="31">
        <f t="shared" si="25"/>
        <v>6360.1020000000008</v>
      </c>
      <c r="M762" s="31">
        <v>1495.82</v>
      </c>
      <c r="N762" s="22">
        <f>_xlfn.XLOOKUP(Snitch_Fashion_Sales_cleaned!$J762,Table2[City],Table2[City_Key],"not found")</f>
        <v>2</v>
      </c>
      <c r="O762" s="21">
        <f>_xlfn.XLOOKUP(Snitch_Fashion_Sales_cleaned!$D762,Table4[Product_Name],Table4[Product_Key],"not found")</f>
        <v>22</v>
      </c>
      <c r="P762" s="25">
        <f>_xlfn.XLOOKUP(Snitch_Fashion_Sales_cleaned!$I762,Table3[Order_Date],Table3[Date_Key])</f>
        <v>292</v>
      </c>
    </row>
    <row r="763" spans="1:16" x14ac:dyDescent="0.3">
      <c r="A763" s="34">
        <v>1761</v>
      </c>
      <c r="B763" s="32" t="s">
        <v>806</v>
      </c>
      <c r="C763" s="32" t="s">
        <v>20</v>
      </c>
      <c r="D763" s="33" t="s">
        <v>118</v>
      </c>
      <c r="E763" s="34">
        <v>3</v>
      </c>
      <c r="F763" s="35">
        <v>2752.99</v>
      </c>
      <c r="G763" s="36">
        <v>0.37</v>
      </c>
      <c r="H763" s="35">
        <f t="shared" si="24"/>
        <v>8258.9699999999993</v>
      </c>
      <c r="I763" s="37">
        <v>45540</v>
      </c>
      <c r="J763" s="33" t="s">
        <v>22</v>
      </c>
      <c r="K763" s="33" t="s">
        <v>23</v>
      </c>
      <c r="L763" s="38">
        <f t="shared" si="25"/>
        <v>5203.1511</v>
      </c>
      <c r="M763" s="38">
        <v>2989.57</v>
      </c>
      <c r="N763" s="24">
        <f>_xlfn.XLOOKUP(Snitch_Fashion_Sales_cleaned!$J763,Table2[City],Table2[City_Key],"not found")</f>
        <v>3</v>
      </c>
      <c r="O763" s="23">
        <f>_xlfn.XLOOKUP(Snitch_Fashion_Sales_cleaned!$D763,Table4[Product_Name],Table4[Product_Key],"not found")</f>
        <v>23</v>
      </c>
      <c r="P763" s="32">
        <f>_xlfn.XLOOKUP(Snitch_Fashion_Sales_cleaned!$I763,Table3[Order_Date],Table3[Date_Key])</f>
        <v>167</v>
      </c>
    </row>
    <row r="764" spans="1:16" x14ac:dyDescent="0.3">
      <c r="A764" s="27">
        <v>1762</v>
      </c>
      <c r="B764" s="25" t="s">
        <v>807</v>
      </c>
      <c r="C764" s="25" t="s">
        <v>20</v>
      </c>
      <c r="D764" s="26" t="s">
        <v>21</v>
      </c>
      <c r="E764" s="27">
        <v>4</v>
      </c>
      <c r="F764" s="28">
        <v>1364.9</v>
      </c>
      <c r="G764" s="29">
        <v>0.17</v>
      </c>
      <c r="H764" s="28">
        <f t="shared" si="24"/>
        <v>5459.6</v>
      </c>
      <c r="I764" s="30">
        <v>45604</v>
      </c>
      <c r="J764" s="26" t="s">
        <v>15</v>
      </c>
      <c r="K764" s="26" t="s">
        <v>23</v>
      </c>
      <c r="L764" s="31">
        <f t="shared" si="25"/>
        <v>4531.4679999999998</v>
      </c>
      <c r="M764" s="31">
        <v>1591.99</v>
      </c>
      <c r="N764" s="22">
        <f>_xlfn.XLOOKUP(Snitch_Fashion_Sales_cleaned!$J764,Table2[City],Table2[City_Key],"not found")</f>
        <v>1</v>
      </c>
      <c r="O764" s="21">
        <f>_xlfn.XLOOKUP(Snitch_Fashion_Sales_cleaned!$D764,Table4[Product_Name],Table4[Product_Key],"not found")</f>
        <v>2</v>
      </c>
      <c r="P764" s="25">
        <f>_xlfn.XLOOKUP(Snitch_Fashion_Sales_cleaned!$I764,Table3[Order_Date],Table3[Date_Key])</f>
        <v>101</v>
      </c>
    </row>
    <row r="765" spans="1:16" x14ac:dyDescent="0.3">
      <c r="A765" s="34">
        <v>1763</v>
      </c>
      <c r="B765" s="32" t="s">
        <v>808</v>
      </c>
      <c r="C765" s="32" t="s">
        <v>25</v>
      </c>
      <c r="D765" s="33" t="s">
        <v>62</v>
      </c>
      <c r="E765" s="34">
        <v>2</v>
      </c>
      <c r="F765" s="35">
        <v>1874.56</v>
      </c>
      <c r="G765" s="36">
        <v>0.51</v>
      </c>
      <c r="H765" s="35">
        <f t="shared" si="24"/>
        <v>3749.12</v>
      </c>
      <c r="I765" s="37">
        <v>45647</v>
      </c>
      <c r="J765" s="33" t="s">
        <v>43</v>
      </c>
      <c r="K765" s="33" t="s">
        <v>23</v>
      </c>
      <c r="L765" s="38">
        <f t="shared" si="25"/>
        <v>1837.0688</v>
      </c>
      <c r="M765" s="38">
        <v>459.2672</v>
      </c>
      <c r="N765" s="24">
        <f>_xlfn.XLOOKUP(Snitch_Fashion_Sales_cleaned!$J765,Table2[City],Table2[City_Key],"not found")</f>
        <v>6</v>
      </c>
      <c r="O765" s="23">
        <f>_xlfn.XLOOKUP(Snitch_Fashion_Sales_cleaned!$D765,Table4[Product_Name],Table4[Product_Key],"not found")</f>
        <v>14</v>
      </c>
      <c r="P765" s="32">
        <f>_xlfn.XLOOKUP(Snitch_Fashion_Sales_cleaned!$I765,Table3[Order_Date],Table3[Date_Key])</f>
        <v>5</v>
      </c>
    </row>
    <row r="766" spans="1:16" x14ac:dyDescent="0.3">
      <c r="A766" s="27">
        <v>1029</v>
      </c>
      <c r="B766" s="25" t="s">
        <v>809</v>
      </c>
      <c r="C766" s="25" t="s">
        <v>20</v>
      </c>
      <c r="D766" s="26" t="s">
        <v>76</v>
      </c>
      <c r="E766" s="27">
        <v>3</v>
      </c>
      <c r="F766" s="28">
        <v>4343.12</v>
      </c>
      <c r="G766" s="29">
        <v>0.51</v>
      </c>
      <c r="H766" s="28">
        <f t="shared" si="24"/>
        <v>13029.36</v>
      </c>
      <c r="I766" s="30">
        <v>45825</v>
      </c>
      <c r="J766" s="26" t="s">
        <v>52</v>
      </c>
      <c r="K766" s="26" t="s">
        <v>16</v>
      </c>
      <c r="L766" s="31">
        <f t="shared" si="25"/>
        <v>6384.3864000000003</v>
      </c>
      <c r="M766" s="31">
        <v>2997.11</v>
      </c>
      <c r="N766" s="22">
        <f>_xlfn.XLOOKUP(Snitch_Fashion_Sales_cleaned!$J766,Table2[City],Table2[City_Key],"not found")</f>
        <v>5</v>
      </c>
      <c r="O766" s="21">
        <f>_xlfn.XLOOKUP(Snitch_Fashion_Sales_cleaned!$D766,Table4[Product_Name],Table4[Product_Key],"not found")</f>
        <v>16</v>
      </c>
      <c r="P766" s="25">
        <f>_xlfn.XLOOKUP(Snitch_Fashion_Sales_cleaned!$I766,Table3[Order_Date],Table3[Date_Key])</f>
        <v>256</v>
      </c>
    </row>
    <row r="767" spans="1:16" x14ac:dyDescent="0.3">
      <c r="A767" s="34">
        <v>1765</v>
      </c>
      <c r="B767" s="32" t="s">
        <v>810</v>
      </c>
      <c r="C767" s="32" t="s">
        <v>13</v>
      </c>
      <c r="D767" s="33" t="s">
        <v>46</v>
      </c>
      <c r="E767" s="34">
        <v>6</v>
      </c>
      <c r="F767" s="35">
        <v>1016.5</v>
      </c>
      <c r="G767" s="36">
        <v>0.51</v>
      </c>
      <c r="H767" s="35">
        <f t="shared" si="24"/>
        <v>6099</v>
      </c>
      <c r="I767" s="37">
        <v>45709</v>
      </c>
      <c r="J767" s="33" t="s">
        <v>22</v>
      </c>
      <c r="K767" s="33" t="s">
        <v>16</v>
      </c>
      <c r="L767" s="38">
        <f t="shared" si="25"/>
        <v>2988.5099999999998</v>
      </c>
      <c r="M767" s="38">
        <v>-420.11</v>
      </c>
      <c r="N767" s="24">
        <f>_xlfn.XLOOKUP(Snitch_Fashion_Sales_cleaned!$J767,Table2[City],Table2[City_Key],"not found")</f>
        <v>3</v>
      </c>
      <c r="O767" s="23">
        <f>_xlfn.XLOOKUP(Snitch_Fashion_Sales_cleaned!$D767,Table4[Product_Name],Table4[Product_Key],"not found")</f>
        <v>10</v>
      </c>
      <c r="P767" s="32">
        <f>_xlfn.XLOOKUP(Snitch_Fashion_Sales_cleaned!$I767,Table3[Order_Date],Table3[Date_Key])</f>
        <v>359</v>
      </c>
    </row>
    <row r="768" spans="1:16" x14ac:dyDescent="0.3">
      <c r="A768" s="27">
        <v>1766</v>
      </c>
      <c r="B768" s="25" t="s">
        <v>811</v>
      </c>
      <c r="C768" s="25" t="s">
        <v>20</v>
      </c>
      <c r="D768" s="26" t="s">
        <v>84</v>
      </c>
      <c r="E768" s="27">
        <v>3</v>
      </c>
      <c r="F768" s="28">
        <v>3589.19</v>
      </c>
      <c r="G768" s="29">
        <v>0.51</v>
      </c>
      <c r="H768" s="28">
        <f t="shared" si="24"/>
        <v>10767.57</v>
      </c>
      <c r="I768" s="30">
        <v>45838</v>
      </c>
      <c r="J768" s="26" t="s">
        <v>22</v>
      </c>
      <c r="K768" s="26" t="s">
        <v>23</v>
      </c>
      <c r="L768" s="31">
        <f t="shared" si="25"/>
        <v>5276.1093000000001</v>
      </c>
      <c r="M768" s="31">
        <v>1880.22</v>
      </c>
      <c r="N768" s="22">
        <f>_xlfn.XLOOKUP(Snitch_Fashion_Sales_cleaned!$J768,Table2[City],Table2[City_Key],"not found")</f>
        <v>3</v>
      </c>
      <c r="O768" s="21">
        <f>_xlfn.XLOOKUP(Snitch_Fashion_Sales_cleaned!$D768,Table4[Product_Name],Table4[Product_Key],"not found")</f>
        <v>19</v>
      </c>
      <c r="P768" s="25">
        <f>_xlfn.XLOOKUP(Snitch_Fashion_Sales_cleaned!$I768,Table3[Order_Date],Table3[Date_Key])</f>
        <v>49</v>
      </c>
    </row>
    <row r="769" spans="1:16" x14ac:dyDescent="0.3">
      <c r="A769" s="34">
        <v>1767</v>
      </c>
      <c r="B769" s="32" t="s">
        <v>812</v>
      </c>
      <c r="C769" s="32" t="s">
        <v>36</v>
      </c>
      <c r="D769" s="33" t="s">
        <v>55</v>
      </c>
      <c r="E769" s="34">
        <v>3</v>
      </c>
      <c r="F769" s="35">
        <v>2151.92</v>
      </c>
      <c r="G769" s="36">
        <v>0.51</v>
      </c>
      <c r="H769" s="35">
        <f t="shared" si="24"/>
        <v>6455.76</v>
      </c>
      <c r="I769" s="37">
        <v>45850</v>
      </c>
      <c r="J769" s="33" t="s">
        <v>22</v>
      </c>
      <c r="K769" s="33" t="s">
        <v>23</v>
      </c>
      <c r="L769" s="38">
        <f t="shared" si="25"/>
        <v>3163.3224</v>
      </c>
      <c r="M769" s="38">
        <v>2383.83</v>
      </c>
      <c r="N769" s="24">
        <f>_xlfn.XLOOKUP(Snitch_Fashion_Sales_cleaned!$J769,Table2[City],Table2[City_Key],"not found")</f>
        <v>3</v>
      </c>
      <c r="O769" s="23">
        <f>_xlfn.XLOOKUP(Snitch_Fashion_Sales_cleaned!$D769,Table4[Product_Name],Table4[Product_Key],"not found")</f>
        <v>12</v>
      </c>
      <c r="P769" s="32">
        <f>_xlfn.XLOOKUP(Snitch_Fashion_Sales_cleaned!$I769,Table3[Order_Date],Table3[Date_Key])</f>
        <v>335</v>
      </c>
    </row>
    <row r="770" spans="1:16" x14ac:dyDescent="0.3">
      <c r="A770" s="27">
        <v>1768</v>
      </c>
      <c r="B770" s="25" t="s">
        <v>813</v>
      </c>
      <c r="C770" s="25" t="s">
        <v>25</v>
      </c>
      <c r="D770" s="26" t="s">
        <v>62</v>
      </c>
      <c r="E770" s="27">
        <v>5</v>
      </c>
      <c r="F770" s="28">
        <v>3548.22</v>
      </c>
      <c r="G770" s="29">
        <v>0.51</v>
      </c>
      <c r="H770" s="28">
        <f t="shared" si="24"/>
        <v>17741.099999999999</v>
      </c>
      <c r="I770" s="30">
        <v>45133</v>
      </c>
      <c r="J770" s="26" t="s">
        <v>22</v>
      </c>
      <c r="K770" s="26" t="s">
        <v>23</v>
      </c>
      <c r="L770" s="31">
        <f t="shared" si="25"/>
        <v>8693.1389999999992</v>
      </c>
      <c r="M770" s="31">
        <v>2960.22</v>
      </c>
      <c r="N770" s="22">
        <f>_xlfn.XLOOKUP(Snitch_Fashion_Sales_cleaned!$J770,Table2[City],Table2[City_Key],"not found")</f>
        <v>3</v>
      </c>
      <c r="O770" s="21">
        <f>_xlfn.XLOOKUP(Snitch_Fashion_Sales_cleaned!$D770,Table4[Product_Name],Table4[Product_Key],"not found")</f>
        <v>14</v>
      </c>
      <c r="P770" s="25">
        <f>_xlfn.XLOOKUP(Snitch_Fashion_Sales_cleaned!$I770,Table3[Order_Date],Table3[Date_Key])</f>
        <v>360</v>
      </c>
    </row>
    <row r="771" spans="1:16" x14ac:dyDescent="0.3">
      <c r="A771" s="34">
        <v>1769</v>
      </c>
      <c r="B771" s="32" t="s">
        <v>814</v>
      </c>
      <c r="C771" s="32" t="s">
        <v>20</v>
      </c>
      <c r="D771" s="33" t="s">
        <v>118</v>
      </c>
      <c r="E771" s="34">
        <v>3.5</v>
      </c>
      <c r="F771" s="35">
        <v>2752.99</v>
      </c>
      <c r="G771" s="36">
        <v>1</v>
      </c>
      <c r="H771" s="35">
        <f t="shared" si="24"/>
        <v>9635.4650000000001</v>
      </c>
      <c r="I771" s="37">
        <v>45626</v>
      </c>
      <c r="J771" s="33" t="s">
        <v>15</v>
      </c>
      <c r="K771" s="33" t="s">
        <v>16</v>
      </c>
      <c r="L771" s="38">
        <f t="shared" si="25"/>
        <v>0</v>
      </c>
      <c r="M771" s="38">
        <v>0</v>
      </c>
      <c r="N771" s="24">
        <f>_xlfn.XLOOKUP(Snitch_Fashion_Sales_cleaned!$J771,Table2[City],Table2[City_Key],"not found")</f>
        <v>1</v>
      </c>
      <c r="O771" s="23">
        <f>_xlfn.XLOOKUP(Snitch_Fashion_Sales_cleaned!$D771,Table4[Product_Name],Table4[Product_Key],"not found")</f>
        <v>23</v>
      </c>
      <c r="P771" s="32">
        <f>_xlfn.XLOOKUP(Snitch_Fashion_Sales_cleaned!$I771,Table3[Order_Date],Table3[Date_Key])</f>
        <v>185</v>
      </c>
    </row>
    <row r="772" spans="1:16" x14ac:dyDescent="0.3">
      <c r="A772" s="27">
        <v>1770</v>
      </c>
      <c r="B772" s="25" t="s">
        <v>815</v>
      </c>
      <c r="C772" s="25" t="s">
        <v>36</v>
      </c>
      <c r="D772" s="26" t="s">
        <v>55</v>
      </c>
      <c r="E772" s="27">
        <v>3</v>
      </c>
      <c r="F772" s="28">
        <v>2731.6350000000002</v>
      </c>
      <c r="G772" s="29">
        <v>0.51</v>
      </c>
      <c r="H772" s="28">
        <f t="shared" si="24"/>
        <v>8194.9050000000007</v>
      </c>
      <c r="I772" s="30">
        <v>45197</v>
      </c>
      <c r="J772" s="26" t="s">
        <v>43</v>
      </c>
      <c r="K772" s="26" t="s">
        <v>23</v>
      </c>
      <c r="L772" s="31">
        <f t="shared" si="25"/>
        <v>4015.5034500000002</v>
      </c>
      <c r="M772" s="31">
        <v>2366.9699999999998</v>
      </c>
      <c r="N772" s="22">
        <f>_xlfn.XLOOKUP(Snitch_Fashion_Sales_cleaned!$J772,Table2[City],Table2[City_Key],"not found")</f>
        <v>6</v>
      </c>
      <c r="O772" s="21">
        <f>_xlfn.XLOOKUP(Snitch_Fashion_Sales_cleaned!$D772,Table4[Product_Name],Table4[Product_Key],"not found")</f>
        <v>12</v>
      </c>
      <c r="P772" s="25">
        <f>_xlfn.XLOOKUP(Snitch_Fashion_Sales_cleaned!$I772,Table3[Order_Date],Table3[Date_Key])</f>
        <v>361</v>
      </c>
    </row>
    <row r="773" spans="1:16" x14ac:dyDescent="0.3">
      <c r="A773" s="34">
        <v>1771</v>
      </c>
      <c r="B773" s="32" t="s">
        <v>816</v>
      </c>
      <c r="C773" s="32" t="s">
        <v>25</v>
      </c>
      <c r="D773" s="33" t="s">
        <v>62</v>
      </c>
      <c r="E773" s="34">
        <v>4</v>
      </c>
      <c r="F773" s="35">
        <v>730.48</v>
      </c>
      <c r="G773" s="36">
        <v>0.51</v>
      </c>
      <c r="H773" s="35">
        <f t="shared" si="24"/>
        <v>2921.92</v>
      </c>
      <c r="I773" s="37">
        <v>45664</v>
      </c>
      <c r="J773" s="33" t="s">
        <v>52</v>
      </c>
      <c r="K773" s="33" t="s">
        <v>16</v>
      </c>
      <c r="L773" s="38">
        <f t="shared" si="25"/>
        <v>1431.7408</v>
      </c>
      <c r="M773" s="38">
        <v>-162.02000000000001</v>
      </c>
      <c r="N773" s="24">
        <f>_xlfn.XLOOKUP(Snitch_Fashion_Sales_cleaned!$J773,Table2[City],Table2[City_Key],"not found")</f>
        <v>5</v>
      </c>
      <c r="O773" s="23">
        <f>_xlfn.XLOOKUP(Snitch_Fashion_Sales_cleaned!$D773,Table4[Product_Name],Table4[Product_Key],"not found")</f>
        <v>14</v>
      </c>
      <c r="P773" s="32">
        <f>_xlfn.XLOOKUP(Snitch_Fashion_Sales_cleaned!$I773,Table3[Order_Date],Table3[Date_Key])</f>
        <v>52</v>
      </c>
    </row>
    <row r="774" spans="1:16" x14ac:dyDescent="0.3">
      <c r="A774" s="27">
        <v>1772</v>
      </c>
      <c r="B774" s="25" t="s">
        <v>817</v>
      </c>
      <c r="C774" s="25" t="s">
        <v>13</v>
      </c>
      <c r="D774" s="26" t="s">
        <v>34</v>
      </c>
      <c r="E774" s="27">
        <v>3</v>
      </c>
      <c r="F774" s="28">
        <v>3008.6549999999997</v>
      </c>
      <c r="G774" s="29">
        <v>0.38</v>
      </c>
      <c r="H774" s="28">
        <f t="shared" ref="H774:H837" si="26">E774*F774</f>
        <v>9025.9650000000001</v>
      </c>
      <c r="I774" s="30">
        <v>45816</v>
      </c>
      <c r="J774" s="26" t="s">
        <v>18</v>
      </c>
      <c r="K774" s="26" t="s">
        <v>16</v>
      </c>
      <c r="L774" s="31">
        <f t="shared" ref="L774:L837" si="27">H774*(1-G774)</f>
        <v>5596.0982999999997</v>
      </c>
      <c r="M774" s="31">
        <v>545.03</v>
      </c>
      <c r="N774" s="22">
        <f>_xlfn.XLOOKUP(Snitch_Fashion_Sales_cleaned!$J774,Table2[City],Table2[City_Key],"not found")</f>
        <v>2</v>
      </c>
      <c r="O774" s="21">
        <f>_xlfn.XLOOKUP(Snitch_Fashion_Sales_cleaned!$D774,Table4[Product_Name],Table4[Product_Key],"not found")</f>
        <v>6</v>
      </c>
      <c r="P774" s="25">
        <f>_xlfn.XLOOKUP(Snitch_Fashion_Sales_cleaned!$I774,Table3[Order_Date],Table3[Date_Key])</f>
        <v>205</v>
      </c>
    </row>
    <row r="775" spans="1:16" x14ac:dyDescent="0.3">
      <c r="A775" s="34">
        <v>1773</v>
      </c>
      <c r="B775" s="32" t="s">
        <v>818</v>
      </c>
      <c r="C775" s="32" t="s">
        <v>28</v>
      </c>
      <c r="D775" s="33" t="s">
        <v>116</v>
      </c>
      <c r="E775" s="34">
        <v>4</v>
      </c>
      <c r="F775" s="35">
        <v>444.82</v>
      </c>
      <c r="G775" s="36">
        <v>0.51</v>
      </c>
      <c r="H775" s="35">
        <f t="shared" si="26"/>
        <v>1779.28</v>
      </c>
      <c r="I775" s="37">
        <v>45647</v>
      </c>
      <c r="J775" s="33" t="s">
        <v>52</v>
      </c>
      <c r="K775" s="33" t="s">
        <v>16</v>
      </c>
      <c r="L775" s="38">
        <f t="shared" si="27"/>
        <v>871.84719999999993</v>
      </c>
      <c r="M775" s="38">
        <v>217.96179999999998</v>
      </c>
      <c r="N775" s="24">
        <f>_xlfn.XLOOKUP(Snitch_Fashion_Sales_cleaned!$J775,Table2[City],Table2[City_Key],"not found")</f>
        <v>5</v>
      </c>
      <c r="O775" s="23">
        <f>_xlfn.XLOOKUP(Snitch_Fashion_Sales_cleaned!$D775,Table4[Product_Name],Table4[Product_Key],"not found")</f>
        <v>22</v>
      </c>
      <c r="P775" s="32">
        <f>_xlfn.XLOOKUP(Snitch_Fashion_Sales_cleaned!$I775,Table3[Order_Date],Table3[Date_Key])</f>
        <v>5</v>
      </c>
    </row>
    <row r="776" spans="1:16" x14ac:dyDescent="0.3">
      <c r="A776" s="27">
        <v>1774</v>
      </c>
      <c r="B776" s="25" t="s">
        <v>819</v>
      </c>
      <c r="C776" s="25" t="s">
        <v>28</v>
      </c>
      <c r="D776" s="26" t="s">
        <v>39</v>
      </c>
      <c r="E776" s="27">
        <v>3</v>
      </c>
      <c r="F776" s="28">
        <v>4137.43</v>
      </c>
      <c r="G776" s="29">
        <v>0.51</v>
      </c>
      <c r="H776" s="28">
        <f t="shared" si="26"/>
        <v>12412.29</v>
      </c>
      <c r="I776" s="30">
        <v>45777</v>
      </c>
      <c r="J776" s="26" t="s">
        <v>18</v>
      </c>
      <c r="K776" s="26" t="s">
        <v>16</v>
      </c>
      <c r="L776" s="31">
        <f t="shared" si="27"/>
        <v>6082.0221000000001</v>
      </c>
      <c r="M776" s="31">
        <v>895.53</v>
      </c>
      <c r="N776" s="22">
        <f>_xlfn.XLOOKUP(Snitch_Fashion_Sales_cleaned!$J776,Table2[City],Table2[City_Key],"not found")</f>
        <v>2</v>
      </c>
      <c r="O776" s="21">
        <f>_xlfn.XLOOKUP(Snitch_Fashion_Sales_cleaned!$D776,Table4[Product_Name],Table4[Product_Key],"not found")</f>
        <v>8</v>
      </c>
      <c r="P776" s="25">
        <f>_xlfn.XLOOKUP(Snitch_Fashion_Sales_cleaned!$I776,Table3[Order_Date],Table3[Date_Key])</f>
        <v>282</v>
      </c>
    </row>
    <row r="777" spans="1:16" x14ac:dyDescent="0.3">
      <c r="A777" s="34">
        <v>1775</v>
      </c>
      <c r="B777" s="32" t="s">
        <v>820</v>
      </c>
      <c r="C777" s="32" t="s">
        <v>31</v>
      </c>
      <c r="D777" s="33" t="s">
        <v>78</v>
      </c>
      <c r="E777" s="34">
        <v>4</v>
      </c>
      <c r="F777" s="35">
        <v>2599.75</v>
      </c>
      <c r="G777" s="36">
        <v>0.51</v>
      </c>
      <c r="H777" s="35">
        <f t="shared" si="26"/>
        <v>10399</v>
      </c>
      <c r="I777" s="37">
        <v>45647</v>
      </c>
      <c r="J777" s="33" t="s">
        <v>18</v>
      </c>
      <c r="K777" s="33" t="s">
        <v>23</v>
      </c>
      <c r="L777" s="38">
        <f t="shared" si="27"/>
        <v>5095.51</v>
      </c>
      <c r="M777" s="38">
        <v>2275.5500000000002</v>
      </c>
      <c r="N777" s="24">
        <f>_xlfn.XLOOKUP(Snitch_Fashion_Sales_cleaned!$J777,Table2[City],Table2[City_Key],"not found")</f>
        <v>2</v>
      </c>
      <c r="O777" s="23">
        <f>_xlfn.XLOOKUP(Snitch_Fashion_Sales_cleaned!$D777,Table4[Product_Name],Table4[Product_Key],"not found")</f>
        <v>17</v>
      </c>
      <c r="P777" s="32">
        <f>_xlfn.XLOOKUP(Snitch_Fashion_Sales_cleaned!$I777,Table3[Order_Date],Table3[Date_Key])</f>
        <v>5</v>
      </c>
    </row>
    <row r="778" spans="1:16" x14ac:dyDescent="0.3">
      <c r="A778" s="27">
        <v>1776</v>
      </c>
      <c r="B778" s="25" t="s">
        <v>821</v>
      </c>
      <c r="C778" s="25" t="s">
        <v>25</v>
      </c>
      <c r="D778" s="26" t="s">
        <v>82</v>
      </c>
      <c r="E778" s="27">
        <v>4</v>
      </c>
      <c r="F778" s="28">
        <v>4684.9799999999996</v>
      </c>
      <c r="G778" s="29">
        <v>0.51</v>
      </c>
      <c r="H778" s="28">
        <f t="shared" si="26"/>
        <v>18739.919999999998</v>
      </c>
      <c r="I778" s="30">
        <v>45647</v>
      </c>
      <c r="J778" s="26" t="s">
        <v>43</v>
      </c>
      <c r="K778" s="26" t="s">
        <v>16</v>
      </c>
      <c r="L778" s="31">
        <f t="shared" si="27"/>
        <v>9182.5607999999993</v>
      </c>
      <c r="M778" s="31">
        <v>-360.88</v>
      </c>
      <c r="N778" s="22">
        <f>_xlfn.XLOOKUP(Snitch_Fashion_Sales_cleaned!$J778,Table2[City],Table2[City_Key],"not found")</f>
        <v>6</v>
      </c>
      <c r="O778" s="21">
        <f>_xlfn.XLOOKUP(Snitch_Fashion_Sales_cleaned!$D778,Table4[Product_Name],Table4[Product_Key],"not found")</f>
        <v>18</v>
      </c>
      <c r="P778" s="25">
        <f>_xlfn.XLOOKUP(Snitch_Fashion_Sales_cleaned!$I778,Table3[Order_Date],Table3[Date_Key])</f>
        <v>5</v>
      </c>
    </row>
    <row r="779" spans="1:16" x14ac:dyDescent="0.3">
      <c r="A779" s="34">
        <v>1777</v>
      </c>
      <c r="B779" s="32" t="s">
        <v>822</v>
      </c>
      <c r="C779" s="32" t="s">
        <v>36</v>
      </c>
      <c r="D779" s="33" t="s">
        <v>59</v>
      </c>
      <c r="E779" s="34">
        <v>3</v>
      </c>
      <c r="F779" s="35">
        <v>2765.26</v>
      </c>
      <c r="G779" s="36">
        <v>0.51</v>
      </c>
      <c r="H779" s="35">
        <f t="shared" si="26"/>
        <v>8295.7800000000007</v>
      </c>
      <c r="I779" s="37">
        <v>45401</v>
      </c>
      <c r="J779" s="33" t="s">
        <v>15</v>
      </c>
      <c r="K779" s="33" t="s">
        <v>23</v>
      </c>
      <c r="L779" s="38">
        <f t="shared" si="27"/>
        <v>4064.9322000000002</v>
      </c>
      <c r="M779" s="38">
        <v>1292.0899999999999</v>
      </c>
      <c r="N779" s="24">
        <f>_xlfn.XLOOKUP(Snitch_Fashion_Sales_cleaned!$J779,Table2[City],Table2[City_Key],"not found")</f>
        <v>1</v>
      </c>
      <c r="O779" s="23">
        <f>_xlfn.XLOOKUP(Snitch_Fashion_Sales_cleaned!$D779,Table4[Product_Name],Table4[Product_Key],"not found")</f>
        <v>13</v>
      </c>
      <c r="P779" s="32">
        <f>_xlfn.XLOOKUP(Snitch_Fashion_Sales_cleaned!$I779,Table3[Order_Date],Table3[Date_Key])</f>
        <v>90</v>
      </c>
    </row>
    <row r="780" spans="1:16" x14ac:dyDescent="0.3">
      <c r="A780" s="27">
        <v>1778</v>
      </c>
      <c r="B780" s="25" t="s">
        <v>823</v>
      </c>
      <c r="C780" s="25" t="s">
        <v>31</v>
      </c>
      <c r="D780" s="26" t="s">
        <v>32</v>
      </c>
      <c r="E780" s="27">
        <v>5</v>
      </c>
      <c r="F780" s="28">
        <v>2716.57</v>
      </c>
      <c r="G780" s="29">
        <v>0.51</v>
      </c>
      <c r="H780" s="28">
        <f t="shared" si="26"/>
        <v>13582.85</v>
      </c>
      <c r="I780" s="30">
        <v>45569</v>
      </c>
      <c r="J780" s="26" t="s">
        <v>22</v>
      </c>
      <c r="K780" s="26" t="s">
        <v>16</v>
      </c>
      <c r="L780" s="31">
        <f t="shared" si="27"/>
        <v>6655.5964999999997</v>
      </c>
      <c r="M780" s="31">
        <v>2059.98</v>
      </c>
      <c r="N780" s="22">
        <f>_xlfn.XLOOKUP(Snitch_Fashion_Sales_cleaned!$J780,Table2[City],Table2[City_Key],"not found")</f>
        <v>3</v>
      </c>
      <c r="O780" s="21">
        <f>_xlfn.XLOOKUP(Snitch_Fashion_Sales_cleaned!$D780,Table4[Product_Name],Table4[Product_Key],"not found")</f>
        <v>5</v>
      </c>
      <c r="P780" s="25">
        <f>_xlfn.XLOOKUP(Snitch_Fashion_Sales_cleaned!$I780,Table3[Order_Date],Table3[Date_Key])</f>
        <v>108</v>
      </c>
    </row>
    <row r="781" spans="1:16" x14ac:dyDescent="0.3">
      <c r="A781" s="34">
        <v>1779</v>
      </c>
      <c r="B781" s="32" t="s">
        <v>86</v>
      </c>
      <c r="C781" s="32" t="s">
        <v>13</v>
      </c>
      <c r="D781" s="33" t="s">
        <v>34</v>
      </c>
      <c r="E781" s="34">
        <v>3</v>
      </c>
      <c r="F781" s="35">
        <v>3008.6549999999997</v>
      </c>
      <c r="G781" s="36">
        <v>0.51</v>
      </c>
      <c r="H781" s="35">
        <f t="shared" si="26"/>
        <v>9025.9650000000001</v>
      </c>
      <c r="I781" s="37">
        <v>45568</v>
      </c>
      <c r="J781" s="33" t="s">
        <v>52</v>
      </c>
      <c r="K781" s="33" t="s">
        <v>23</v>
      </c>
      <c r="L781" s="38">
        <f t="shared" si="27"/>
        <v>4422.7228500000001</v>
      </c>
      <c r="M781" s="38">
        <v>1861.39</v>
      </c>
      <c r="N781" s="24">
        <f>_xlfn.XLOOKUP(Snitch_Fashion_Sales_cleaned!$J781,Table2[City],Table2[City_Key],"not found")</f>
        <v>5</v>
      </c>
      <c r="O781" s="23">
        <f>_xlfn.XLOOKUP(Snitch_Fashion_Sales_cleaned!$D781,Table4[Product_Name],Table4[Product_Key],"not found")</f>
        <v>6</v>
      </c>
      <c r="P781" s="32">
        <f>_xlfn.XLOOKUP(Snitch_Fashion_Sales_cleaned!$I781,Table3[Order_Date],Table3[Date_Key])</f>
        <v>238</v>
      </c>
    </row>
    <row r="782" spans="1:16" x14ac:dyDescent="0.3">
      <c r="A782" s="27">
        <v>1780</v>
      </c>
      <c r="B782" s="25" t="s">
        <v>824</v>
      </c>
      <c r="C782" s="25" t="s">
        <v>20</v>
      </c>
      <c r="D782" s="26" t="s">
        <v>118</v>
      </c>
      <c r="E782" s="27">
        <v>3.5</v>
      </c>
      <c r="F782" s="28">
        <v>2752.99</v>
      </c>
      <c r="G782" s="29">
        <v>0.51</v>
      </c>
      <c r="H782" s="28">
        <f t="shared" si="26"/>
        <v>9635.4650000000001</v>
      </c>
      <c r="I782" s="30">
        <v>45829</v>
      </c>
      <c r="J782" s="26" t="s">
        <v>15</v>
      </c>
      <c r="K782" s="26" t="s">
        <v>23</v>
      </c>
      <c r="L782" s="31">
        <f t="shared" si="27"/>
        <v>4721.3778499999999</v>
      </c>
      <c r="M782" s="31">
        <v>2756.02</v>
      </c>
      <c r="N782" s="22">
        <f>_xlfn.XLOOKUP(Snitch_Fashion_Sales_cleaned!$J782,Table2[City],Table2[City_Key],"not found")</f>
        <v>1</v>
      </c>
      <c r="O782" s="21">
        <f>_xlfn.XLOOKUP(Snitch_Fashion_Sales_cleaned!$D782,Table4[Product_Name],Table4[Product_Key],"not found")</f>
        <v>23</v>
      </c>
      <c r="P782" s="25">
        <f>_xlfn.XLOOKUP(Snitch_Fashion_Sales_cleaned!$I782,Table3[Order_Date],Table3[Date_Key])</f>
        <v>116</v>
      </c>
    </row>
    <row r="783" spans="1:16" x14ac:dyDescent="0.3">
      <c r="A783" s="34">
        <v>1781</v>
      </c>
      <c r="B783" s="32" t="s">
        <v>825</v>
      </c>
      <c r="C783" s="32" t="s">
        <v>36</v>
      </c>
      <c r="D783" s="33" t="s">
        <v>37</v>
      </c>
      <c r="E783" s="34">
        <v>4</v>
      </c>
      <c r="F783" s="35">
        <v>2975.64</v>
      </c>
      <c r="G783" s="36">
        <v>0.51</v>
      </c>
      <c r="H783" s="35">
        <f t="shared" si="26"/>
        <v>11902.56</v>
      </c>
      <c r="I783" s="37">
        <v>45710</v>
      </c>
      <c r="J783" s="33" t="s">
        <v>22</v>
      </c>
      <c r="K783" s="33" t="s">
        <v>23</v>
      </c>
      <c r="L783" s="38">
        <f t="shared" si="27"/>
        <v>5832.2543999999998</v>
      </c>
      <c r="M783" s="38">
        <v>213.46</v>
      </c>
      <c r="N783" s="24">
        <f>_xlfn.XLOOKUP(Snitch_Fashion_Sales_cleaned!$J783,Table2[City],Table2[City_Key],"not found")</f>
        <v>3</v>
      </c>
      <c r="O783" s="23">
        <f>_xlfn.XLOOKUP(Snitch_Fashion_Sales_cleaned!$D783,Table4[Product_Name],Table4[Product_Key],"not found")</f>
        <v>7</v>
      </c>
      <c r="P783" s="32">
        <f>_xlfn.XLOOKUP(Snitch_Fashion_Sales_cleaned!$I783,Table3[Order_Date],Table3[Date_Key])</f>
        <v>59</v>
      </c>
    </row>
    <row r="784" spans="1:16" x14ac:dyDescent="0.3">
      <c r="A784" s="27">
        <v>1782</v>
      </c>
      <c r="B784" s="25" t="s">
        <v>826</v>
      </c>
      <c r="C784" s="25" t="s">
        <v>20</v>
      </c>
      <c r="D784" s="26" t="s">
        <v>84</v>
      </c>
      <c r="E784" s="27">
        <v>6</v>
      </c>
      <c r="F784" s="28">
        <v>2537.59</v>
      </c>
      <c r="G784" s="29">
        <v>0.51</v>
      </c>
      <c r="H784" s="28">
        <f t="shared" si="26"/>
        <v>15225.54</v>
      </c>
      <c r="I784" s="30">
        <v>45350</v>
      </c>
      <c r="J784" s="26" t="s">
        <v>22</v>
      </c>
      <c r="K784" s="26" t="s">
        <v>23</v>
      </c>
      <c r="L784" s="31">
        <f t="shared" si="27"/>
        <v>7460.5146000000004</v>
      </c>
      <c r="M784" s="31">
        <v>1802.32</v>
      </c>
      <c r="N784" s="22">
        <f>_xlfn.XLOOKUP(Snitch_Fashion_Sales_cleaned!$J784,Table2[City],Table2[City_Key],"not found")</f>
        <v>3</v>
      </c>
      <c r="O784" s="21">
        <f>_xlfn.XLOOKUP(Snitch_Fashion_Sales_cleaned!$D784,Table4[Product_Name],Table4[Product_Key],"not found")</f>
        <v>19</v>
      </c>
      <c r="P784" s="25">
        <f>_xlfn.XLOOKUP(Snitch_Fashion_Sales_cleaned!$I784,Table3[Order_Date],Table3[Date_Key])</f>
        <v>362</v>
      </c>
    </row>
    <row r="785" spans="1:16" x14ac:dyDescent="0.3">
      <c r="A785" s="34">
        <v>1783</v>
      </c>
      <c r="B785" s="32" t="s">
        <v>827</v>
      </c>
      <c r="C785" s="32" t="s">
        <v>20</v>
      </c>
      <c r="D785" s="33" t="s">
        <v>84</v>
      </c>
      <c r="E785" s="34">
        <v>3</v>
      </c>
      <c r="F785" s="35">
        <v>2537.59</v>
      </c>
      <c r="G785" s="36">
        <v>0.93</v>
      </c>
      <c r="H785" s="35">
        <f t="shared" si="26"/>
        <v>7612.77</v>
      </c>
      <c r="I785" s="37">
        <v>45505</v>
      </c>
      <c r="J785" s="33" t="s">
        <v>52</v>
      </c>
      <c r="K785" s="33" t="s">
        <v>23</v>
      </c>
      <c r="L785" s="38">
        <f t="shared" si="27"/>
        <v>532.89389999999969</v>
      </c>
      <c r="M785" s="38">
        <v>34.35</v>
      </c>
      <c r="N785" s="24">
        <f>_xlfn.XLOOKUP(Snitch_Fashion_Sales_cleaned!$J785,Table2[City],Table2[City_Key],"not found")</f>
        <v>5</v>
      </c>
      <c r="O785" s="23">
        <f>_xlfn.XLOOKUP(Snitch_Fashion_Sales_cleaned!$D785,Table4[Product_Name],Table4[Product_Key],"not found")</f>
        <v>19</v>
      </c>
      <c r="P785" s="32">
        <f>_xlfn.XLOOKUP(Snitch_Fashion_Sales_cleaned!$I785,Table3[Order_Date],Table3[Date_Key])</f>
        <v>363</v>
      </c>
    </row>
    <row r="786" spans="1:16" x14ac:dyDescent="0.3">
      <c r="A786" s="27">
        <v>1784</v>
      </c>
      <c r="B786" s="25" t="s">
        <v>828</v>
      </c>
      <c r="C786" s="25" t="s">
        <v>31</v>
      </c>
      <c r="D786" s="26" t="s">
        <v>32</v>
      </c>
      <c r="E786" s="27">
        <v>4</v>
      </c>
      <c r="F786" s="28">
        <v>2068.0500000000002</v>
      </c>
      <c r="G786" s="29">
        <v>0.51</v>
      </c>
      <c r="H786" s="28">
        <f t="shared" si="26"/>
        <v>8272.2000000000007</v>
      </c>
      <c r="I786" s="30">
        <v>45573</v>
      </c>
      <c r="J786" s="26" t="s">
        <v>22</v>
      </c>
      <c r="K786" s="26" t="s">
        <v>16</v>
      </c>
      <c r="L786" s="31">
        <f t="shared" si="27"/>
        <v>4053.3780000000002</v>
      </c>
      <c r="M786" s="31">
        <v>-379.91</v>
      </c>
      <c r="N786" s="22">
        <f>_xlfn.XLOOKUP(Snitch_Fashion_Sales_cleaned!$J786,Table2[City],Table2[City_Key],"not found")</f>
        <v>3</v>
      </c>
      <c r="O786" s="21">
        <f>_xlfn.XLOOKUP(Snitch_Fashion_Sales_cleaned!$D786,Table4[Product_Name],Table4[Product_Key],"not found")</f>
        <v>5</v>
      </c>
      <c r="P786" s="25">
        <f>_xlfn.XLOOKUP(Snitch_Fashion_Sales_cleaned!$I786,Table3[Order_Date],Table3[Date_Key])</f>
        <v>364</v>
      </c>
    </row>
    <row r="787" spans="1:16" x14ac:dyDescent="0.3">
      <c r="A787" s="34">
        <v>1785</v>
      </c>
      <c r="B787" s="32" t="s">
        <v>829</v>
      </c>
      <c r="C787" s="32" t="s">
        <v>31</v>
      </c>
      <c r="D787" s="33" t="s">
        <v>41</v>
      </c>
      <c r="E787" s="34">
        <v>3</v>
      </c>
      <c r="F787" s="35">
        <v>4103</v>
      </c>
      <c r="G787" s="36">
        <v>0.51</v>
      </c>
      <c r="H787" s="35">
        <f t="shared" si="26"/>
        <v>12309</v>
      </c>
      <c r="I787" s="37">
        <v>45804</v>
      </c>
      <c r="J787" s="33" t="s">
        <v>52</v>
      </c>
      <c r="K787" s="33" t="s">
        <v>16</v>
      </c>
      <c r="L787" s="38">
        <f t="shared" si="27"/>
        <v>6031.41</v>
      </c>
      <c r="M787" s="38">
        <v>567.89</v>
      </c>
      <c r="N787" s="24">
        <f>_xlfn.XLOOKUP(Snitch_Fashion_Sales_cleaned!$J787,Table2[City],Table2[City_Key],"not found")</f>
        <v>5</v>
      </c>
      <c r="O787" s="23">
        <f>_xlfn.XLOOKUP(Snitch_Fashion_Sales_cleaned!$D787,Table4[Product_Name],Table4[Product_Key],"not found")</f>
        <v>9</v>
      </c>
      <c r="P787" s="32">
        <f>_xlfn.XLOOKUP(Snitch_Fashion_Sales_cleaned!$I787,Table3[Order_Date],Table3[Date_Key])</f>
        <v>9</v>
      </c>
    </row>
    <row r="788" spans="1:16" x14ac:dyDescent="0.3">
      <c r="A788" s="27">
        <v>1786</v>
      </c>
      <c r="B788" s="25" t="s">
        <v>830</v>
      </c>
      <c r="C788" s="25" t="s">
        <v>25</v>
      </c>
      <c r="D788" s="26" t="s">
        <v>50</v>
      </c>
      <c r="E788" s="27">
        <v>4</v>
      </c>
      <c r="F788" s="28">
        <v>2666.2200000000003</v>
      </c>
      <c r="G788" s="29">
        <v>0.51</v>
      </c>
      <c r="H788" s="28">
        <f t="shared" si="26"/>
        <v>10664.880000000001</v>
      </c>
      <c r="I788" s="30">
        <v>45743</v>
      </c>
      <c r="J788" s="26" t="s">
        <v>43</v>
      </c>
      <c r="K788" s="26" t="s">
        <v>23</v>
      </c>
      <c r="L788" s="31">
        <f t="shared" si="27"/>
        <v>5225.7912000000006</v>
      </c>
      <c r="M788" s="31">
        <v>1462.24</v>
      </c>
      <c r="N788" s="22">
        <f>_xlfn.XLOOKUP(Snitch_Fashion_Sales_cleaned!$J788,Table2[City],Table2[City_Key],"not found")</f>
        <v>6</v>
      </c>
      <c r="O788" s="21">
        <f>_xlfn.XLOOKUP(Snitch_Fashion_Sales_cleaned!$D788,Table4[Product_Name],Table4[Product_Key],"not found")</f>
        <v>11</v>
      </c>
      <c r="P788" s="25">
        <f>_xlfn.XLOOKUP(Snitch_Fashion_Sales_cleaned!$I788,Table3[Order_Date],Table3[Date_Key])</f>
        <v>138</v>
      </c>
    </row>
    <row r="789" spans="1:16" x14ac:dyDescent="0.3">
      <c r="A789" s="34">
        <v>1787</v>
      </c>
      <c r="B789" s="32" t="s">
        <v>831</v>
      </c>
      <c r="C789" s="32" t="s">
        <v>28</v>
      </c>
      <c r="D789" s="33" t="s">
        <v>137</v>
      </c>
      <c r="E789" s="34">
        <v>6</v>
      </c>
      <c r="F789" s="35">
        <v>2338.04</v>
      </c>
      <c r="G789" s="36">
        <v>0.51</v>
      </c>
      <c r="H789" s="35">
        <f t="shared" si="26"/>
        <v>14028.24</v>
      </c>
      <c r="I789" s="37">
        <v>45612</v>
      </c>
      <c r="J789" s="33" t="s">
        <v>15</v>
      </c>
      <c r="K789" s="33" t="s">
        <v>16</v>
      </c>
      <c r="L789" s="38">
        <f t="shared" si="27"/>
        <v>6873.8375999999998</v>
      </c>
      <c r="M789" s="38">
        <v>1294</v>
      </c>
      <c r="N789" s="24">
        <f>_xlfn.XLOOKUP(Snitch_Fashion_Sales_cleaned!$J789,Table2[City],Table2[City_Key],"not found")</f>
        <v>1</v>
      </c>
      <c r="O789" s="23">
        <f>_xlfn.XLOOKUP(Snitch_Fashion_Sales_cleaned!$D789,Table4[Product_Name],Table4[Product_Key],"not found")</f>
        <v>24</v>
      </c>
      <c r="P789" s="32">
        <f>_xlfn.XLOOKUP(Snitch_Fashion_Sales_cleaned!$I789,Table3[Order_Date],Table3[Date_Key])</f>
        <v>365</v>
      </c>
    </row>
    <row r="790" spans="1:16" x14ac:dyDescent="0.3">
      <c r="A790" s="27">
        <v>1014</v>
      </c>
      <c r="B790" s="25" t="s">
        <v>832</v>
      </c>
      <c r="C790" s="25" t="s">
        <v>13</v>
      </c>
      <c r="D790" s="26" t="s">
        <v>14</v>
      </c>
      <c r="E790" s="27">
        <v>5</v>
      </c>
      <c r="F790" s="28">
        <v>2951.4</v>
      </c>
      <c r="G790" s="29">
        <v>0.51</v>
      </c>
      <c r="H790" s="28">
        <f t="shared" si="26"/>
        <v>14757</v>
      </c>
      <c r="I790" s="30">
        <v>45609</v>
      </c>
      <c r="J790" s="26" t="s">
        <v>15</v>
      </c>
      <c r="K790" s="26" t="s">
        <v>23</v>
      </c>
      <c r="L790" s="31">
        <f t="shared" si="27"/>
        <v>7230.93</v>
      </c>
      <c r="M790" s="31">
        <v>2811.87</v>
      </c>
      <c r="N790" s="22">
        <f>_xlfn.XLOOKUP(Snitch_Fashion_Sales_cleaned!$J790,Table2[City],Table2[City_Key],"not found")</f>
        <v>1</v>
      </c>
      <c r="O790" s="21">
        <f>_xlfn.XLOOKUP(Snitch_Fashion_Sales_cleaned!$D790,Table4[Product_Name],Table4[Product_Key],"not found")</f>
        <v>1</v>
      </c>
      <c r="P790" s="25">
        <f>_xlfn.XLOOKUP(Snitch_Fashion_Sales_cleaned!$I790,Table3[Order_Date],Table3[Date_Key])</f>
        <v>22</v>
      </c>
    </row>
    <row r="791" spans="1:16" x14ac:dyDescent="0.3">
      <c r="A791" s="34">
        <v>1789</v>
      </c>
      <c r="B791" s="32" t="s">
        <v>833</v>
      </c>
      <c r="C791" s="32" t="s">
        <v>20</v>
      </c>
      <c r="D791" s="33" t="s">
        <v>76</v>
      </c>
      <c r="E791" s="34">
        <v>3</v>
      </c>
      <c r="F791" s="35">
        <v>1433.92</v>
      </c>
      <c r="G791" s="36">
        <v>0.11</v>
      </c>
      <c r="H791" s="35">
        <f t="shared" si="26"/>
        <v>4301.76</v>
      </c>
      <c r="I791" s="37">
        <v>45771</v>
      </c>
      <c r="J791" s="33" t="s">
        <v>52</v>
      </c>
      <c r="K791" s="33" t="s">
        <v>16</v>
      </c>
      <c r="L791" s="38">
        <f t="shared" si="27"/>
        <v>3828.5664000000002</v>
      </c>
      <c r="M791" s="38">
        <v>315.07</v>
      </c>
      <c r="N791" s="24">
        <f>_xlfn.XLOOKUP(Snitch_Fashion_Sales_cleaned!$J791,Table2[City],Table2[City_Key],"not found")</f>
        <v>5</v>
      </c>
      <c r="O791" s="23">
        <f>_xlfn.XLOOKUP(Snitch_Fashion_Sales_cleaned!$D791,Table4[Product_Name],Table4[Product_Key],"not found")</f>
        <v>16</v>
      </c>
      <c r="P791" s="32">
        <f>_xlfn.XLOOKUP(Snitch_Fashion_Sales_cleaned!$I791,Table3[Order_Date],Table3[Date_Key])</f>
        <v>201</v>
      </c>
    </row>
    <row r="792" spans="1:16" x14ac:dyDescent="0.3">
      <c r="A792" s="27">
        <v>1790</v>
      </c>
      <c r="B792" s="25" t="s">
        <v>834</v>
      </c>
      <c r="C792" s="25" t="s">
        <v>20</v>
      </c>
      <c r="D792" s="26" t="s">
        <v>76</v>
      </c>
      <c r="E792" s="27">
        <v>1</v>
      </c>
      <c r="F792" s="28">
        <v>3268.42</v>
      </c>
      <c r="G792" s="29">
        <v>0.51</v>
      </c>
      <c r="H792" s="28">
        <f t="shared" si="26"/>
        <v>3268.42</v>
      </c>
      <c r="I792" s="30">
        <v>45793</v>
      </c>
      <c r="J792" s="26" t="s">
        <v>15</v>
      </c>
      <c r="K792" s="26" t="s">
        <v>16</v>
      </c>
      <c r="L792" s="31">
        <f t="shared" si="27"/>
        <v>1601.5258000000001</v>
      </c>
      <c r="M792" s="31">
        <v>259.67</v>
      </c>
      <c r="N792" s="22">
        <f>_xlfn.XLOOKUP(Snitch_Fashion_Sales_cleaned!$J792,Table2[City],Table2[City_Key],"not found")</f>
        <v>1</v>
      </c>
      <c r="O792" s="21">
        <f>_xlfn.XLOOKUP(Snitch_Fashion_Sales_cleaned!$D792,Table4[Product_Name],Table4[Product_Key],"not found")</f>
        <v>16</v>
      </c>
      <c r="P792" s="25">
        <f>_xlfn.XLOOKUP(Snitch_Fashion_Sales_cleaned!$I792,Table3[Order_Date],Table3[Date_Key])</f>
        <v>366</v>
      </c>
    </row>
    <row r="793" spans="1:16" x14ac:dyDescent="0.3">
      <c r="A793" s="34">
        <v>1791</v>
      </c>
      <c r="B793" s="32" t="s">
        <v>835</v>
      </c>
      <c r="C793" s="32" t="s">
        <v>36</v>
      </c>
      <c r="D793" s="33" t="s">
        <v>37</v>
      </c>
      <c r="E793" s="34">
        <v>4</v>
      </c>
      <c r="F793" s="35">
        <v>2123.69</v>
      </c>
      <c r="G793" s="36">
        <v>0.69</v>
      </c>
      <c r="H793" s="35">
        <f t="shared" si="26"/>
        <v>8494.76</v>
      </c>
      <c r="I793" s="37">
        <v>45655</v>
      </c>
      <c r="J793" s="33" t="s">
        <v>2540</v>
      </c>
      <c r="K793" s="33" t="s">
        <v>16</v>
      </c>
      <c r="L793" s="38">
        <f t="shared" si="27"/>
        <v>2633.3756000000003</v>
      </c>
      <c r="M793" s="38">
        <v>658.34390000000008</v>
      </c>
      <c r="N793" s="24">
        <f>_xlfn.XLOOKUP(Snitch_Fashion_Sales_cleaned!$J793,Table2[City],Table2[City_Key],"not found")</f>
        <v>4</v>
      </c>
      <c r="O793" s="23">
        <f>_xlfn.XLOOKUP(Snitch_Fashion_Sales_cleaned!$D793,Table4[Product_Name],Table4[Product_Key],"not found")</f>
        <v>7</v>
      </c>
      <c r="P793" s="32">
        <f>_xlfn.XLOOKUP(Snitch_Fashion_Sales_cleaned!$I793,Table3[Order_Date],Table3[Date_Key])</f>
        <v>269</v>
      </c>
    </row>
    <row r="794" spans="1:16" x14ac:dyDescent="0.3">
      <c r="A794" s="27">
        <v>1792</v>
      </c>
      <c r="B794" s="25" t="s">
        <v>836</v>
      </c>
      <c r="C794" s="25" t="s">
        <v>13</v>
      </c>
      <c r="D794" s="26" t="s">
        <v>34</v>
      </c>
      <c r="E794" s="27">
        <v>3</v>
      </c>
      <c r="F794" s="28">
        <v>3008.6549999999997</v>
      </c>
      <c r="G794" s="29">
        <v>0.83</v>
      </c>
      <c r="H794" s="28">
        <f t="shared" si="26"/>
        <v>9025.9650000000001</v>
      </c>
      <c r="I794" s="30">
        <v>45696</v>
      </c>
      <c r="J794" s="26" t="s">
        <v>22</v>
      </c>
      <c r="K794" s="26" t="s">
        <v>23</v>
      </c>
      <c r="L794" s="31">
        <f t="shared" si="27"/>
        <v>1534.4140500000003</v>
      </c>
      <c r="M794" s="31">
        <v>-116.82</v>
      </c>
      <c r="N794" s="22">
        <f>_xlfn.XLOOKUP(Snitch_Fashion_Sales_cleaned!$J794,Table2[City],Table2[City_Key],"not found")</f>
        <v>3</v>
      </c>
      <c r="O794" s="21">
        <f>_xlfn.XLOOKUP(Snitch_Fashion_Sales_cleaned!$D794,Table4[Product_Name],Table4[Product_Key],"not found")</f>
        <v>6</v>
      </c>
      <c r="P794" s="25">
        <f>_xlfn.XLOOKUP(Snitch_Fashion_Sales_cleaned!$I794,Table3[Order_Date],Table3[Date_Key])</f>
        <v>367</v>
      </c>
    </row>
    <row r="795" spans="1:16" x14ac:dyDescent="0.3">
      <c r="A795" s="34">
        <v>1793</v>
      </c>
      <c r="B795" s="32" t="s">
        <v>837</v>
      </c>
      <c r="C795" s="32" t="s">
        <v>36</v>
      </c>
      <c r="D795" s="33" t="s">
        <v>55</v>
      </c>
      <c r="E795" s="34">
        <v>5</v>
      </c>
      <c r="F795" s="35">
        <v>1887.84</v>
      </c>
      <c r="G795" s="36">
        <v>0.51</v>
      </c>
      <c r="H795" s="35">
        <f t="shared" si="26"/>
        <v>9439.1999999999989</v>
      </c>
      <c r="I795" s="37">
        <v>45525</v>
      </c>
      <c r="J795" s="33" t="s">
        <v>18</v>
      </c>
      <c r="K795" s="33" t="s">
        <v>16</v>
      </c>
      <c r="L795" s="38">
        <f t="shared" si="27"/>
        <v>4625.2079999999996</v>
      </c>
      <c r="M795" s="38">
        <v>1275.03</v>
      </c>
      <c r="N795" s="24">
        <f>_xlfn.XLOOKUP(Snitch_Fashion_Sales_cleaned!$J795,Table2[City],Table2[City_Key],"not found")</f>
        <v>2</v>
      </c>
      <c r="O795" s="23">
        <f>_xlfn.XLOOKUP(Snitch_Fashion_Sales_cleaned!$D795,Table4[Product_Name],Table4[Product_Key],"not found")</f>
        <v>12</v>
      </c>
      <c r="P795" s="32">
        <f>_xlfn.XLOOKUP(Snitch_Fashion_Sales_cleaned!$I795,Table3[Order_Date],Table3[Date_Key])</f>
        <v>169</v>
      </c>
    </row>
    <row r="796" spans="1:16" x14ac:dyDescent="0.3">
      <c r="A796" s="27">
        <v>1794</v>
      </c>
      <c r="B796" s="25" t="s">
        <v>838</v>
      </c>
      <c r="C796" s="25" t="s">
        <v>20</v>
      </c>
      <c r="D796" s="26" t="s">
        <v>84</v>
      </c>
      <c r="E796" s="27">
        <v>3</v>
      </c>
      <c r="F796" s="28">
        <v>2537.59</v>
      </c>
      <c r="G796" s="29">
        <v>0.51</v>
      </c>
      <c r="H796" s="28">
        <f t="shared" si="26"/>
        <v>7612.77</v>
      </c>
      <c r="I796" s="30">
        <v>45818</v>
      </c>
      <c r="J796" s="26" t="s">
        <v>2540</v>
      </c>
      <c r="K796" s="26" t="s">
        <v>23</v>
      </c>
      <c r="L796" s="31">
        <f t="shared" si="27"/>
        <v>3730.2573000000002</v>
      </c>
      <c r="M796" s="31">
        <v>2115.2600000000002</v>
      </c>
      <c r="N796" s="22">
        <f>_xlfn.XLOOKUP(Snitch_Fashion_Sales_cleaned!$J796,Table2[City],Table2[City_Key],"not found")</f>
        <v>4</v>
      </c>
      <c r="O796" s="21">
        <f>_xlfn.XLOOKUP(Snitch_Fashion_Sales_cleaned!$D796,Table4[Product_Name],Table4[Product_Key],"not found")</f>
        <v>19</v>
      </c>
      <c r="P796" s="25">
        <f>_xlfn.XLOOKUP(Snitch_Fashion_Sales_cleaned!$I796,Table3[Order_Date],Table3[Date_Key])</f>
        <v>212</v>
      </c>
    </row>
    <row r="797" spans="1:16" x14ac:dyDescent="0.3">
      <c r="A797" s="34">
        <v>1795</v>
      </c>
      <c r="B797" s="32" t="s">
        <v>839</v>
      </c>
      <c r="C797" s="32" t="s">
        <v>28</v>
      </c>
      <c r="D797" s="33" t="s">
        <v>137</v>
      </c>
      <c r="E797" s="34">
        <v>3.5</v>
      </c>
      <c r="F797" s="35">
        <v>2338.04</v>
      </c>
      <c r="G797" s="36">
        <v>0.51</v>
      </c>
      <c r="H797" s="35">
        <f t="shared" si="26"/>
        <v>8183.1399999999994</v>
      </c>
      <c r="I797" s="37">
        <v>45769</v>
      </c>
      <c r="J797" s="33" t="s">
        <v>52</v>
      </c>
      <c r="K797" s="33" t="s">
        <v>16</v>
      </c>
      <c r="L797" s="38">
        <f t="shared" si="27"/>
        <v>4009.7385999999997</v>
      </c>
      <c r="M797" s="38">
        <v>301.5</v>
      </c>
      <c r="N797" s="24">
        <f>_xlfn.XLOOKUP(Snitch_Fashion_Sales_cleaned!$J797,Table2[City],Table2[City_Key],"not found")</f>
        <v>5</v>
      </c>
      <c r="O797" s="23">
        <f>_xlfn.XLOOKUP(Snitch_Fashion_Sales_cleaned!$D797,Table4[Product_Name],Table4[Product_Key],"not found")</f>
        <v>24</v>
      </c>
      <c r="P797" s="32">
        <f>_xlfn.XLOOKUP(Snitch_Fashion_Sales_cleaned!$I797,Table3[Order_Date],Table3[Date_Key])</f>
        <v>187</v>
      </c>
    </row>
    <row r="798" spans="1:16" x14ac:dyDescent="0.3">
      <c r="A798" s="27">
        <v>1796</v>
      </c>
      <c r="B798" s="25" t="s">
        <v>840</v>
      </c>
      <c r="C798" s="25" t="s">
        <v>36</v>
      </c>
      <c r="D798" s="26" t="s">
        <v>55</v>
      </c>
      <c r="E798" s="27">
        <v>3</v>
      </c>
      <c r="F798" s="28">
        <v>2731.6350000000002</v>
      </c>
      <c r="G798" s="29">
        <v>0.94</v>
      </c>
      <c r="H798" s="28">
        <f t="shared" si="26"/>
        <v>8194.9050000000007</v>
      </c>
      <c r="I798" s="30">
        <v>45647</v>
      </c>
      <c r="J798" s="26" t="s">
        <v>43</v>
      </c>
      <c r="K798" s="26" t="s">
        <v>23</v>
      </c>
      <c r="L798" s="31">
        <f t="shared" si="27"/>
        <v>491.69430000000045</v>
      </c>
      <c r="M798" s="31">
        <v>-851</v>
      </c>
      <c r="N798" s="22">
        <f>_xlfn.XLOOKUP(Snitch_Fashion_Sales_cleaned!$J798,Table2[City],Table2[City_Key],"not found")</f>
        <v>6</v>
      </c>
      <c r="O798" s="21">
        <f>_xlfn.XLOOKUP(Snitch_Fashion_Sales_cleaned!$D798,Table4[Product_Name],Table4[Product_Key],"not found")</f>
        <v>12</v>
      </c>
      <c r="P798" s="25">
        <f>_xlfn.XLOOKUP(Snitch_Fashion_Sales_cleaned!$I798,Table3[Order_Date],Table3[Date_Key])</f>
        <v>5</v>
      </c>
    </row>
    <row r="799" spans="1:16" x14ac:dyDescent="0.3">
      <c r="A799" s="34">
        <v>1797</v>
      </c>
      <c r="B799" s="32" t="s">
        <v>841</v>
      </c>
      <c r="C799" s="32" t="s">
        <v>36</v>
      </c>
      <c r="D799" s="33" t="s">
        <v>37</v>
      </c>
      <c r="E799" s="34">
        <v>4</v>
      </c>
      <c r="F799" s="35">
        <v>4305.0200000000004</v>
      </c>
      <c r="G799" s="36">
        <v>0.51</v>
      </c>
      <c r="H799" s="35">
        <f t="shared" si="26"/>
        <v>17220.080000000002</v>
      </c>
      <c r="I799" s="37">
        <v>45663</v>
      </c>
      <c r="J799" s="33" t="s">
        <v>18</v>
      </c>
      <c r="K799" s="33" t="s">
        <v>23</v>
      </c>
      <c r="L799" s="38">
        <f t="shared" si="27"/>
        <v>8437.8392000000003</v>
      </c>
      <c r="M799" s="38">
        <v>2296.37</v>
      </c>
      <c r="N799" s="24">
        <f>_xlfn.XLOOKUP(Snitch_Fashion_Sales_cleaned!$J799,Table2[City],Table2[City_Key],"not found")</f>
        <v>2</v>
      </c>
      <c r="O799" s="23">
        <f>_xlfn.XLOOKUP(Snitch_Fashion_Sales_cleaned!$D799,Table4[Product_Name],Table4[Product_Key],"not found")</f>
        <v>7</v>
      </c>
      <c r="P799" s="32">
        <f>_xlfn.XLOOKUP(Snitch_Fashion_Sales_cleaned!$I799,Table3[Order_Date],Table3[Date_Key])</f>
        <v>292</v>
      </c>
    </row>
    <row r="800" spans="1:16" x14ac:dyDescent="0.3">
      <c r="A800" s="27">
        <v>1798</v>
      </c>
      <c r="B800" s="25" t="s">
        <v>842</v>
      </c>
      <c r="C800" s="25" t="s">
        <v>25</v>
      </c>
      <c r="D800" s="26" t="s">
        <v>82</v>
      </c>
      <c r="E800" s="27">
        <v>3</v>
      </c>
      <c r="F800" s="28">
        <v>2490.16</v>
      </c>
      <c r="G800" s="29">
        <v>0.51</v>
      </c>
      <c r="H800" s="28">
        <f t="shared" si="26"/>
        <v>7470.48</v>
      </c>
      <c r="I800" s="30">
        <v>45859</v>
      </c>
      <c r="J800" s="26" t="s">
        <v>22</v>
      </c>
      <c r="K800" s="26" t="s">
        <v>23</v>
      </c>
      <c r="L800" s="31">
        <f t="shared" si="27"/>
        <v>3660.5351999999998</v>
      </c>
      <c r="M800" s="31">
        <v>905.43</v>
      </c>
      <c r="N800" s="22">
        <f>_xlfn.XLOOKUP(Snitch_Fashion_Sales_cleaned!$J800,Table2[City],Table2[City_Key],"not found")</f>
        <v>3</v>
      </c>
      <c r="O800" s="21">
        <f>_xlfn.XLOOKUP(Snitch_Fashion_Sales_cleaned!$D800,Table4[Product_Name],Table4[Product_Key],"not found")</f>
        <v>18</v>
      </c>
      <c r="P800" s="25">
        <f>_xlfn.XLOOKUP(Snitch_Fashion_Sales_cleaned!$I800,Table3[Order_Date],Table3[Date_Key])</f>
        <v>38</v>
      </c>
    </row>
    <row r="801" spans="1:16" x14ac:dyDescent="0.3">
      <c r="A801" s="34">
        <v>1799</v>
      </c>
      <c r="B801" s="32" t="s">
        <v>843</v>
      </c>
      <c r="C801" s="32" t="s">
        <v>25</v>
      </c>
      <c r="D801" s="33" t="s">
        <v>82</v>
      </c>
      <c r="E801" s="34">
        <v>3</v>
      </c>
      <c r="F801" s="35">
        <v>1101.5</v>
      </c>
      <c r="G801" s="36">
        <v>0.81</v>
      </c>
      <c r="H801" s="35">
        <f t="shared" si="26"/>
        <v>3304.5</v>
      </c>
      <c r="I801" s="37">
        <v>45647</v>
      </c>
      <c r="J801" s="33" t="s">
        <v>22</v>
      </c>
      <c r="K801" s="33" t="s">
        <v>23</v>
      </c>
      <c r="L801" s="38">
        <f t="shared" si="27"/>
        <v>627.85499999999979</v>
      </c>
      <c r="M801" s="38">
        <v>-967.63</v>
      </c>
      <c r="N801" s="24">
        <f>_xlfn.XLOOKUP(Snitch_Fashion_Sales_cleaned!$J801,Table2[City],Table2[City_Key],"not found")</f>
        <v>3</v>
      </c>
      <c r="O801" s="23">
        <f>_xlfn.XLOOKUP(Snitch_Fashion_Sales_cleaned!$D801,Table4[Product_Name],Table4[Product_Key],"not found")</f>
        <v>18</v>
      </c>
      <c r="P801" s="32">
        <f>_xlfn.XLOOKUP(Snitch_Fashion_Sales_cleaned!$I801,Table3[Order_Date],Table3[Date_Key])</f>
        <v>5</v>
      </c>
    </row>
    <row r="802" spans="1:16" x14ac:dyDescent="0.3">
      <c r="A802" s="27">
        <v>1800</v>
      </c>
      <c r="B802" s="25" t="s">
        <v>844</v>
      </c>
      <c r="C802" s="25" t="s">
        <v>20</v>
      </c>
      <c r="D802" s="26" t="s">
        <v>21</v>
      </c>
      <c r="E802" s="27">
        <v>6</v>
      </c>
      <c r="F802" s="28">
        <v>2579.8000000000002</v>
      </c>
      <c r="G802" s="29">
        <v>0.93</v>
      </c>
      <c r="H802" s="28">
        <f t="shared" si="26"/>
        <v>15478.800000000001</v>
      </c>
      <c r="I802" s="30">
        <v>45680</v>
      </c>
      <c r="J802" s="26" t="s">
        <v>22</v>
      </c>
      <c r="K802" s="26" t="s">
        <v>23</v>
      </c>
      <c r="L802" s="31">
        <f t="shared" si="27"/>
        <v>1083.5159999999994</v>
      </c>
      <c r="M802" s="31">
        <v>855.26</v>
      </c>
      <c r="N802" s="22">
        <f>_xlfn.XLOOKUP(Snitch_Fashion_Sales_cleaned!$J802,Table2[City],Table2[City_Key],"not found")</f>
        <v>3</v>
      </c>
      <c r="O802" s="21">
        <f>_xlfn.XLOOKUP(Snitch_Fashion_Sales_cleaned!$D802,Table4[Product_Name],Table4[Product_Key],"not found")</f>
        <v>2</v>
      </c>
      <c r="P802" s="25">
        <f>_xlfn.XLOOKUP(Snitch_Fashion_Sales_cleaned!$I802,Table3[Order_Date],Table3[Date_Key])</f>
        <v>94</v>
      </c>
    </row>
    <row r="803" spans="1:16" x14ac:dyDescent="0.3">
      <c r="A803" s="34">
        <v>1801</v>
      </c>
      <c r="B803" s="32" t="s">
        <v>845</v>
      </c>
      <c r="C803" s="32" t="s">
        <v>25</v>
      </c>
      <c r="D803" s="33" t="s">
        <v>50</v>
      </c>
      <c r="E803" s="34">
        <v>4</v>
      </c>
      <c r="F803" s="35">
        <v>2666.2200000000003</v>
      </c>
      <c r="G803" s="36">
        <v>0.51</v>
      </c>
      <c r="H803" s="35">
        <f t="shared" si="26"/>
        <v>10664.880000000001</v>
      </c>
      <c r="I803" s="37">
        <v>45770</v>
      </c>
      <c r="J803" s="33" t="s">
        <v>2540</v>
      </c>
      <c r="K803" s="33" t="s">
        <v>16</v>
      </c>
      <c r="L803" s="38">
        <f t="shared" si="27"/>
        <v>5225.7912000000006</v>
      </c>
      <c r="M803" s="38">
        <v>1463.67</v>
      </c>
      <c r="N803" s="24">
        <f>_xlfn.XLOOKUP(Snitch_Fashion_Sales_cleaned!$J803,Table2[City],Table2[City_Key],"not found")</f>
        <v>4</v>
      </c>
      <c r="O803" s="23">
        <f>_xlfn.XLOOKUP(Snitch_Fashion_Sales_cleaned!$D803,Table4[Product_Name],Table4[Product_Key],"not found")</f>
        <v>11</v>
      </c>
      <c r="P803" s="32">
        <f>_xlfn.XLOOKUP(Snitch_Fashion_Sales_cleaned!$I803,Table3[Order_Date],Table3[Date_Key])</f>
        <v>87</v>
      </c>
    </row>
    <row r="804" spans="1:16" x14ac:dyDescent="0.3">
      <c r="A804" s="27">
        <v>1802</v>
      </c>
      <c r="B804" s="25" t="s">
        <v>846</v>
      </c>
      <c r="C804" s="25" t="s">
        <v>25</v>
      </c>
      <c r="D804" s="26" t="s">
        <v>62</v>
      </c>
      <c r="E804" s="27">
        <v>4</v>
      </c>
      <c r="F804" s="28">
        <v>2538.0450000000001</v>
      </c>
      <c r="G804" s="29">
        <v>0.51</v>
      </c>
      <c r="H804" s="28">
        <f t="shared" si="26"/>
        <v>10152.18</v>
      </c>
      <c r="I804" s="30">
        <v>45708</v>
      </c>
      <c r="J804" s="26" t="s">
        <v>15</v>
      </c>
      <c r="K804" s="26" t="s">
        <v>23</v>
      </c>
      <c r="L804" s="31">
        <f t="shared" si="27"/>
        <v>4974.5681999999997</v>
      </c>
      <c r="M804" s="31">
        <v>-618.71</v>
      </c>
      <c r="N804" s="22">
        <f>_xlfn.XLOOKUP(Snitch_Fashion_Sales_cleaned!$J804,Table2[City],Table2[City_Key],"not found")</f>
        <v>1</v>
      </c>
      <c r="O804" s="21">
        <f>_xlfn.XLOOKUP(Snitch_Fashion_Sales_cleaned!$D804,Table4[Product_Name],Table4[Product_Key],"not found")</f>
        <v>14</v>
      </c>
      <c r="P804" s="25">
        <f>_xlfn.XLOOKUP(Snitch_Fashion_Sales_cleaned!$I804,Table3[Order_Date],Table3[Date_Key])</f>
        <v>258</v>
      </c>
    </row>
    <row r="805" spans="1:16" x14ac:dyDescent="0.3">
      <c r="A805" s="34">
        <v>1803</v>
      </c>
      <c r="B805" s="32" t="s">
        <v>847</v>
      </c>
      <c r="C805" s="32" t="s">
        <v>28</v>
      </c>
      <c r="D805" s="33" t="s">
        <v>39</v>
      </c>
      <c r="E805" s="34">
        <v>3</v>
      </c>
      <c r="F805" s="35">
        <v>2577.6350000000002</v>
      </c>
      <c r="G805" s="36">
        <v>0.51</v>
      </c>
      <c r="H805" s="35">
        <f t="shared" si="26"/>
        <v>7732.9050000000007</v>
      </c>
      <c r="I805" s="37">
        <v>45647</v>
      </c>
      <c r="J805" s="33" t="s">
        <v>22</v>
      </c>
      <c r="K805" s="33" t="s">
        <v>23</v>
      </c>
      <c r="L805" s="38">
        <f t="shared" si="27"/>
        <v>3789.12345</v>
      </c>
      <c r="M805" s="38">
        <v>409.58</v>
      </c>
      <c r="N805" s="24">
        <f>_xlfn.XLOOKUP(Snitch_Fashion_Sales_cleaned!$J805,Table2[City],Table2[City_Key],"not found")</f>
        <v>3</v>
      </c>
      <c r="O805" s="23">
        <f>_xlfn.XLOOKUP(Snitch_Fashion_Sales_cleaned!$D805,Table4[Product_Name],Table4[Product_Key],"not found")</f>
        <v>8</v>
      </c>
      <c r="P805" s="32">
        <f>_xlfn.XLOOKUP(Snitch_Fashion_Sales_cleaned!$I805,Table3[Order_Date],Table3[Date_Key])</f>
        <v>5</v>
      </c>
    </row>
    <row r="806" spans="1:16" x14ac:dyDescent="0.3">
      <c r="A806" s="27">
        <v>1804</v>
      </c>
      <c r="B806" s="25" t="s">
        <v>848</v>
      </c>
      <c r="C806" s="25" t="s">
        <v>36</v>
      </c>
      <c r="D806" s="26" t="s">
        <v>55</v>
      </c>
      <c r="E806" s="27">
        <v>3</v>
      </c>
      <c r="F806" s="28">
        <v>2731.6350000000002</v>
      </c>
      <c r="G806" s="29">
        <v>0.51</v>
      </c>
      <c r="H806" s="28">
        <f t="shared" si="26"/>
        <v>8194.9050000000007</v>
      </c>
      <c r="I806" s="30">
        <v>45779</v>
      </c>
      <c r="J806" s="26" t="s">
        <v>22</v>
      </c>
      <c r="K806" s="26" t="s">
        <v>23</v>
      </c>
      <c r="L806" s="31">
        <f t="shared" si="27"/>
        <v>4015.5034500000002</v>
      </c>
      <c r="M806" s="31">
        <v>1896.92</v>
      </c>
      <c r="N806" s="22">
        <f>_xlfn.XLOOKUP(Snitch_Fashion_Sales_cleaned!$J806,Table2[City],Table2[City_Key],"not found")</f>
        <v>3</v>
      </c>
      <c r="O806" s="21">
        <f>_xlfn.XLOOKUP(Snitch_Fashion_Sales_cleaned!$D806,Table4[Product_Name],Table4[Product_Key],"not found")</f>
        <v>12</v>
      </c>
      <c r="P806" s="25">
        <f>_xlfn.XLOOKUP(Snitch_Fashion_Sales_cleaned!$I806,Table3[Order_Date],Table3[Date_Key])</f>
        <v>74</v>
      </c>
    </row>
    <row r="807" spans="1:16" x14ac:dyDescent="0.3">
      <c r="A807" s="34">
        <v>1036</v>
      </c>
      <c r="B807" s="32" t="s">
        <v>849</v>
      </c>
      <c r="C807" s="32" t="s">
        <v>28</v>
      </c>
      <c r="D807" s="33" t="s">
        <v>39</v>
      </c>
      <c r="E807" s="34">
        <v>1</v>
      </c>
      <c r="F807" s="35">
        <v>1534.98</v>
      </c>
      <c r="G807" s="36">
        <v>0.51</v>
      </c>
      <c r="H807" s="35">
        <f t="shared" si="26"/>
        <v>1534.98</v>
      </c>
      <c r="I807" s="37">
        <v>45505</v>
      </c>
      <c r="J807" s="33" t="s">
        <v>2540</v>
      </c>
      <c r="K807" s="33" t="s">
        <v>23</v>
      </c>
      <c r="L807" s="38">
        <f t="shared" si="27"/>
        <v>752.14020000000005</v>
      </c>
      <c r="M807" s="38">
        <v>188.03505000000001</v>
      </c>
      <c r="N807" s="24">
        <f>_xlfn.XLOOKUP(Snitch_Fashion_Sales_cleaned!$J807,Table2[City],Table2[City_Key],"not found")</f>
        <v>4</v>
      </c>
      <c r="O807" s="23">
        <f>_xlfn.XLOOKUP(Snitch_Fashion_Sales_cleaned!$D807,Table4[Product_Name],Table4[Product_Key],"not found")</f>
        <v>8</v>
      </c>
      <c r="P807" s="32">
        <f>_xlfn.XLOOKUP(Snitch_Fashion_Sales_cleaned!$I807,Table3[Order_Date],Table3[Date_Key])</f>
        <v>363</v>
      </c>
    </row>
    <row r="808" spans="1:16" x14ac:dyDescent="0.3">
      <c r="A808" s="27">
        <v>1806</v>
      </c>
      <c r="B808" s="25" t="s">
        <v>850</v>
      </c>
      <c r="C808" s="25" t="s">
        <v>36</v>
      </c>
      <c r="D808" s="26" t="s">
        <v>55</v>
      </c>
      <c r="E808" s="27">
        <v>1</v>
      </c>
      <c r="F808" s="28">
        <v>2731.6350000000002</v>
      </c>
      <c r="G808" s="29">
        <v>0.51</v>
      </c>
      <c r="H808" s="28">
        <f t="shared" si="26"/>
        <v>2731.6350000000002</v>
      </c>
      <c r="I808" s="30">
        <v>45695</v>
      </c>
      <c r="J808" s="26" t="s">
        <v>43</v>
      </c>
      <c r="K808" s="26" t="s">
        <v>16</v>
      </c>
      <c r="L808" s="31">
        <f t="shared" si="27"/>
        <v>1338.5011500000001</v>
      </c>
      <c r="M808" s="31">
        <v>1003.57</v>
      </c>
      <c r="N808" s="22">
        <f>_xlfn.XLOOKUP(Snitch_Fashion_Sales_cleaned!$J808,Table2[City],Table2[City_Key],"not found")</f>
        <v>6</v>
      </c>
      <c r="O808" s="21">
        <f>_xlfn.XLOOKUP(Snitch_Fashion_Sales_cleaned!$D808,Table4[Product_Name],Table4[Product_Key],"not found")</f>
        <v>12</v>
      </c>
      <c r="P808" s="25">
        <f>_xlfn.XLOOKUP(Snitch_Fashion_Sales_cleaned!$I808,Table3[Order_Date],Table3[Date_Key])</f>
        <v>324</v>
      </c>
    </row>
    <row r="809" spans="1:16" x14ac:dyDescent="0.3">
      <c r="A809" s="34">
        <v>1807</v>
      </c>
      <c r="B809" s="32" t="s">
        <v>851</v>
      </c>
      <c r="C809" s="32" t="s">
        <v>13</v>
      </c>
      <c r="D809" s="33" t="s">
        <v>34</v>
      </c>
      <c r="E809" s="34">
        <v>4</v>
      </c>
      <c r="F809" s="35">
        <v>2308.12</v>
      </c>
      <c r="G809" s="36">
        <v>0.51</v>
      </c>
      <c r="H809" s="35">
        <f t="shared" si="26"/>
        <v>9232.48</v>
      </c>
      <c r="I809" s="37">
        <v>45811</v>
      </c>
      <c r="J809" s="33" t="s">
        <v>2540</v>
      </c>
      <c r="K809" s="33" t="s">
        <v>16</v>
      </c>
      <c r="L809" s="38">
        <f t="shared" si="27"/>
        <v>4523.9151999999995</v>
      </c>
      <c r="M809" s="38">
        <v>362.88</v>
      </c>
      <c r="N809" s="24">
        <f>_xlfn.XLOOKUP(Snitch_Fashion_Sales_cleaned!$J809,Table2[City],Table2[City_Key],"not found")</f>
        <v>4</v>
      </c>
      <c r="O809" s="23">
        <f>_xlfn.XLOOKUP(Snitch_Fashion_Sales_cleaned!$D809,Table4[Product_Name],Table4[Product_Key],"not found")</f>
        <v>6</v>
      </c>
      <c r="P809" s="32">
        <f>_xlfn.XLOOKUP(Snitch_Fashion_Sales_cleaned!$I809,Table3[Order_Date],Table3[Date_Key])</f>
        <v>368</v>
      </c>
    </row>
    <row r="810" spans="1:16" x14ac:dyDescent="0.3">
      <c r="A810" s="27">
        <v>1808</v>
      </c>
      <c r="B810" s="25" t="s">
        <v>471</v>
      </c>
      <c r="C810" s="25" t="s">
        <v>31</v>
      </c>
      <c r="D810" s="26" t="s">
        <v>41</v>
      </c>
      <c r="E810" s="27">
        <v>3</v>
      </c>
      <c r="F810" s="28">
        <v>4582.21</v>
      </c>
      <c r="G810" s="29">
        <v>0.7</v>
      </c>
      <c r="H810" s="28">
        <f t="shared" si="26"/>
        <v>13746.630000000001</v>
      </c>
      <c r="I810" s="30">
        <v>45647</v>
      </c>
      <c r="J810" s="26" t="s">
        <v>2540</v>
      </c>
      <c r="K810" s="26" t="s">
        <v>23</v>
      </c>
      <c r="L810" s="31">
        <f t="shared" si="27"/>
        <v>4123.9890000000005</v>
      </c>
      <c r="M810" s="31">
        <v>-67.84</v>
      </c>
      <c r="N810" s="22">
        <f>_xlfn.XLOOKUP(Snitch_Fashion_Sales_cleaned!$J810,Table2[City],Table2[City_Key],"not found")</f>
        <v>4</v>
      </c>
      <c r="O810" s="21">
        <f>_xlfn.XLOOKUP(Snitch_Fashion_Sales_cleaned!$D810,Table4[Product_Name],Table4[Product_Key],"not found")</f>
        <v>9</v>
      </c>
      <c r="P810" s="25">
        <f>_xlfn.XLOOKUP(Snitch_Fashion_Sales_cleaned!$I810,Table3[Order_Date],Table3[Date_Key])</f>
        <v>5</v>
      </c>
    </row>
    <row r="811" spans="1:16" x14ac:dyDescent="0.3">
      <c r="A811" s="34">
        <v>1809</v>
      </c>
      <c r="B811" s="32" t="s">
        <v>852</v>
      </c>
      <c r="C811" s="32" t="s">
        <v>36</v>
      </c>
      <c r="D811" s="33" t="s">
        <v>59</v>
      </c>
      <c r="E811" s="34">
        <v>3</v>
      </c>
      <c r="F811" s="35">
        <v>3799.39</v>
      </c>
      <c r="G811" s="36">
        <v>0.76</v>
      </c>
      <c r="H811" s="35">
        <f t="shared" si="26"/>
        <v>11398.17</v>
      </c>
      <c r="I811" s="37">
        <v>45602</v>
      </c>
      <c r="J811" s="33" t="s">
        <v>2540</v>
      </c>
      <c r="K811" s="33" t="s">
        <v>23</v>
      </c>
      <c r="L811" s="38">
        <f t="shared" si="27"/>
        <v>2735.5607999999997</v>
      </c>
      <c r="M811" s="38">
        <v>-599.61</v>
      </c>
      <c r="N811" s="24">
        <f>_xlfn.XLOOKUP(Snitch_Fashion_Sales_cleaned!$J811,Table2[City],Table2[City_Key],"not found")</f>
        <v>4</v>
      </c>
      <c r="O811" s="23">
        <f>_xlfn.XLOOKUP(Snitch_Fashion_Sales_cleaned!$D811,Table4[Product_Name],Table4[Product_Key],"not found")</f>
        <v>13</v>
      </c>
      <c r="P811" s="32">
        <f>_xlfn.XLOOKUP(Snitch_Fashion_Sales_cleaned!$I811,Table3[Order_Date],Table3[Date_Key])</f>
        <v>91</v>
      </c>
    </row>
    <row r="812" spans="1:16" x14ac:dyDescent="0.3">
      <c r="A812" s="27">
        <v>1810</v>
      </c>
      <c r="B812" s="25" t="s">
        <v>853</v>
      </c>
      <c r="C812" s="25" t="s">
        <v>28</v>
      </c>
      <c r="D812" s="26" t="s">
        <v>39</v>
      </c>
      <c r="E812" s="27">
        <v>3</v>
      </c>
      <c r="F812" s="28">
        <v>2577.6350000000002</v>
      </c>
      <c r="G812" s="29">
        <v>0.39</v>
      </c>
      <c r="H812" s="28">
        <f t="shared" si="26"/>
        <v>7732.9050000000007</v>
      </c>
      <c r="I812" s="30">
        <v>45776</v>
      </c>
      <c r="J812" s="26" t="s">
        <v>22</v>
      </c>
      <c r="K812" s="26" t="s">
        <v>23</v>
      </c>
      <c r="L812" s="31">
        <f t="shared" si="27"/>
        <v>4717.0720500000007</v>
      </c>
      <c r="M812" s="31">
        <v>-148.03</v>
      </c>
      <c r="N812" s="22">
        <f>_xlfn.XLOOKUP(Snitch_Fashion_Sales_cleaned!$J812,Table2[City],Table2[City_Key],"not found")</f>
        <v>3</v>
      </c>
      <c r="O812" s="21">
        <f>_xlfn.XLOOKUP(Snitch_Fashion_Sales_cleaned!$D812,Table4[Product_Name],Table4[Product_Key],"not found")</f>
        <v>8</v>
      </c>
      <c r="P812" s="25">
        <f>_xlfn.XLOOKUP(Snitch_Fashion_Sales_cleaned!$I812,Table3[Order_Date],Table3[Date_Key])</f>
        <v>239</v>
      </c>
    </row>
    <row r="813" spans="1:16" x14ac:dyDescent="0.3">
      <c r="A813" s="34">
        <v>1811</v>
      </c>
      <c r="B813" s="32" t="s">
        <v>854</v>
      </c>
      <c r="C813" s="32" t="s">
        <v>25</v>
      </c>
      <c r="D813" s="33" t="s">
        <v>82</v>
      </c>
      <c r="E813" s="34">
        <v>2</v>
      </c>
      <c r="F813" s="35">
        <v>2385.5749999999998</v>
      </c>
      <c r="G813" s="36">
        <v>0.99</v>
      </c>
      <c r="H813" s="35">
        <f t="shared" si="26"/>
        <v>4771.1499999999996</v>
      </c>
      <c r="I813" s="37">
        <v>45492</v>
      </c>
      <c r="J813" s="33" t="s">
        <v>2540</v>
      </c>
      <c r="K813" s="33" t="s">
        <v>23</v>
      </c>
      <c r="L813" s="38">
        <f t="shared" si="27"/>
        <v>47.711500000000036</v>
      </c>
      <c r="M813" s="38">
        <v>11.927875000000009</v>
      </c>
      <c r="N813" s="24">
        <f>_xlfn.XLOOKUP(Snitch_Fashion_Sales_cleaned!$J813,Table2[City],Table2[City_Key],"not found")</f>
        <v>4</v>
      </c>
      <c r="O813" s="23">
        <f>_xlfn.XLOOKUP(Snitch_Fashion_Sales_cleaned!$D813,Table4[Product_Name],Table4[Product_Key],"not found")</f>
        <v>18</v>
      </c>
      <c r="P813" s="32">
        <f>_xlfn.XLOOKUP(Snitch_Fashion_Sales_cleaned!$I813,Table3[Order_Date],Table3[Date_Key])</f>
        <v>369</v>
      </c>
    </row>
    <row r="814" spans="1:16" x14ac:dyDescent="0.3">
      <c r="A814" s="27">
        <v>1812</v>
      </c>
      <c r="B814" s="25" t="s">
        <v>855</v>
      </c>
      <c r="C814" s="25" t="s">
        <v>20</v>
      </c>
      <c r="D814" s="26" t="s">
        <v>84</v>
      </c>
      <c r="E814" s="27">
        <v>3</v>
      </c>
      <c r="F814" s="28">
        <v>2537.59</v>
      </c>
      <c r="G814" s="29">
        <v>0.51</v>
      </c>
      <c r="H814" s="28">
        <f t="shared" si="26"/>
        <v>7612.77</v>
      </c>
      <c r="I814" s="30">
        <v>45683</v>
      </c>
      <c r="J814" s="26" t="s">
        <v>15</v>
      </c>
      <c r="K814" s="26" t="s">
        <v>23</v>
      </c>
      <c r="L814" s="31">
        <f t="shared" si="27"/>
        <v>3730.2573000000002</v>
      </c>
      <c r="M814" s="31">
        <v>-36.380000000000003</v>
      </c>
      <c r="N814" s="22">
        <f>_xlfn.XLOOKUP(Snitch_Fashion_Sales_cleaned!$J814,Table2[City],Table2[City_Key],"not found")</f>
        <v>1</v>
      </c>
      <c r="O814" s="21">
        <f>_xlfn.XLOOKUP(Snitch_Fashion_Sales_cleaned!$D814,Table4[Product_Name],Table4[Product_Key],"not found")</f>
        <v>19</v>
      </c>
      <c r="P814" s="25">
        <f>_xlfn.XLOOKUP(Snitch_Fashion_Sales_cleaned!$I814,Table3[Order_Date],Table3[Date_Key])</f>
        <v>370</v>
      </c>
    </row>
    <row r="815" spans="1:16" x14ac:dyDescent="0.3">
      <c r="A815" s="34">
        <v>1813</v>
      </c>
      <c r="B815" s="32" t="s">
        <v>856</v>
      </c>
      <c r="C815" s="32" t="s">
        <v>20</v>
      </c>
      <c r="D815" s="33" t="s">
        <v>118</v>
      </c>
      <c r="E815" s="34">
        <v>3.5</v>
      </c>
      <c r="F815" s="35">
        <v>2752.99</v>
      </c>
      <c r="G815" s="36">
        <v>0.51</v>
      </c>
      <c r="H815" s="35">
        <f t="shared" si="26"/>
        <v>9635.4650000000001</v>
      </c>
      <c r="I815" s="37">
        <v>45851</v>
      </c>
      <c r="J815" s="33" t="s">
        <v>18</v>
      </c>
      <c r="K815" s="33" t="s">
        <v>23</v>
      </c>
      <c r="L815" s="38">
        <f t="shared" si="27"/>
        <v>4721.3778499999999</v>
      </c>
      <c r="M815" s="38">
        <v>1718.02</v>
      </c>
      <c r="N815" s="24">
        <f>_xlfn.XLOOKUP(Snitch_Fashion_Sales_cleaned!$J815,Table2[City],Table2[City_Key],"not found")</f>
        <v>2</v>
      </c>
      <c r="O815" s="23">
        <f>_xlfn.XLOOKUP(Snitch_Fashion_Sales_cleaned!$D815,Table4[Product_Name],Table4[Product_Key],"not found")</f>
        <v>23</v>
      </c>
      <c r="P815" s="32">
        <f>_xlfn.XLOOKUP(Snitch_Fashion_Sales_cleaned!$I815,Table3[Order_Date],Table3[Date_Key])</f>
        <v>23</v>
      </c>
    </row>
    <row r="816" spans="1:16" x14ac:dyDescent="0.3">
      <c r="A816" s="27">
        <v>1814</v>
      </c>
      <c r="B816" s="25" t="s">
        <v>857</v>
      </c>
      <c r="C816" s="25" t="s">
        <v>31</v>
      </c>
      <c r="D816" s="26" t="s">
        <v>41</v>
      </c>
      <c r="E816" s="27">
        <v>3</v>
      </c>
      <c r="F816" s="28">
        <v>3027.66</v>
      </c>
      <c r="G816" s="29">
        <v>0.51</v>
      </c>
      <c r="H816" s="28">
        <f t="shared" si="26"/>
        <v>9082.98</v>
      </c>
      <c r="I816" s="30">
        <v>45655</v>
      </c>
      <c r="J816" s="26" t="s">
        <v>15</v>
      </c>
      <c r="K816" s="26" t="s">
        <v>23</v>
      </c>
      <c r="L816" s="31">
        <f t="shared" si="27"/>
        <v>4450.6601999999993</v>
      </c>
      <c r="M816" s="31">
        <v>2724.05</v>
      </c>
      <c r="N816" s="22">
        <f>_xlfn.XLOOKUP(Snitch_Fashion_Sales_cleaned!$J816,Table2[City],Table2[City_Key],"not found")</f>
        <v>1</v>
      </c>
      <c r="O816" s="21">
        <f>_xlfn.XLOOKUP(Snitch_Fashion_Sales_cleaned!$D816,Table4[Product_Name],Table4[Product_Key],"not found")</f>
        <v>9</v>
      </c>
      <c r="P816" s="25">
        <f>_xlfn.XLOOKUP(Snitch_Fashion_Sales_cleaned!$I816,Table3[Order_Date],Table3[Date_Key])</f>
        <v>269</v>
      </c>
    </row>
    <row r="817" spans="1:16" x14ac:dyDescent="0.3">
      <c r="A817" s="34">
        <v>1815</v>
      </c>
      <c r="B817" s="32" t="s">
        <v>858</v>
      </c>
      <c r="C817" s="32" t="s">
        <v>36</v>
      </c>
      <c r="D817" s="33" t="s">
        <v>37</v>
      </c>
      <c r="E817" s="34">
        <v>4</v>
      </c>
      <c r="F817" s="35">
        <v>2975.64</v>
      </c>
      <c r="G817" s="36">
        <v>0.51</v>
      </c>
      <c r="H817" s="35">
        <f t="shared" si="26"/>
        <v>11902.56</v>
      </c>
      <c r="I817" s="37">
        <v>45806</v>
      </c>
      <c r="J817" s="33" t="s">
        <v>2540</v>
      </c>
      <c r="K817" s="33" t="s">
        <v>23</v>
      </c>
      <c r="L817" s="38">
        <f t="shared" si="27"/>
        <v>5832.2543999999998</v>
      </c>
      <c r="M817" s="38">
        <v>1057.3599999999999</v>
      </c>
      <c r="N817" s="24">
        <f>_xlfn.XLOOKUP(Snitch_Fashion_Sales_cleaned!$J817,Table2[City],Table2[City_Key],"not found")</f>
        <v>4</v>
      </c>
      <c r="O817" s="23">
        <f>_xlfn.XLOOKUP(Snitch_Fashion_Sales_cleaned!$D817,Table4[Product_Name],Table4[Product_Key],"not found")</f>
        <v>7</v>
      </c>
      <c r="P817" s="32">
        <f>_xlfn.XLOOKUP(Snitch_Fashion_Sales_cleaned!$I817,Table3[Order_Date],Table3[Date_Key])</f>
        <v>183</v>
      </c>
    </row>
    <row r="818" spans="1:16" x14ac:dyDescent="0.3">
      <c r="A818" s="27">
        <v>1816</v>
      </c>
      <c r="B818" s="25" t="s">
        <v>859</v>
      </c>
      <c r="C818" s="25" t="s">
        <v>31</v>
      </c>
      <c r="D818" s="26" t="s">
        <v>78</v>
      </c>
      <c r="E818" s="27">
        <v>1</v>
      </c>
      <c r="F818" s="28">
        <v>1130.83</v>
      </c>
      <c r="G818" s="29">
        <v>0.84</v>
      </c>
      <c r="H818" s="28">
        <f t="shared" si="26"/>
        <v>1130.83</v>
      </c>
      <c r="I818" s="30">
        <v>45135</v>
      </c>
      <c r="J818" s="26" t="s">
        <v>52</v>
      </c>
      <c r="K818" s="26" t="s">
        <v>23</v>
      </c>
      <c r="L818" s="31">
        <f t="shared" si="27"/>
        <v>180.93280000000001</v>
      </c>
      <c r="M818" s="31">
        <v>-804.96</v>
      </c>
      <c r="N818" s="22">
        <f>_xlfn.XLOOKUP(Snitch_Fashion_Sales_cleaned!$J818,Table2[City],Table2[City_Key],"not found")</f>
        <v>5</v>
      </c>
      <c r="O818" s="21">
        <f>_xlfn.XLOOKUP(Snitch_Fashion_Sales_cleaned!$D818,Table4[Product_Name],Table4[Product_Key],"not found")</f>
        <v>17</v>
      </c>
      <c r="P818" s="25">
        <f>_xlfn.XLOOKUP(Snitch_Fashion_Sales_cleaned!$I818,Table3[Order_Date],Table3[Date_Key])</f>
        <v>61</v>
      </c>
    </row>
    <row r="819" spans="1:16" x14ac:dyDescent="0.3">
      <c r="A819" s="34">
        <v>1817</v>
      </c>
      <c r="B819" s="32" t="s">
        <v>860</v>
      </c>
      <c r="C819" s="32" t="s">
        <v>25</v>
      </c>
      <c r="D819" s="33" t="s">
        <v>62</v>
      </c>
      <c r="E819" s="34">
        <v>4</v>
      </c>
      <c r="F819" s="35">
        <v>2964.88</v>
      </c>
      <c r="G819" s="36">
        <v>0.51</v>
      </c>
      <c r="H819" s="35">
        <f t="shared" si="26"/>
        <v>11859.52</v>
      </c>
      <c r="I819" s="37">
        <v>45521</v>
      </c>
      <c r="J819" s="33" t="s">
        <v>22</v>
      </c>
      <c r="K819" s="33" t="s">
        <v>23</v>
      </c>
      <c r="L819" s="38">
        <f t="shared" si="27"/>
        <v>5811.1648000000005</v>
      </c>
      <c r="M819" s="38">
        <v>591.28</v>
      </c>
      <c r="N819" s="24">
        <f>_xlfn.XLOOKUP(Snitch_Fashion_Sales_cleaned!$J819,Table2[City],Table2[City_Key],"not found")</f>
        <v>3</v>
      </c>
      <c r="O819" s="23">
        <f>_xlfn.XLOOKUP(Snitch_Fashion_Sales_cleaned!$D819,Table4[Product_Name],Table4[Product_Key],"not found")</f>
        <v>14</v>
      </c>
      <c r="P819" s="32">
        <f>_xlfn.XLOOKUP(Snitch_Fashion_Sales_cleaned!$I819,Table3[Order_Date],Table3[Date_Key])</f>
        <v>371</v>
      </c>
    </row>
    <row r="820" spans="1:16" x14ac:dyDescent="0.3">
      <c r="A820" s="27">
        <v>1818</v>
      </c>
      <c r="B820" s="25" t="s">
        <v>861</v>
      </c>
      <c r="C820" s="25" t="s">
        <v>28</v>
      </c>
      <c r="D820" s="26" t="s">
        <v>29</v>
      </c>
      <c r="E820" s="27">
        <v>3</v>
      </c>
      <c r="F820" s="28">
        <v>3449.33</v>
      </c>
      <c r="G820" s="29">
        <v>0.43</v>
      </c>
      <c r="H820" s="28">
        <f t="shared" si="26"/>
        <v>10347.99</v>
      </c>
      <c r="I820" s="30">
        <v>45647</v>
      </c>
      <c r="J820" s="26" t="s">
        <v>15</v>
      </c>
      <c r="K820" s="26" t="s">
        <v>16</v>
      </c>
      <c r="L820" s="31">
        <f t="shared" si="27"/>
        <v>5898.3543000000009</v>
      </c>
      <c r="M820" s="31">
        <v>601.45000000000005</v>
      </c>
      <c r="N820" s="22">
        <f>_xlfn.XLOOKUP(Snitch_Fashion_Sales_cleaned!$J820,Table2[City],Table2[City_Key],"not found")</f>
        <v>1</v>
      </c>
      <c r="O820" s="21">
        <f>_xlfn.XLOOKUP(Snitch_Fashion_Sales_cleaned!$D820,Table4[Product_Name],Table4[Product_Key],"not found")</f>
        <v>4</v>
      </c>
      <c r="P820" s="25">
        <f>_xlfn.XLOOKUP(Snitch_Fashion_Sales_cleaned!$I820,Table3[Order_Date],Table3[Date_Key])</f>
        <v>5</v>
      </c>
    </row>
    <row r="821" spans="1:16" x14ac:dyDescent="0.3">
      <c r="A821" s="34">
        <v>1819</v>
      </c>
      <c r="B821" s="32" t="s">
        <v>798</v>
      </c>
      <c r="C821" s="32" t="s">
        <v>28</v>
      </c>
      <c r="D821" s="33" t="s">
        <v>116</v>
      </c>
      <c r="E821" s="34">
        <v>6</v>
      </c>
      <c r="F821" s="35">
        <v>1761.18</v>
      </c>
      <c r="G821" s="36">
        <v>0.51</v>
      </c>
      <c r="H821" s="35">
        <f t="shared" si="26"/>
        <v>10567.08</v>
      </c>
      <c r="I821" s="37">
        <v>45647</v>
      </c>
      <c r="J821" s="33" t="s">
        <v>22</v>
      </c>
      <c r="K821" s="33" t="s">
        <v>23</v>
      </c>
      <c r="L821" s="38">
        <f t="shared" si="27"/>
        <v>5177.8692000000001</v>
      </c>
      <c r="M821" s="38">
        <v>2069.36</v>
      </c>
      <c r="N821" s="24">
        <f>_xlfn.XLOOKUP(Snitch_Fashion_Sales_cleaned!$J821,Table2[City],Table2[City_Key],"not found")</f>
        <v>3</v>
      </c>
      <c r="O821" s="23">
        <f>_xlfn.XLOOKUP(Snitch_Fashion_Sales_cleaned!$D821,Table4[Product_Name],Table4[Product_Key],"not found")</f>
        <v>22</v>
      </c>
      <c r="P821" s="32">
        <f>_xlfn.XLOOKUP(Snitch_Fashion_Sales_cleaned!$I821,Table3[Order_Date],Table3[Date_Key])</f>
        <v>5</v>
      </c>
    </row>
    <row r="822" spans="1:16" x14ac:dyDescent="0.3">
      <c r="A822" s="27">
        <v>1820</v>
      </c>
      <c r="B822" s="25" t="s">
        <v>862</v>
      </c>
      <c r="C822" s="25" t="s">
        <v>31</v>
      </c>
      <c r="D822" s="26" t="s">
        <v>78</v>
      </c>
      <c r="E822" s="27">
        <v>5</v>
      </c>
      <c r="F822" s="28">
        <v>1965.04</v>
      </c>
      <c r="G822" s="29">
        <v>0.51</v>
      </c>
      <c r="H822" s="28">
        <f t="shared" si="26"/>
        <v>9825.2000000000007</v>
      </c>
      <c r="I822" s="30">
        <v>45132</v>
      </c>
      <c r="J822" s="26" t="s">
        <v>43</v>
      </c>
      <c r="K822" s="26" t="s">
        <v>23</v>
      </c>
      <c r="L822" s="31">
        <f t="shared" si="27"/>
        <v>4814.348</v>
      </c>
      <c r="M822" s="31">
        <v>20.89</v>
      </c>
      <c r="N822" s="22">
        <f>_xlfn.XLOOKUP(Snitch_Fashion_Sales_cleaned!$J822,Table2[City],Table2[City_Key],"not found")</f>
        <v>6</v>
      </c>
      <c r="O822" s="21">
        <f>_xlfn.XLOOKUP(Snitch_Fashion_Sales_cleaned!$D822,Table4[Product_Name],Table4[Product_Key],"not found")</f>
        <v>17</v>
      </c>
      <c r="P822" s="25">
        <f>_xlfn.XLOOKUP(Snitch_Fashion_Sales_cleaned!$I822,Table3[Order_Date],Table3[Date_Key])</f>
        <v>223</v>
      </c>
    </row>
    <row r="823" spans="1:16" x14ac:dyDescent="0.3">
      <c r="A823" s="34">
        <v>1821</v>
      </c>
      <c r="B823" s="32" t="s">
        <v>863</v>
      </c>
      <c r="C823" s="32" t="s">
        <v>20</v>
      </c>
      <c r="D823" s="33" t="s">
        <v>118</v>
      </c>
      <c r="E823" s="34">
        <v>3.5</v>
      </c>
      <c r="F823" s="35">
        <v>2752.99</v>
      </c>
      <c r="G823" s="36">
        <v>0.65</v>
      </c>
      <c r="H823" s="35">
        <f t="shared" si="26"/>
        <v>9635.4650000000001</v>
      </c>
      <c r="I823" s="37">
        <v>45647</v>
      </c>
      <c r="J823" s="33" t="s">
        <v>18</v>
      </c>
      <c r="K823" s="33" t="s">
        <v>16</v>
      </c>
      <c r="L823" s="38">
        <f t="shared" si="27"/>
        <v>3372.41275</v>
      </c>
      <c r="M823" s="38">
        <v>403.42</v>
      </c>
      <c r="N823" s="24">
        <f>_xlfn.XLOOKUP(Snitch_Fashion_Sales_cleaned!$J823,Table2[City],Table2[City_Key],"not found")</f>
        <v>2</v>
      </c>
      <c r="O823" s="23">
        <f>_xlfn.XLOOKUP(Snitch_Fashion_Sales_cleaned!$D823,Table4[Product_Name],Table4[Product_Key],"not found")</f>
        <v>23</v>
      </c>
      <c r="P823" s="32">
        <f>_xlfn.XLOOKUP(Snitch_Fashion_Sales_cleaned!$I823,Table3[Order_Date],Table3[Date_Key])</f>
        <v>5</v>
      </c>
    </row>
    <row r="824" spans="1:16" x14ac:dyDescent="0.3">
      <c r="A824" s="27">
        <v>1822</v>
      </c>
      <c r="B824" s="25" t="s">
        <v>864</v>
      </c>
      <c r="C824" s="25" t="s">
        <v>20</v>
      </c>
      <c r="D824" s="26" t="s">
        <v>76</v>
      </c>
      <c r="E824" s="27">
        <v>3</v>
      </c>
      <c r="F824" s="28">
        <v>938.86</v>
      </c>
      <c r="G824" s="29">
        <v>0.05</v>
      </c>
      <c r="H824" s="28">
        <f t="shared" si="26"/>
        <v>2816.58</v>
      </c>
      <c r="I824" s="30">
        <v>45479</v>
      </c>
      <c r="J824" s="26" t="s">
        <v>52</v>
      </c>
      <c r="K824" s="26" t="s">
        <v>16</v>
      </c>
      <c r="L824" s="31">
        <f t="shared" si="27"/>
        <v>2675.7509999999997</v>
      </c>
      <c r="M824" s="31">
        <v>-824.79</v>
      </c>
      <c r="N824" s="22">
        <f>_xlfn.XLOOKUP(Snitch_Fashion_Sales_cleaned!$J824,Table2[City],Table2[City_Key],"not found")</f>
        <v>5</v>
      </c>
      <c r="O824" s="21">
        <f>_xlfn.XLOOKUP(Snitch_Fashion_Sales_cleaned!$D824,Table4[Product_Name],Table4[Product_Key],"not found")</f>
        <v>16</v>
      </c>
      <c r="P824" s="25">
        <f>_xlfn.XLOOKUP(Snitch_Fashion_Sales_cleaned!$I824,Table3[Order_Date],Table3[Date_Key])</f>
        <v>245</v>
      </c>
    </row>
    <row r="825" spans="1:16" x14ac:dyDescent="0.3">
      <c r="A825" s="34">
        <v>1823</v>
      </c>
      <c r="B825" s="32" t="s">
        <v>865</v>
      </c>
      <c r="C825" s="32" t="s">
        <v>31</v>
      </c>
      <c r="D825" s="33" t="s">
        <v>41</v>
      </c>
      <c r="E825" s="34">
        <v>3</v>
      </c>
      <c r="F825" s="35">
        <v>3887.15</v>
      </c>
      <c r="G825" s="36">
        <v>0.51</v>
      </c>
      <c r="H825" s="35">
        <f t="shared" si="26"/>
        <v>11661.45</v>
      </c>
      <c r="I825" s="37">
        <v>45835</v>
      </c>
      <c r="J825" s="33" t="s">
        <v>18</v>
      </c>
      <c r="K825" s="33" t="s">
        <v>16</v>
      </c>
      <c r="L825" s="38">
        <f t="shared" si="27"/>
        <v>5714.1105000000007</v>
      </c>
      <c r="M825" s="38">
        <v>2088.25</v>
      </c>
      <c r="N825" s="24">
        <f>_xlfn.XLOOKUP(Snitch_Fashion_Sales_cleaned!$J825,Table2[City],Table2[City_Key],"not found")</f>
        <v>2</v>
      </c>
      <c r="O825" s="23">
        <f>_xlfn.XLOOKUP(Snitch_Fashion_Sales_cleaned!$D825,Table4[Product_Name],Table4[Product_Key],"not found")</f>
        <v>9</v>
      </c>
      <c r="P825" s="32">
        <f>_xlfn.XLOOKUP(Snitch_Fashion_Sales_cleaned!$I825,Table3[Order_Date],Table3[Date_Key])</f>
        <v>84</v>
      </c>
    </row>
    <row r="826" spans="1:16" x14ac:dyDescent="0.3">
      <c r="A826" s="27">
        <v>1824</v>
      </c>
      <c r="B826" s="25" t="s">
        <v>866</v>
      </c>
      <c r="C826" s="25" t="s">
        <v>28</v>
      </c>
      <c r="D826" s="26" t="s">
        <v>116</v>
      </c>
      <c r="E826" s="27">
        <v>4</v>
      </c>
      <c r="F826" s="28">
        <v>4146.2700000000004</v>
      </c>
      <c r="G826" s="29">
        <v>0.51</v>
      </c>
      <c r="H826" s="28">
        <f t="shared" si="26"/>
        <v>16585.080000000002</v>
      </c>
      <c r="I826" s="30">
        <v>45346</v>
      </c>
      <c r="J826" s="26" t="s">
        <v>52</v>
      </c>
      <c r="K826" s="26" t="s">
        <v>23</v>
      </c>
      <c r="L826" s="31">
        <f t="shared" si="27"/>
        <v>8126.6892000000007</v>
      </c>
      <c r="M826" s="31">
        <v>2397.9299999999998</v>
      </c>
      <c r="N826" s="22">
        <f>_xlfn.XLOOKUP(Snitch_Fashion_Sales_cleaned!$J826,Table2[City],Table2[City_Key],"not found")</f>
        <v>5</v>
      </c>
      <c r="O826" s="21">
        <f>_xlfn.XLOOKUP(Snitch_Fashion_Sales_cleaned!$D826,Table4[Product_Name],Table4[Product_Key],"not found")</f>
        <v>22</v>
      </c>
      <c r="P826" s="25">
        <f>_xlfn.XLOOKUP(Snitch_Fashion_Sales_cleaned!$I826,Table3[Order_Date],Table3[Date_Key])</f>
        <v>372</v>
      </c>
    </row>
    <row r="827" spans="1:16" x14ac:dyDescent="0.3">
      <c r="A827" s="34">
        <v>1825</v>
      </c>
      <c r="B827" s="32" t="s">
        <v>867</v>
      </c>
      <c r="C827" s="32" t="s">
        <v>20</v>
      </c>
      <c r="D827" s="33" t="s">
        <v>76</v>
      </c>
      <c r="E827" s="34">
        <v>6</v>
      </c>
      <c r="F827" s="35">
        <v>982.65</v>
      </c>
      <c r="G827" s="36">
        <v>0.51</v>
      </c>
      <c r="H827" s="35">
        <f t="shared" si="26"/>
        <v>5895.9</v>
      </c>
      <c r="I827" s="37">
        <v>45647</v>
      </c>
      <c r="J827" s="33" t="s">
        <v>22</v>
      </c>
      <c r="K827" s="33" t="s">
        <v>23</v>
      </c>
      <c r="L827" s="38">
        <f t="shared" si="27"/>
        <v>2888.991</v>
      </c>
      <c r="M827" s="38">
        <v>2186.63</v>
      </c>
      <c r="N827" s="24">
        <f>_xlfn.XLOOKUP(Snitch_Fashion_Sales_cleaned!$J827,Table2[City],Table2[City_Key],"not found")</f>
        <v>3</v>
      </c>
      <c r="O827" s="23">
        <f>_xlfn.XLOOKUP(Snitch_Fashion_Sales_cleaned!$D827,Table4[Product_Name],Table4[Product_Key],"not found")</f>
        <v>16</v>
      </c>
      <c r="P827" s="32">
        <f>_xlfn.XLOOKUP(Snitch_Fashion_Sales_cleaned!$I827,Table3[Order_Date],Table3[Date_Key])</f>
        <v>5</v>
      </c>
    </row>
    <row r="828" spans="1:16" x14ac:dyDescent="0.3">
      <c r="A828" s="27">
        <v>1826</v>
      </c>
      <c r="B828" s="25" t="s">
        <v>868</v>
      </c>
      <c r="C828" s="25" t="s">
        <v>31</v>
      </c>
      <c r="D828" s="26" t="s">
        <v>32</v>
      </c>
      <c r="E828" s="27">
        <v>6</v>
      </c>
      <c r="F828" s="28">
        <v>2001.5500000000002</v>
      </c>
      <c r="G828" s="29">
        <v>0.51</v>
      </c>
      <c r="H828" s="28">
        <f t="shared" si="26"/>
        <v>12009.300000000001</v>
      </c>
      <c r="I828" s="30">
        <v>45623</v>
      </c>
      <c r="J828" s="26" t="s">
        <v>15</v>
      </c>
      <c r="K828" s="26" t="s">
        <v>23</v>
      </c>
      <c r="L828" s="31">
        <f t="shared" si="27"/>
        <v>5884.5570000000007</v>
      </c>
      <c r="M828" s="31">
        <v>413.87</v>
      </c>
      <c r="N828" s="22">
        <f>_xlfn.XLOOKUP(Snitch_Fashion_Sales_cleaned!$J828,Table2[City],Table2[City_Key],"not found")</f>
        <v>1</v>
      </c>
      <c r="O828" s="21">
        <f>_xlfn.XLOOKUP(Snitch_Fashion_Sales_cleaned!$D828,Table4[Product_Name],Table4[Product_Key],"not found")</f>
        <v>5</v>
      </c>
      <c r="P828" s="25">
        <f>_xlfn.XLOOKUP(Snitch_Fashion_Sales_cleaned!$I828,Table3[Order_Date],Table3[Date_Key])</f>
        <v>373</v>
      </c>
    </row>
    <row r="829" spans="1:16" x14ac:dyDescent="0.3">
      <c r="A829" s="34">
        <v>1827</v>
      </c>
      <c r="B829" s="32" t="s">
        <v>869</v>
      </c>
      <c r="C829" s="32" t="s">
        <v>13</v>
      </c>
      <c r="D829" s="33" t="s">
        <v>46</v>
      </c>
      <c r="E829" s="34">
        <v>4</v>
      </c>
      <c r="F829" s="35">
        <v>3109.74</v>
      </c>
      <c r="G829" s="36">
        <v>0.51</v>
      </c>
      <c r="H829" s="35">
        <f t="shared" si="26"/>
        <v>12438.96</v>
      </c>
      <c r="I829" s="37">
        <v>45647</v>
      </c>
      <c r="J829" s="33" t="s">
        <v>22</v>
      </c>
      <c r="K829" s="33" t="s">
        <v>23</v>
      </c>
      <c r="L829" s="38">
        <f t="shared" si="27"/>
        <v>6095.0903999999991</v>
      </c>
      <c r="M829" s="38">
        <v>-828.23</v>
      </c>
      <c r="N829" s="24">
        <f>_xlfn.XLOOKUP(Snitch_Fashion_Sales_cleaned!$J829,Table2[City],Table2[City_Key],"not found")</f>
        <v>3</v>
      </c>
      <c r="O829" s="23">
        <f>_xlfn.XLOOKUP(Snitch_Fashion_Sales_cleaned!$D829,Table4[Product_Name],Table4[Product_Key],"not found")</f>
        <v>10</v>
      </c>
      <c r="P829" s="32">
        <f>_xlfn.XLOOKUP(Snitch_Fashion_Sales_cleaned!$I829,Table3[Order_Date],Table3[Date_Key])</f>
        <v>5</v>
      </c>
    </row>
    <row r="830" spans="1:16" x14ac:dyDescent="0.3">
      <c r="A830" s="27">
        <v>1828</v>
      </c>
      <c r="B830" s="25" t="s">
        <v>870</v>
      </c>
      <c r="C830" s="25" t="s">
        <v>36</v>
      </c>
      <c r="D830" s="26" t="s">
        <v>55</v>
      </c>
      <c r="E830" s="27">
        <v>3</v>
      </c>
      <c r="F830" s="28">
        <v>4427.9399999999996</v>
      </c>
      <c r="G830" s="29">
        <v>0.25</v>
      </c>
      <c r="H830" s="28">
        <f t="shared" si="26"/>
        <v>13283.82</v>
      </c>
      <c r="I830" s="30">
        <v>45526</v>
      </c>
      <c r="J830" s="26" t="s">
        <v>22</v>
      </c>
      <c r="K830" s="26" t="s">
        <v>23</v>
      </c>
      <c r="L830" s="31">
        <f t="shared" si="27"/>
        <v>9962.8649999999998</v>
      </c>
      <c r="M830" s="31">
        <v>-476.77</v>
      </c>
      <c r="N830" s="22">
        <f>_xlfn.XLOOKUP(Snitch_Fashion_Sales_cleaned!$J830,Table2[City],Table2[City_Key],"not found")</f>
        <v>3</v>
      </c>
      <c r="O830" s="21">
        <f>_xlfn.XLOOKUP(Snitch_Fashion_Sales_cleaned!$D830,Table4[Product_Name],Table4[Product_Key],"not found")</f>
        <v>12</v>
      </c>
      <c r="P830" s="25">
        <f>_xlfn.XLOOKUP(Snitch_Fashion_Sales_cleaned!$I830,Table3[Order_Date],Table3[Date_Key])</f>
        <v>10</v>
      </c>
    </row>
    <row r="831" spans="1:16" x14ac:dyDescent="0.3">
      <c r="A831" s="34">
        <v>1829</v>
      </c>
      <c r="B831" s="32" t="s">
        <v>871</v>
      </c>
      <c r="C831" s="32" t="s">
        <v>25</v>
      </c>
      <c r="D831" s="33" t="s">
        <v>50</v>
      </c>
      <c r="E831" s="34">
        <v>4</v>
      </c>
      <c r="F831" s="35">
        <v>2666.2200000000003</v>
      </c>
      <c r="G831" s="36">
        <v>0.51</v>
      </c>
      <c r="H831" s="35">
        <f t="shared" si="26"/>
        <v>10664.880000000001</v>
      </c>
      <c r="I831" s="37">
        <v>45351</v>
      </c>
      <c r="J831" s="33" t="s">
        <v>15</v>
      </c>
      <c r="K831" s="33" t="s">
        <v>23</v>
      </c>
      <c r="L831" s="38">
        <f t="shared" si="27"/>
        <v>5225.7912000000006</v>
      </c>
      <c r="M831" s="38">
        <v>1019.58</v>
      </c>
      <c r="N831" s="24">
        <f>_xlfn.XLOOKUP(Snitch_Fashion_Sales_cleaned!$J831,Table2[City],Table2[City_Key],"not found")</f>
        <v>1</v>
      </c>
      <c r="O831" s="23">
        <f>_xlfn.XLOOKUP(Snitch_Fashion_Sales_cleaned!$D831,Table4[Product_Name],Table4[Product_Key],"not found")</f>
        <v>11</v>
      </c>
      <c r="P831" s="32">
        <f>_xlfn.XLOOKUP(Snitch_Fashion_Sales_cleaned!$I831,Table3[Order_Date],Table3[Date_Key])</f>
        <v>374</v>
      </c>
    </row>
    <row r="832" spans="1:16" x14ac:dyDescent="0.3">
      <c r="A832" s="27">
        <v>1830</v>
      </c>
      <c r="B832" s="25" t="s">
        <v>872</v>
      </c>
      <c r="C832" s="25" t="s">
        <v>36</v>
      </c>
      <c r="D832" s="26" t="s">
        <v>37</v>
      </c>
      <c r="E832" s="27">
        <v>4</v>
      </c>
      <c r="F832" s="28">
        <v>2975.64</v>
      </c>
      <c r="G832" s="29">
        <v>0.51</v>
      </c>
      <c r="H832" s="28">
        <f t="shared" si="26"/>
        <v>11902.56</v>
      </c>
      <c r="I832" s="30">
        <v>45521</v>
      </c>
      <c r="J832" s="26" t="s">
        <v>43</v>
      </c>
      <c r="K832" s="26" t="s">
        <v>23</v>
      </c>
      <c r="L832" s="31">
        <f t="shared" si="27"/>
        <v>5832.2543999999998</v>
      </c>
      <c r="M832" s="31">
        <v>602.58000000000004</v>
      </c>
      <c r="N832" s="22">
        <f>_xlfn.XLOOKUP(Snitch_Fashion_Sales_cleaned!$J832,Table2[City],Table2[City_Key],"not found")</f>
        <v>6</v>
      </c>
      <c r="O832" s="21">
        <f>_xlfn.XLOOKUP(Snitch_Fashion_Sales_cleaned!$D832,Table4[Product_Name],Table4[Product_Key],"not found")</f>
        <v>7</v>
      </c>
      <c r="P832" s="25">
        <f>_xlfn.XLOOKUP(Snitch_Fashion_Sales_cleaned!$I832,Table3[Order_Date],Table3[Date_Key])</f>
        <v>371</v>
      </c>
    </row>
    <row r="833" spans="1:16" x14ac:dyDescent="0.3">
      <c r="A833" s="34">
        <v>1831</v>
      </c>
      <c r="B833" s="32" t="s">
        <v>873</v>
      </c>
      <c r="C833" s="32" t="s">
        <v>25</v>
      </c>
      <c r="D833" s="33" t="s">
        <v>26</v>
      </c>
      <c r="E833" s="34">
        <v>4</v>
      </c>
      <c r="F833" s="35">
        <v>895.34</v>
      </c>
      <c r="G833" s="36">
        <v>0.51</v>
      </c>
      <c r="H833" s="35">
        <f t="shared" si="26"/>
        <v>3581.36</v>
      </c>
      <c r="I833" s="37">
        <v>45520</v>
      </c>
      <c r="J833" s="33" t="s">
        <v>2540</v>
      </c>
      <c r="K833" s="33" t="s">
        <v>23</v>
      </c>
      <c r="L833" s="38">
        <f t="shared" si="27"/>
        <v>1754.8664000000001</v>
      </c>
      <c r="M833" s="38">
        <v>438.71660000000003</v>
      </c>
      <c r="N833" s="24">
        <f>_xlfn.XLOOKUP(Snitch_Fashion_Sales_cleaned!$J833,Table2[City],Table2[City_Key],"not found")</f>
        <v>4</v>
      </c>
      <c r="O833" s="23">
        <f>_xlfn.XLOOKUP(Snitch_Fashion_Sales_cleaned!$D833,Table4[Product_Name],Table4[Product_Key],"not found")</f>
        <v>3</v>
      </c>
      <c r="P833" s="32">
        <f>_xlfn.XLOOKUP(Snitch_Fashion_Sales_cleaned!$I833,Table3[Order_Date],Table3[Date_Key])</f>
        <v>321</v>
      </c>
    </row>
    <row r="834" spans="1:16" x14ac:dyDescent="0.3">
      <c r="A834" s="27">
        <v>1832</v>
      </c>
      <c r="B834" s="25" t="s">
        <v>874</v>
      </c>
      <c r="C834" s="25" t="s">
        <v>25</v>
      </c>
      <c r="D834" s="26" t="s">
        <v>26</v>
      </c>
      <c r="E834" s="27">
        <v>4</v>
      </c>
      <c r="F834" s="28">
        <v>2933.45</v>
      </c>
      <c r="G834" s="29">
        <v>0.43</v>
      </c>
      <c r="H834" s="28">
        <f t="shared" si="26"/>
        <v>11733.8</v>
      </c>
      <c r="I834" s="30">
        <v>45546</v>
      </c>
      <c r="J834" s="26" t="s">
        <v>18</v>
      </c>
      <c r="K834" s="26" t="s">
        <v>16</v>
      </c>
      <c r="L834" s="31">
        <f t="shared" si="27"/>
        <v>6688.2660000000005</v>
      </c>
      <c r="M834" s="31">
        <v>708.3</v>
      </c>
      <c r="N834" s="22">
        <f>_xlfn.XLOOKUP(Snitch_Fashion_Sales_cleaned!$J834,Table2[City],Table2[City_Key],"not found")</f>
        <v>2</v>
      </c>
      <c r="O834" s="21">
        <f>_xlfn.XLOOKUP(Snitch_Fashion_Sales_cleaned!$D834,Table4[Product_Name],Table4[Product_Key],"not found")</f>
        <v>3</v>
      </c>
      <c r="P834" s="25">
        <f>_xlfn.XLOOKUP(Snitch_Fashion_Sales_cleaned!$I834,Table3[Order_Date],Table3[Date_Key])</f>
        <v>203</v>
      </c>
    </row>
    <row r="835" spans="1:16" x14ac:dyDescent="0.3">
      <c r="A835" s="34">
        <v>1833</v>
      </c>
      <c r="B835" s="32" t="s">
        <v>146</v>
      </c>
      <c r="C835" s="32" t="s">
        <v>36</v>
      </c>
      <c r="D835" s="33" t="s">
        <v>59</v>
      </c>
      <c r="E835" s="34">
        <v>3</v>
      </c>
      <c r="F835" s="35">
        <v>3051.77</v>
      </c>
      <c r="G835" s="36">
        <v>0.51</v>
      </c>
      <c r="H835" s="35">
        <f t="shared" si="26"/>
        <v>9155.31</v>
      </c>
      <c r="I835" s="37">
        <v>45686</v>
      </c>
      <c r="J835" s="33" t="s">
        <v>52</v>
      </c>
      <c r="K835" s="33" t="s">
        <v>23</v>
      </c>
      <c r="L835" s="38">
        <f t="shared" si="27"/>
        <v>4486.1018999999997</v>
      </c>
      <c r="M835" s="38">
        <v>2470.5500000000002</v>
      </c>
      <c r="N835" s="24">
        <f>_xlfn.XLOOKUP(Snitch_Fashion_Sales_cleaned!$J835,Table2[City],Table2[City_Key],"not found")</f>
        <v>5</v>
      </c>
      <c r="O835" s="23">
        <f>_xlfn.XLOOKUP(Snitch_Fashion_Sales_cleaned!$D835,Table4[Product_Name],Table4[Product_Key],"not found")</f>
        <v>13</v>
      </c>
      <c r="P835" s="32">
        <f>_xlfn.XLOOKUP(Snitch_Fashion_Sales_cleaned!$I835,Table3[Order_Date],Table3[Date_Key])</f>
        <v>351</v>
      </c>
    </row>
    <row r="836" spans="1:16" x14ac:dyDescent="0.3">
      <c r="A836" s="27">
        <v>1834</v>
      </c>
      <c r="B836" s="25" t="s">
        <v>875</v>
      </c>
      <c r="C836" s="25" t="s">
        <v>20</v>
      </c>
      <c r="D836" s="26" t="s">
        <v>84</v>
      </c>
      <c r="E836" s="27">
        <v>3</v>
      </c>
      <c r="F836" s="28">
        <v>2537.59</v>
      </c>
      <c r="G836" s="29">
        <v>0.94</v>
      </c>
      <c r="H836" s="28">
        <f t="shared" si="26"/>
        <v>7612.77</v>
      </c>
      <c r="I836" s="30">
        <v>45792</v>
      </c>
      <c r="J836" s="26" t="s">
        <v>18</v>
      </c>
      <c r="K836" s="26" t="s">
        <v>16</v>
      </c>
      <c r="L836" s="31">
        <f t="shared" si="27"/>
        <v>456.76620000000042</v>
      </c>
      <c r="M836" s="31">
        <v>-663.74</v>
      </c>
      <c r="N836" s="22">
        <f>_xlfn.XLOOKUP(Snitch_Fashion_Sales_cleaned!$J836,Table2[City],Table2[City_Key],"not found")</f>
        <v>2</v>
      </c>
      <c r="O836" s="21">
        <f>_xlfn.XLOOKUP(Snitch_Fashion_Sales_cleaned!$D836,Table4[Product_Name],Table4[Product_Key],"not found")</f>
        <v>19</v>
      </c>
      <c r="P836" s="25">
        <f>_xlfn.XLOOKUP(Snitch_Fashion_Sales_cleaned!$I836,Table3[Order_Date],Table3[Date_Key])</f>
        <v>295</v>
      </c>
    </row>
    <row r="837" spans="1:16" x14ac:dyDescent="0.3">
      <c r="A837" s="34">
        <v>1835</v>
      </c>
      <c r="B837" s="32" t="s">
        <v>876</v>
      </c>
      <c r="C837" s="32" t="s">
        <v>13</v>
      </c>
      <c r="D837" s="33" t="s">
        <v>98</v>
      </c>
      <c r="E837" s="34">
        <v>5</v>
      </c>
      <c r="F837" s="35">
        <v>2750.33</v>
      </c>
      <c r="G837" s="36">
        <v>0.51</v>
      </c>
      <c r="H837" s="35">
        <f t="shared" si="26"/>
        <v>13751.65</v>
      </c>
      <c r="I837" s="37">
        <v>45512</v>
      </c>
      <c r="J837" s="33" t="s">
        <v>52</v>
      </c>
      <c r="K837" s="33" t="s">
        <v>23</v>
      </c>
      <c r="L837" s="38">
        <f t="shared" si="27"/>
        <v>6738.3085000000001</v>
      </c>
      <c r="M837" s="38">
        <v>1851.02</v>
      </c>
      <c r="N837" s="24">
        <f>_xlfn.XLOOKUP(Snitch_Fashion_Sales_cleaned!$J837,Table2[City],Table2[City_Key],"not found")</f>
        <v>5</v>
      </c>
      <c r="O837" s="23">
        <f>_xlfn.XLOOKUP(Snitch_Fashion_Sales_cleaned!$D837,Table4[Product_Name],Table4[Product_Key],"not found")</f>
        <v>21</v>
      </c>
      <c r="P837" s="32">
        <f>_xlfn.XLOOKUP(Snitch_Fashion_Sales_cleaned!$I837,Table3[Order_Date],Table3[Date_Key])</f>
        <v>119</v>
      </c>
    </row>
    <row r="838" spans="1:16" x14ac:dyDescent="0.3">
      <c r="A838" s="27">
        <v>1836</v>
      </c>
      <c r="B838" s="25" t="s">
        <v>877</v>
      </c>
      <c r="C838" s="25" t="s">
        <v>13</v>
      </c>
      <c r="D838" s="26" t="s">
        <v>46</v>
      </c>
      <c r="E838" s="27">
        <v>4</v>
      </c>
      <c r="F838" s="28">
        <v>2105.94</v>
      </c>
      <c r="G838" s="29">
        <v>0.16</v>
      </c>
      <c r="H838" s="28">
        <f t="shared" ref="H838:H901" si="28">E838*F838</f>
        <v>8423.76</v>
      </c>
      <c r="I838" s="30">
        <v>45647</v>
      </c>
      <c r="J838" s="26" t="s">
        <v>18</v>
      </c>
      <c r="K838" s="26" t="s">
        <v>23</v>
      </c>
      <c r="L838" s="31">
        <f t="shared" ref="L838:L901" si="29">H838*(1-G838)</f>
        <v>7075.9583999999995</v>
      </c>
      <c r="M838" s="31">
        <v>1782.55</v>
      </c>
      <c r="N838" s="22">
        <f>_xlfn.XLOOKUP(Snitch_Fashion_Sales_cleaned!$J838,Table2[City],Table2[City_Key],"not found")</f>
        <v>2</v>
      </c>
      <c r="O838" s="21">
        <f>_xlfn.XLOOKUP(Snitch_Fashion_Sales_cleaned!$D838,Table4[Product_Name],Table4[Product_Key],"not found")</f>
        <v>10</v>
      </c>
      <c r="P838" s="25">
        <f>_xlfn.XLOOKUP(Snitch_Fashion_Sales_cleaned!$I838,Table3[Order_Date],Table3[Date_Key])</f>
        <v>5</v>
      </c>
    </row>
    <row r="839" spans="1:16" x14ac:dyDescent="0.3">
      <c r="A839" s="34">
        <v>1006</v>
      </c>
      <c r="B839" s="32" t="s">
        <v>878</v>
      </c>
      <c r="C839" s="32" t="s">
        <v>20</v>
      </c>
      <c r="D839" s="33" t="s">
        <v>118</v>
      </c>
      <c r="E839" s="34">
        <v>4</v>
      </c>
      <c r="F839" s="35">
        <v>2752.99</v>
      </c>
      <c r="G839" s="36">
        <v>0.51</v>
      </c>
      <c r="H839" s="35">
        <f t="shared" si="28"/>
        <v>11011.96</v>
      </c>
      <c r="I839" s="37">
        <v>45762</v>
      </c>
      <c r="J839" s="33" t="s">
        <v>22</v>
      </c>
      <c r="K839" s="33" t="s">
        <v>23</v>
      </c>
      <c r="L839" s="38">
        <f t="shared" si="29"/>
        <v>5395.8603999999996</v>
      </c>
      <c r="M839" s="38">
        <v>1663.32</v>
      </c>
      <c r="N839" s="24">
        <f>_xlfn.XLOOKUP(Snitch_Fashion_Sales_cleaned!$J839,Table2[City],Table2[City_Key],"not found")</f>
        <v>3</v>
      </c>
      <c r="O839" s="23">
        <f>_xlfn.XLOOKUP(Snitch_Fashion_Sales_cleaned!$D839,Table4[Product_Name],Table4[Product_Key],"not found")</f>
        <v>23</v>
      </c>
      <c r="P839" s="32">
        <f>_xlfn.XLOOKUP(Snitch_Fashion_Sales_cleaned!$I839,Table3[Order_Date],Table3[Date_Key])</f>
        <v>69</v>
      </c>
    </row>
    <row r="840" spans="1:16" x14ac:dyDescent="0.3">
      <c r="A840" s="27">
        <v>1838</v>
      </c>
      <c r="B840" s="25" t="s">
        <v>879</v>
      </c>
      <c r="C840" s="25" t="s">
        <v>36</v>
      </c>
      <c r="D840" s="26" t="s">
        <v>87</v>
      </c>
      <c r="E840" s="27">
        <v>4</v>
      </c>
      <c r="F840" s="28">
        <v>2889.5349999999999</v>
      </c>
      <c r="G840" s="29">
        <v>0.51</v>
      </c>
      <c r="H840" s="28">
        <f t="shared" si="28"/>
        <v>11558.14</v>
      </c>
      <c r="I840" s="30">
        <v>45613</v>
      </c>
      <c r="J840" s="26" t="s">
        <v>43</v>
      </c>
      <c r="K840" s="26" t="s">
        <v>23</v>
      </c>
      <c r="L840" s="31">
        <f t="shared" si="29"/>
        <v>5663.4885999999997</v>
      </c>
      <c r="M840" s="31">
        <v>1657.14</v>
      </c>
      <c r="N840" s="22">
        <f>_xlfn.XLOOKUP(Snitch_Fashion_Sales_cleaned!$J840,Table2[City],Table2[City_Key],"not found")</f>
        <v>6</v>
      </c>
      <c r="O840" s="21">
        <f>_xlfn.XLOOKUP(Snitch_Fashion_Sales_cleaned!$D840,Table4[Product_Name],Table4[Product_Key],"not found")</f>
        <v>20</v>
      </c>
      <c r="P840" s="25">
        <f>_xlfn.XLOOKUP(Snitch_Fashion_Sales_cleaned!$I840,Table3[Order_Date],Table3[Date_Key])</f>
        <v>375</v>
      </c>
    </row>
    <row r="841" spans="1:16" x14ac:dyDescent="0.3">
      <c r="A841" s="34">
        <v>1839</v>
      </c>
      <c r="B841" s="32" t="s">
        <v>880</v>
      </c>
      <c r="C841" s="32" t="s">
        <v>31</v>
      </c>
      <c r="D841" s="33" t="s">
        <v>68</v>
      </c>
      <c r="E841" s="34">
        <v>4</v>
      </c>
      <c r="F841" s="35">
        <v>2067.64</v>
      </c>
      <c r="G841" s="36">
        <v>0.51</v>
      </c>
      <c r="H841" s="35">
        <f t="shared" si="28"/>
        <v>8270.56</v>
      </c>
      <c r="I841" s="37">
        <v>45647</v>
      </c>
      <c r="J841" s="33" t="s">
        <v>2540</v>
      </c>
      <c r="K841" s="33" t="s">
        <v>23</v>
      </c>
      <c r="L841" s="38">
        <f t="shared" si="29"/>
        <v>4052.5743999999995</v>
      </c>
      <c r="M841" s="38">
        <v>-276.17</v>
      </c>
      <c r="N841" s="24">
        <f>_xlfn.XLOOKUP(Snitch_Fashion_Sales_cleaned!$J841,Table2[City],Table2[City_Key],"not found")</f>
        <v>4</v>
      </c>
      <c r="O841" s="23">
        <f>_xlfn.XLOOKUP(Snitch_Fashion_Sales_cleaned!$D841,Table4[Product_Name],Table4[Product_Key],"not found")</f>
        <v>15</v>
      </c>
      <c r="P841" s="32">
        <f>_xlfn.XLOOKUP(Snitch_Fashion_Sales_cleaned!$I841,Table3[Order_Date],Table3[Date_Key])</f>
        <v>5</v>
      </c>
    </row>
    <row r="842" spans="1:16" x14ac:dyDescent="0.3">
      <c r="A842" s="27">
        <v>1840</v>
      </c>
      <c r="B842" s="25" t="s">
        <v>881</v>
      </c>
      <c r="C842" s="25" t="s">
        <v>28</v>
      </c>
      <c r="D842" s="26" t="s">
        <v>116</v>
      </c>
      <c r="E842" s="27">
        <v>4</v>
      </c>
      <c r="F842" s="28">
        <v>1462.1</v>
      </c>
      <c r="G842" s="29">
        <v>0.3</v>
      </c>
      <c r="H842" s="28">
        <f t="shared" si="28"/>
        <v>5848.4</v>
      </c>
      <c r="I842" s="30">
        <v>45496</v>
      </c>
      <c r="J842" s="26" t="s">
        <v>18</v>
      </c>
      <c r="K842" s="26" t="s">
        <v>23</v>
      </c>
      <c r="L842" s="31">
        <f t="shared" si="29"/>
        <v>4093.8799999999997</v>
      </c>
      <c r="M842" s="31">
        <v>59.79</v>
      </c>
      <c r="N842" s="22">
        <f>_xlfn.XLOOKUP(Snitch_Fashion_Sales_cleaned!$J842,Table2[City],Table2[City_Key],"not found")</f>
        <v>2</v>
      </c>
      <c r="O842" s="21">
        <f>_xlfn.XLOOKUP(Snitch_Fashion_Sales_cleaned!$D842,Table4[Product_Name],Table4[Product_Key],"not found")</f>
        <v>22</v>
      </c>
      <c r="P842" s="25">
        <f>_xlfn.XLOOKUP(Snitch_Fashion_Sales_cleaned!$I842,Table3[Order_Date],Table3[Date_Key])</f>
        <v>344</v>
      </c>
    </row>
    <row r="843" spans="1:16" x14ac:dyDescent="0.3">
      <c r="A843" s="34">
        <v>1841</v>
      </c>
      <c r="B843" s="32" t="s">
        <v>882</v>
      </c>
      <c r="C843" s="32" t="s">
        <v>20</v>
      </c>
      <c r="D843" s="33" t="s">
        <v>21</v>
      </c>
      <c r="E843" s="34">
        <v>4</v>
      </c>
      <c r="F843" s="35">
        <v>2579.8000000000002</v>
      </c>
      <c r="G843" s="36">
        <v>0.51</v>
      </c>
      <c r="H843" s="35">
        <f t="shared" si="28"/>
        <v>10319.200000000001</v>
      </c>
      <c r="I843" s="37">
        <v>45747</v>
      </c>
      <c r="J843" s="33" t="s">
        <v>15</v>
      </c>
      <c r="K843" s="33" t="s">
        <v>16</v>
      </c>
      <c r="L843" s="38">
        <f t="shared" si="29"/>
        <v>5056.4080000000004</v>
      </c>
      <c r="M843" s="38">
        <v>-780.96</v>
      </c>
      <c r="N843" s="24">
        <f>_xlfn.XLOOKUP(Snitch_Fashion_Sales_cleaned!$J843,Table2[City],Table2[City_Key],"not found")</f>
        <v>1</v>
      </c>
      <c r="O843" s="23">
        <f>_xlfn.XLOOKUP(Snitch_Fashion_Sales_cleaned!$D843,Table4[Product_Name],Table4[Product_Key],"not found")</f>
        <v>2</v>
      </c>
      <c r="P843" s="32">
        <f>_xlfn.XLOOKUP(Snitch_Fashion_Sales_cleaned!$I843,Table3[Order_Date],Table3[Date_Key])</f>
        <v>127</v>
      </c>
    </row>
    <row r="844" spans="1:16" x14ac:dyDescent="0.3">
      <c r="A844" s="27">
        <v>1842</v>
      </c>
      <c r="B844" s="25" t="s">
        <v>883</v>
      </c>
      <c r="C844" s="25" t="s">
        <v>20</v>
      </c>
      <c r="D844" s="26" t="s">
        <v>118</v>
      </c>
      <c r="E844" s="27">
        <v>3.5</v>
      </c>
      <c r="F844" s="28">
        <v>2752.99</v>
      </c>
      <c r="G844" s="29">
        <v>0.11</v>
      </c>
      <c r="H844" s="28">
        <f t="shared" si="28"/>
        <v>9635.4650000000001</v>
      </c>
      <c r="I844" s="30">
        <v>45726</v>
      </c>
      <c r="J844" s="26" t="s">
        <v>52</v>
      </c>
      <c r="K844" s="26" t="s">
        <v>16</v>
      </c>
      <c r="L844" s="31">
        <f t="shared" si="29"/>
        <v>8575.5638500000005</v>
      </c>
      <c r="M844" s="31">
        <v>2041.06</v>
      </c>
      <c r="N844" s="22">
        <f>_xlfn.XLOOKUP(Snitch_Fashion_Sales_cleaned!$J844,Table2[City],Table2[City_Key],"not found")</f>
        <v>5</v>
      </c>
      <c r="O844" s="21">
        <f>_xlfn.XLOOKUP(Snitch_Fashion_Sales_cleaned!$D844,Table4[Product_Name],Table4[Product_Key],"not found")</f>
        <v>23</v>
      </c>
      <c r="P844" s="25">
        <f>_xlfn.XLOOKUP(Snitch_Fashion_Sales_cleaned!$I844,Table3[Order_Date],Table3[Date_Key])</f>
        <v>237</v>
      </c>
    </row>
    <row r="845" spans="1:16" x14ac:dyDescent="0.3">
      <c r="A845" s="34">
        <v>1843</v>
      </c>
      <c r="B845" s="32" t="s">
        <v>884</v>
      </c>
      <c r="C845" s="32" t="s">
        <v>36</v>
      </c>
      <c r="D845" s="33" t="s">
        <v>37</v>
      </c>
      <c r="E845" s="34">
        <v>4</v>
      </c>
      <c r="F845" s="35">
        <v>2975.64</v>
      </c>
      <c r="G845" s="36">
        <v>0.06</v>
      </c>
      <c r="H845" s="35">
        <f t="shared" si="28"/>
        <v>11902.56</v>
      </c>
      <c r="I845" s="37">
        <v>45816</v>
      </c>
      <c r="J845" s="33" t="s">
        <v>52</v>
      </c>
      <c r="K845" s="33" t="s">
        <v>23</v>
      </c>
      <c r="L845" s="38">
        <f t="shared" si="29"/>
        <v>11188.406399999998</v>
      </c>
      <c r="M845" s="38">
        <v>406.45</v>
      </c>
      <c r="N845" s="24">
        <f>_xlfn.XLOOKUP(Snitch_Fashion_Sales_cleaned!$J845,Table2[City],Table2[City_Key],"not found")</f>
        <v>5</v>
      </c>
      <c r="O845" s="23">
        <f>_xlfn.XLOOKUP(Snitch_Fashion_Sales_cleaned!$D845,Table4[Product_Name],Table4[Product_Key],"not found")</f>
        <v>7</v>
      </c>
      <c r="P845" s="32">
        <f>_xlfn.XLOOKUP(Snitch_Fashion_Sales_cleaned!$I845,Table3[Order_Date],Table3[Date_Key])</f>
        <v>205</v>
      </c>
    </row>
    <row r="846" spans="1:16" x14ac:dyDescent="0.3">
      <c r="A846" s="27">
        <v>1844</v>
      </c>
      <c r="B846" s="25" t="s">
        <v>885</v>
      </c>
      <c r="C846" s="25" t="s">
        <v>28</v>
      </c>
      <c r="D846" s="26" t="s">
        <v>39</v>
      </c>
      <c r="E846" s="27">
        <v>3</v>
      </c>
      <c r="F846" s="28">
        <v>2577.6350000000002</v>
      </c>
      <c r="G846" s="29">
        <v>0.51</v>
      </c>
      <c r="H846" s="28">
        <f t="shared" si="28"/>
        <v>7732.9050000000007</v>
      </c>
      <c r="I846" s="30">
        <v>45842</v>
      </c>
      <c r="J846" s="26" t="s">
        <v>15</v>
      </c>
      <c r="K846" s="26" t="s">
        <v>16</v>
      </c>
      <c r="L846" s="31">
        <f t="shared" si="29"/>
        <v>3789.12345</v>
      </c>
      <c r="M846" s="31">
        <v>1910.76</v>
      </c>
      <c r="N846" s="22">
        <f>_xlfn.XLOOKUP(Snitch_Fashion_Sales_cleaned!$J846,Table2[City],Table2[City_Key],"not found")</f>
        <v>1</v>
      </c>
      <c r="O846" s="21">
        <f>_xlfn.XLOOKUP(Snitch_Fashion_Sales_cleaned!$D846,Table4[Product_Name],Table4[Product_Key],"not found")</f>
        <v>8</v>
      </c>
      <c r="P846" s="25">
        <f>_xlfn.XLOOKUP(Snitch_Fashion_Sales_cleaned!$I846,Table3[Order_Date],Table3[Date_Key])</f>
        <v>376</v>
      </c>
    </row>
    <row r="847" spans="1:16" x14ac:dyDescent="0.3">
      <c r="A847" s="34">
        <v>1845</v>
      </c>
      <c r="B847" s="32" t="s">
        <v>886</v>
      </c>
      <c r="C847" s="32" t="s">
        <v>31</v>
      </c>
      <c r="D847" s="33" t="s">
        <v>32</v>
      </c>
      <c r="E847" s="34">
        <v>4</v>
      </c>
      <c r="F847" s="35">
        <v>2001.5500000000002</v>
      </c>
      <c r="G847" s="36">
        <v>0.12</v>
      </c>
      <c r="H847" s="35">
        <f t="shared" si="28"/>
        <v>8006.2000000000007</v>
      </c>
      <c r="I847" s="37">
        <v>45690</v>
      </c>
      <c r="J847" s="33" t="s">
        <v>43</v>
      </c>
      <c r="K847" s="33" t="s">
        <v>16</v>
      </c>
      <c r="L847" s="38">
        <f t="shared" si="29"/>
        <v>7045.456000000001</v>
      </c>
      <c r="M847" s="38">
        <v>1013.64</v>
      </c>
      <c r="N847" s="24">
        <f>_xlfn.XLOOKUP(Snitch_Fashion_Sales_cleaned!$J847,Table2[City],Table2[City_Key],"not found")</f>
        <v>6</v>
      </c>
      <c r="O847" s="23">
        <f>_xlfn.XLOOKUP(Snitch_Fashion_Sales_cleaned!$D847,Table4[Product_Name],Table4[Product_Key],"not found")</f>
        <v>5</v>
      </c>
      <c r="P847" s="32">
        <f>_xlfn.XLOOKUP(Snitch_Fashion_Sales_cleaned!$I847,Table3[Order_Date],Table3[Date_Key])</f>
        <v>122</v>
      </c>
    </row>
    <row r="848" spans="1:16" x14ac:dyDescent="0.3">
      <c r="A848" s="27">
        <v>1846</v>
      </c>
      <c r="B848" s="25" t="s">
        <v>887</v>
      </c>
      <c r="C848" s="25" t="s">
        <v>28</v>
      </c>
      <c r="D848" s="26" t="s">
        <v>39</v>
      </c>
      <c r="E848" s="27">
        <v>3</v>
      </c>
      <c r="F848" s="28">
        <v>694.71</v>
      </c>
      <c r="G848" s="29">
        <v>0.51</v>
      </c>
      <c r="H848" s="28">
        <f t="shared" si="28"/>
        <v>2084.13</v>
      </c>
      <c r="I848" s="30">
        <v>45683</v>
      </c>
      <c r="J848" s="26" t="s">
        <v>18</v>
      </c>
      <c r="K848" s="26" t="s">
        <v>23</v>
      </c>
      <c r="L848" s="31">
        <f t="shared" si="29"/>
        <v>1021.2237</v>
      </c>
      <c r="M848" s="31">
        <v>255.305925</v>
      </c>
      <c r="N848" s="22">
        <f>_xlfn.XLOOKUP(Snitch_Fashion_Sales_cleaned!$J848,Table2[City],Table2[City_Key],"not found")</f>
        <v>2</v>
      </c>
      <c r="O848" s="21">
        <f>_xlfn.XLOOKUP(Snitch_Fashion_Sales_cleaned!$D848,Table4[Product_Name],Table4[Product_Key],"not found")</f>
        <v>8</v>
      </c>
      <c r="P848" s="25">
        <f>_xlfn.XLOOKUP(Snitch_Fashion_Sales_cleaned!$I848,Table3[Order_Date],Table3[Date_Key])</f>
        <v>370</v>
      </c>
    </row>
    <row r="849" spans="1:16" x14ac:dyDescent="0.3">
      <c r="A849" s="34">
        <v>1847</v>
      </c>
      <c r="B849" s="32" t="s">
        <v>888</v>
      </c>
      <c r="C849" s="32" t="s">
        <v>36</v>
      </c>
      <c r="D849" s="33" t="s">
        <v>87</v>
      </c>
      <c r="E849" s="34">
        <v>4</v>
      </c>
      <c r="F849" s="35">
        <v>1334.66</v>
      </c>
      <c r="G849" s="36">
        <v>0.51</v>
      </c>
      <c r="H849" s="35">
        <f t="shared" si="28"/>
        <v>5338.64</v>
      </c>
      <c r="I849" s="37">
        <v>45793</v>
      </c>
      <c r="J849" s="33" t="s">
        <v>2540</v>
      </c>
      <c r="K849" s="33" t="s">
        <v>23</v>
      </c>
      <c r="L849" s="38">
        <f t="shared" si="29"/>
        <v>2615.9336000000003</v>
      </c>
      <c r="M849" s="38">
        <v>653.98340000000007</v>
      </c>
      <c r="N849" s="24">
        <f>_xlfn.XLOOKUP(Snitch_Fashion_Sales_cleaned!$J849,Table2[City],Table2[City_Key],"not found")</f>
        <v>4</v>
      </c>
      <c r="O849" s="23">
        <f>_xlfn.XLOOKUP(Snitch_Fashion_Sales_cleaned!$D849,Table4[Product_Name],Table4[Product_Key],"not found")</f>
        <v>20</v>
      </c>
      <c r="P849" s="32">
        <f>_xlfn.XLOOKUP(Snitch_Fashion_Sales_cleaned!$I849,Table3[Order_Date],Table3[Date_Key])</f>
        <v>366</v>
      </c>
    </row>
    <row r="850" spans="1:16" x14ac:dyDescent="0.3">
      <c r="A850" s="27">
        <v>1848</v>
      </c>
      <c r="B850" s="25" t="s">
        <v>889</v>
      </c>
      <c r="C850" s="25" t="s">
        <v>31</v>
      </c>
      <c r="D850" s="26" t="s">
        <v>78</v>
      </c>
      <c r="E850" s="27">
        <v>4</v>
      </c>
      <c r="F850" s="28">
        <v>2599.75</v>
      </c>
      <c r="G850" s="29">
        <v>0.51</v>
      </c>
      <c r="H850" s="28">
        <f t="shared" si="28"/>
        <v>10399</v>
      </c>
      <c r="I850" s="30">
        <v>45634</v>
      </c>
      <c r="J850" s="26" t="s">
        <v>15</v>
      </c>
      <c r="K850" s="26" t="s">
        <v>16</v>
      </c>
      <c r="L850" s="31">
        <f t="shared" si="29"/>
        <v>5095.51</v>
      </c>
      <c r="M850" s="31">
        <v>-56.68</v>
      </c>
      <c r="N850" s="22">
        <f>_xlfn.XLOOKUP(Snitch_Fashion_Sales_cleaned!$J850,Table2[City],Table2[City_Key],"not found")</f>
        <v>1</v>
      </c>
      <c r="O850" s="21">
        <f>_xlfn.XLOOKUP(Snitch_Fashion_Sales_cleaned!$D850,Table4[Product_Name],Table4[Product_Key],"not found")</f>
        <v>17</v>
      </c>
      <c r="P850" s="25">
        <f>_xlfn.XLOOKUP(Snitch_Fashion_Sales_cleaned!$I850,Table3[Order_Date],Table3[Date_Key])</f>
        <v>377</v>
      </c>
    </row>
    <row r="851" spans="1:16" x14ac:dyDescent="0.3">
      <c r="A851" s="34">
        <v>1849</v>
      </c>
      <c r="B851" s="32" t="s">
        <v>890</v>
      </c>
      <c r="C851" s="32" t="s">
        <v>31</v>
      </c>
      <c r="D851" s="33" t="s">
        <v>41</v>
      </c>
      <c r="E851" s="34">
        <v>3</v>
      </c>
      <c r="F851" s="35">
        <v>927.04</v>
      </c>
      <c r="G851" s="36">
        <v>0.51</v>
      </c>
      <c r="H851" s="35">
        <f t="shared" si="28"/>
        <v>2781.12</v>
      </c>
      <c r="I851" s="37">
        <v>45647</v>
      </c>
      <c r="J851" s="33" t="s">
        <v>18</v>
      </c>
      <c r="K851" s="33" t="s">
        <v>16</v>
      </c>
      <c r="L851" s="38">
        <f t="shared" si="29"/>
        <v>1362.7487999999998</v>
      </c>
      <c r="M851" s="38">
        <v>880.71</v>
      </c>
      <c r="N851" s="24">
        <f>_xlfn.XLOOKUP(Snitch_Fashion_Sales_cleaned!$J851,Table2[City],Table2[City_Key],"not found")</f>
        <v>2</v>
      </c>
      <c r="O851" s="23">
        <f>_xlfn.XLOOKUP(Snitch_Fashion_Sales_cleaned!$D851,Table4[Product_Name],Table4[Product_Key],"not found")</f>
        <v>9</v>
      </c>
      <c r="P851" s="32">
        <f>_xlfn.XLOOKUP(Snitch_Fashion_Sales_cleaned!$I851,Table3[Order_Date],Table3[Date_Key])</f>
        <v>5</v>
      </c>
    </row>
    <row r="852" spans="1:16" x14ac:dyDescent="0.3">
      <c r="A852" s="27">
        <v>1850</v>
      </c>
      <c r="B852" s="25" t="s">
        <v>891</v>
      </c>
      <c r="C852" s="25" t="s">
        <v>28</v>
      </c>
      <c r="D852" s="26" t="s">
        <v>29</v>
      </c>
      <c r="E852" s="27">
        <v>3</v>
      </c>
      <c r="F852" s="28">
        <v>1307.27</v>
      </c>
      <c r="G852" s="29">
        <v>0.51</v>
      </c>
      <c r="H852" s="28">
        <f t="shared" si="28"/>
        <v>3921.81</v>
      </c>
      <c r="I852" s="30">
        <v>45143</v>
      </c>
      <c r="J852" s="26" t="s">
        <v>52</v>
      </c>
      <c r="K852" s="26" t="s">
        <v>23</v>
      </c>
      <c r="L852" s="31">
        <f t="shared" si="29"/>
        <v>1921.6868999999999</v>
      </c>
      <c r="M852" s="31">
        <v>1757.18</v>
      </c>
      <c r="N852" s="22">
        <f>_xlfn.XLOOKUP(Snitch_Fashion_Sales_cleaned!$J852,Table2[City],Table2[City_Key],"not found")</f>
        <v>5</v>
      </c>
      <c r="O852" s="21">
        <f>_xlfn.XLOOKUP(Snitch_Fashion_Sales_cleaned!$D852,Table4[Product_Name],Table4[Product_Key],"not found")</f>
        <v>4</v>
      </c>
      <c r="P852" s="25">
        <f>_xlfn.XLOOKUP(Snitch_Fashion_Sales_cleaned!$I852,Table3[Order_Date],Table3[Date_Key])</f>
        <v>378</v>
      </c>
    </row>
    <row r="853" spans="1:16" x14ac:dyDescent="0.3">
      <c r="A853" s="34">
        <v>1851</v>
      </c>
      <c r="B853" s="32" t="s">
        <v>892</v>
      </c>
      <c r="C853" s="32" t="s">
        <v>13</v>
      </c>
      <c r="D853" s="33" t="s">
        <v>14</v>
      </c>
      <c r="E853" s="34">
        <v>5</v>
      </c>
      <c r="F853" s="35">
        <v>1505</v>
      </c>
      <c r="G853" s="36">
        <v>0.51</v>
      </c>
      <c r="H853" s="35">
        <f t="shared" si="28"/>
        <v>7525</v>
      </c>
      <c r="I853" s="37">
        <v>45637</v>
      </c>
      <c r="J853" s="33" t="s">
        <v>2540</v>
      </c>
      <c r="K853" s="33" t="s">
        <v>23</v>
      </c>
      <c r="L853" s="38">
        <f t="shared" si="29"/>
        <v>3687.25</v>
      </c>
      <c r="M853" s="38">
        <v>-29.76</v>
      </c>
      <c r="N853" s="24">
        <f>_xlfn.XLOOKUP(Snitch_Fashion_Sales_cleaned!$J853,Table2[City],Table2[City_Key],"not found")</f>
        <v>4</v>
      </c>
      <c r="O853" s="23">
        <f>_xlfn.XLOOKUP(Snitch_Fashion_Sales_cleaned!$D853,Table4[Product_Name],Table4[Product_Key],"not found")</f>
        <v>1</v>
      </c>
      <c r="P853" s="32">
        <f>_xlfn.XLOOKUP(Snitch_Fashion_Sales_cleaned!$I853,Table3[Order_Date],Table3[Date_Key])</f>
        <v>289</v>
      </c>
    </row>
    <row r="854" spans="1:16" x14ac:dyDescent="0.3">
      <c r="A854" s="27">
        <v>1852</v>
      </c>
      <c r="B854" s="25" t="s">
        <v>893</v>
      </c>
      <c r="C854" s="25" t="s">
        <v>31</v>
      </c>
      <c r="D854" s="26" t="s">
        <v>78</v>
      </c>
      <c r="E854" s="27">
        <v>4</v>
      </c>
      <c r="F854" s="28">
        <v>1985.55</v>
      </c>
      <c r="G854" s="29">
        <v>0.13</v>
      </c>
      <c r="H854" s="28">
        <f t="shared" si="28"/>
        <v>7942.2</v>
      </c>
      <c r="I854" s="30">
        <v>45408</v>
      </c>
      <c r="J854" s="26" t="s">
        <v>18</v>
      </c>
      <c r="K854" s="26" t="s">
        <v>16</v>
      </c>
      <c r="L854" s="31">
        <f t="shared" si="29"/>
        <v>6909.7139999999999</v>
      </c>
      <c r="M854" s="31">
        <v>1754.79</v>
      </c>
      <c r="N854" s="22">
        <f>_xlfn.XLOOKUP(Snitch_Fashion_Sales_cleaned!$J854,Table2[City],Table2[City_Key],"not found")</f>
        <v>2</v>
      </c>
      <c r="O854" s="21">
        <f>_xlfn.XLOOKUP(Snitch_Fashion_Sales_cleaned!$D854,Table4[Product_Name],Table4[Product_Key],"not found")</f>
        <v>17</v>
      </c>
      <c r="P854" s="25">
        <f>_xlfn.XLOOKUP(Snitch_Fashion_Sales_cleaned!$I854,Table3[Order_Date],Table3[Date_Key])</f>
        <v>379</v>
      </c>
    </row>
    <row r="855" spans="1:16" x14ac:dyDescent="0.3">
      <c r="A855" s="34">
        <v>1853</v>
      </c>
      <c r="B855" s="32" t="s">
        <v>894</v>
      </c>
      <c r="C855" s="32" t="s">
        <v>28</v>
      </c>
      <c r="D855" s="33" t="s">
        <v>116</v>
      </c>
      <c r="E855" s="34">
        <v>3</v>
      </c>
      <c r="F855" s="35">
        <v>2862.48</v>
      </c>
      <c r="G855" s="36">
        <v>0.51</v>
      </c>
      <c r="H855" s="35">
        <f t="shared" si="28"/>
        <v>8587.44</v>
      </c>
      <c r="I855" s="37">
        <v>45184</v>
      </c>
      <c r="J855" s="33" t="s">
        <v>18</v>
      </c>
      <c r="K855" s="33" t="s">
        <v>23</v>
      </c>
      <c r="L855" s="38">
        <f t="shared" si="29"/>
        <v>4207.8456000000006</v>
      </c>
      <c r="M855" s="38">
        <v>2555.84</v>
      </c>
      <c r="N855" s="24">
        <f>_xlfn.XLOOKUP(Snitch_Fashion_Sales_cleaned!$J855,Table2[City],Table2[City_Key],"not found")</f>
        <v>2</v>
      </c>
      <c r="O855" s="23">
        <f>_xlfn.XLOOKUP(Snitch_Fashion_Sales_cleaned!$D855,Table4[Product_Name],Table4[Product_Key],"not found")</f>
        <v>22</v>
      </c>
      <c r="P855" s="32">
        <f>_xlfn.XLOOKUP(Snitch_Fashion_Sales_cleaned!$I855,Table3[Order_Date],Table3[Date_Key])</f>
        <v>380</v>
      </c>
    </row>
    <row r="856" spans="1:16" x14ac:dyDescent="0.3">
      <c r="A856" s="27">
        <v>1854</v>
      </c>
      <c r="B856" s="25" t="s">
        <v>895</v>
      </c>
      <c r="C856" s="25" t="s">
        <v>13</v>
      </c>
      <c r="D856" s="26" t="s">
        <v>34</v>
      </c>
      <c r="E856" s="27">
        <v>3</v>
      </c>
      <c r="F856" s="28">
        <v>3822.93</v>
      </c>
      <c r="G856" s="29">
        <v>0.51</v>
      </c>
      <c r="H856" s="28">
        <f t="shared" si="28"/>
        <v>11468.789999999999</v>
      </c>
      <c r="I856" s="30">
        <v>45647</v>
      </c>
      <c r="J856" s="26" t="s">
        <v>52</v>
      </c>
      <c r="K856" s="26" t="s">
        <v>23</v>
      </c>
      <c r="L856" s="31">
        <f t="shared" si="29"/>
        <v>5619.7070999999996</v>
      </c>
      <c r="M856" s="31">
        <v>40.200000000000003</v>
      </c>
      <c r="N856" s="22">
        <f>_xlfn.XLOOKUP(Snitch_Fashion_Sales_cleaned!$J856,Table2[City],Table2[City_Key],"not found")</f>
        <v>5</v>
      </c>
      <c r="O856" s="21">
        <f>_xlfn.XLOOKUP(Snitch_Fashion_Sales_cleaned!$D856,Table4[Product_Name],Table4[Product_Key],"not found")</f>
        <v>6</v>
      </c>
      <c r="P856" s="25">
        <f>_xlfn.XLOOKUP(Snitch_Fashion_Sales_cleaned!$I856,Table3[Order_Date],Table3[Date_Key])</f>
        <v>5</v>
      </c>
    </row>
    <row r="857" spans="1:16" x14ac:dyDescent="0.3">
      <c r="A857" s="34">
        <v>1855</v>
      </c>
      <c r="B857" s="32" t="s">
        <v>896</v>
      </c>
      <c r="C857" s="32" t="s">
        <v>31</v>
      </c>
      <c r="D857" s="33" t="s">
        <v>32</v>
      </c>
      <c r="E857" s="34">
        <v>5</v>
      </c>
      <c r="F857" s="35">
        <v>3870.85</v>
      </c>
      <c r="G857" s="36">
        <v>0.51</v>
      </c>
      <c r="H857" s="35">
        <f t="shared" si="28"/>
        <v>19354.25</v>
      </c>
      <c r="I857" s="37">
        <v>45691</v>
      </c>
      <c r="J857" s="33" t="s">
        <v>2540</v>
      </c>
      <c r="K857" s="33" t="s">
        <v>16</v>
      </c>
      <c r="L857" s="38">
        <f t="shared" si="29"/>
        <v>9483.5825000000004</v>
      </c>
      <c r="M857" s="38">
        <v>2313.58</v>
      </c>
      <c r="N857" s="24">
        <f>_xlfn.XLOOKUP(Snitch_Fashion_Sales_cleaned!$J857,Table2[City],Table2[City_Key],"not found")</f>
        <v>4</v>
      </c>
      <c r="O857" s="23">
        <f>_xlfn.XLOOKUP(Snitch_Fashion_Sales_cleaned!$D857,Table4[Product_Name],Table4[Product_Key],"not found")</f>
        <v>5</v>
      </c>
      <c r="P857" s="32">
        <f>_xlfn.XLOOKUP(Snitch_Fashion_Sales_cleaned!$I857,Table3[Order_Date],Table3[Date_Key])</f>
        <v>348</v>
      </c>
    </row>
    <row r="858" spans="1:16" x14ac:dyDescent="0.3">
      <c r="A858" s="27">
        <v>1856</v>
      </c>
      <c r="B858" s="25" t="s">
        <v>897</v>
      </c>
      <c r="C858" s="25" t="s">
        <v>36</v>
      </c>
      <c r="D858" s="26" t="s">
        <v>59</v>
      </c>
      <c r="E858" s="27">
        <v>1</v>
      </c>
      <c r="F858" s="28">
        <v>2737.23</v>
      </c>
      <c r="G858" s="29">
        <v>0.51</v>
      </c>
      <c r="H858" s="28">
        <f t="shared" si="28"/>
        <v>2737.23</v>
      </c>
      <c r="I858" s="30">
        <v>45785</v>
      </c>
      <c r="J858" s="26" t="s">
        <v>22</v>
      </c>
      <c r="K858" s="26" t="s">
        <v>23</v>
      </c>
      <c r="L858" s="31">
        <f t="shared" si="29"/>
        <v>1341.2427</v>
      </c>
      <c r="M858" s="31">
        <v>335.310675</v>
      </c>
      <c r="N858" s="22">
        <f>_xlfn.XLOOKUP(Snitch_Fashion_Sales_cleaned!$J858,Table2[City],Table2[City_Key],"not found")</f>
        <v>3</v>
      </c>
      <c r="O858" s="21">
        <f>_xlfn.XLOOKUP(Snitch_Fashion_Sales_cleaned!$D858,Table4[Product_Name],Table4[Product_Key],"not found")</f>
        <v>13</v>
      </c>
      <c r="P858" s="25">
        <f>_xlfn.XLOOKUP(Snitch_Fashion_Sales_cleaned!$I858,Table3[Order_Date],Table3[Date_Key])</f>
        <v>58</v>
      </c>
    </row>
    <row r="859" spans="1:16" x14ac:dyDescent="0.3">
      <c r="A859" s="34">
        <v>1857</v>
      </c>
      <c r="B859" s="32" t="s">
        <v>898</v>
      </c>
      <c r="C859" s="32" t="s">
        <v>28</v>
      </c>
      <c r="D859" s="33" t="s">
        <v>116</v>
      </c>
      <c r="E859" s="34">
        <v>4</v>
      </c>
      <c r="F859" s="35">
        <v>2785.79</v>
      </c>
      <c r="G859" s="36">
        <v>0.51</v>
      </c>
      <c r="H859" s="35">
        <f t="shared" si="28"/>
        <v>11143.16</v>
      </c>
      <c r="I859" s="37">
        <v>45616</v>
      </c>
      <c r="J859" s="33" t="s">
        <v>22</v>
      </c>
      <c r="K859" s="33" t="s">
        <v>23</v>
      </c>
      <c r="L859" s="38">
        <f t="shared" si="29"/>
        <v>5460.1484</v>
      </c>
      <c r="M859" s="38">
        <v>-564.27</v>
      </c>
      <c r="N859" s="24">
        <f>_xlfn.XLOOKUP(Snitch_Fashion_Sales_cleaned!$J859,Table2[City],Table2[City_Key],"not found")</f>
        <v>3</v>
      </c>
      <c r="O859" s="23">
        <f>_xlfn.XLOOKUP(Snitch_Fashion_Sales_cleaned!$D859,Table4[Product_Name],Table4[Product_Key],"not found")</f>
        <v>22</v>
      </c>
      <c r="P859" s="32">
        <f>_xlfn.XLOOKUP(Snitch_Fashion_Sales_cleaned!$I859,Table3[Order_Date],Table3[Date_Key])</f>
        <v>381</v>
      </c>
    </row>
    <row r="860" spans="1:16" x14ac:dyDescent="0.3">
      <c r="A860" s="27">
        <v>1858</v>
      </c>
      <c r="B860" s="25" t="s">
        <v>899</v>
      </c>
      <c r="C860" s="25" t="s">
        <v>13</v>
      </c>
      <c r="D860" s="26" t="s">
        <v>98</v>
      </c>
      <c r="E860" s="27">
        <v>5</v>
      </c>
      <c r="F860" s="28">
        <v>3647.61</v>
      </c>
      <c r="G860" s="29">
        <v>0.51</v>
      </c>
      <c r="H860" s="28">
        <f t="shared" si="28"/>
        <v>18238.05</v>
      </c>
      <c r="I860" s="30">
        <v>45723</v>
      </c>
      <c r="J860" s="26" t="s">
        <v>22</v>
      </c>
      <c r="K860" s="26" t="s">
        <v>23</v>
      </c>
      <c r="L860" s="31">
        <f t="shared" si="29"/>
        <v>8936.6445000000003</v>
      </c>
      <c r="M860" s="31">
        <v>1789.65</v>
      </c>
      <c r="N860" s="22">
        <f>_xlfn.XLOOKUP(Snitch_Fashion_Sales_cleaned!$J860,Table2[City],Table2[City_Key],"not found")</f>
        <v>3</v>
      </c>
      <c r="O860" s="21">
        <f>_xlfn.XLOOKUP(Snitch_Fashion_Sales_cleaned!$D860,Table4[Product_Name],Table4[Product_Key],"not found")</f>
        <v>21</v>
      </c>
      <c r="P860" s="25">
        <f>_xlfn.XLOOKUP(Snitch_Fashion_Sales_cleaned!$I860,Table3[Order_Date],Table3[Date_Key])</f>
        <v>28</v>
      </c>
    </row>
    <row r="861" spans="1:16" x14ac:dyDescent="0.3">
      <c r="A861" s="34">
        <v>1859</v>
      </c>
      <c r="B861" s="32" t="s">
        <v>900</v>
      </c>
      <c r="C861" s="32" t="s">
        <v>28</v>
      </c>
      <c r="D861" s="33" t="s">
        <v>39</v>
      </c>
      <c r="E861" s="34">
        <v>4</v>
      </c>
      <c r="F861" s="35">
        <v>1442.86</v>
      </c>
      <c r="G861" s="36">
        <v>0.85</v>
      </c>
      <c r="H861" s="35">
        <f t="shared" si="28"/>
        <v>5771.44</v>
      </c>
      <c r="I861" s="37">
        <v>45757</v>
      </c>
      <c r="J861" s="33" t="s">
        <v>52</v>
      </c>
      <c r="K861" s="33" t="s">
        <v>23</v>
      </c>
      <c r="L861" s="38">
        <f t="shared" si="29"/>
        <v>865.71600000000012</v>
      </c>
      <c r="M861" s="38">
        <v>216.42900000000003</v>
      </c>
      <c r="N861" s="24">
        <f>_xlfn.XLOOKUP(Snitch_Fashion_Sales_cleaned!$J861,Table2[City],Table2[City_Key],"not found")</f>
        <v>5</v>
      </c>
      <c r="O861" s="23">
        <f>_xlfn.XLOOKUP(Snitch_Fashion_Sales_cleaned!$D861,Table4[Product_Name],Table4[Product_Key],"not found")</f>
        <v>8</v>
      </c>
      <c r="P861" s="32">
        <f>_xlfn.XLOOKUP(Snitch_Fashion_Sales_cleaned!$I861,Table3[Order_Date],Table3[Date_Key])</f>
        <v>382</v>
      </c>
    </row>
    <row r="862" spans="1:16" x14ac:dyDescent="0.3">
      <c r="A862" s="27">
        <v>1860</v>
      </c>
      <c r="B862" s="25" t="s">
        <v>901</v>
      </c>
      <c r="C862" s="25" t="s">
        <v>36</v>
      </c>
      <c r="D862" s="26" t="s">
        <v>55</v>
      </c>
      <c r="E862" s="27">
        <v>3</v>
      </c>
      <c r="F862" s="28">
        <v>2731.6350000000002</v>
      </c>
      <c r="G862" s="29">
        <v>0.51</v>
      </c>
      <c r="H862" s="28">
        <f t="shared" si="28"/>
        <v>8194.9050000000007</v>
      </c>
      <c r="I862" s="30">
        <v>45647</v>
      </c>
      <c r="J862" s="26" t="s">
        <v>2540</v>
      </c>
      <c r="K862" s="26" t="s">
        <v>23</v>
      </c>
      <c r="L862" s="31">
        <f t="shared" si="29"/>
        <v>4015.5034500000002</v>
      </c>
      <c r="M862" s="31">
        <v>57.35</v>
      </c>
      <c r="N862" s="22">
        <f>_xlfn.XLOOKUP(Snitch_Fashion_Sales_cleaned!$J862,Table2[City],Table2[City_Key],"not found")</f>
        <v>4</v>
      </c>
      <c r="O862" s="21">
        <f>_xlfn.XLOOKUP(Snitch_Fashion_Sales_cleaned!$D862,Table4[Product_Name],Table4[Product_Key],"not found")</f>
        <v>12</v>
      </c>
      <c r="P862" s="25">
        <f>_xlfn.XLOOKUP(Snitch_Fashion_Sales_cleaned!$I862,Table3[Order_Date],Table3[Date_Key])</f>
        <v>5</v>
      </c>
    </row>
    <row r="863" spans="1:16" x14ac:dyDescent="0.3">
      <c r="A863" s="34">
        <v>1861</v>
      </c>
      <c r="B863" s="32" t="s">
        <v>902</v>
      </c>
      <c r="C863" s="32" t="s">
        <v>20</v>
      </c>
      <c r="D863" s="33" t="s">
        <v>76</v>
      </c>
      <c r="E863" s="34">
        <v>3</v>
      </c>
      <c r="F863" s="35">
        <v>2229.4899999999998</v>
      </c>
      <c r="G863" s="36">
        <v>0.51</v>
      </c>
      <c r="H863" s="35">
        <f t="shared" si="28"/>
        <v>6688.4699999999993</v>
      </c>
      <c r="I863" s="37">
        <v>45681</v>
      </c>
      <c r="J863" s="33" t="s">
        <v>18</v>
      </c>
      <c r="K863" s="33" t="s">
        <v>23</v>
      </c>
      <c r="L863" s="38">
        <f t="shared" si="29"/>
        <v>3277.3502999999996</v>
      </c>
      <c r="M863" s="38">
        <v>-934.61</v>
      </c>
      <c r="N863" s="24">
        <f>_xlfn.XLOOKUP(Snitch_Fashion_Sales_cleaned!$J863,Table2[City],Table2[City_Key],"not found")</f>
        <v>2</v>
      </c>
      <c r="O863" s="23">
        <f>_xlfn.XLOOKUP(Snitch_Fashion_Sales_cleaned!$D863,Table4[Product_Name],Table4[Product_Key],"not found")</f>
        <v>16</v>
      </c>
      <c r="P863" s="32">
        <f>_xlfn.XLOOKUP(Snitch_Fashion_Sales_cleaned!$I863,Table3[Order_Date],Table3[Date_Key])</f>
        <v>262</v>
      </c>
    </row>
    <row r="864" spans="1:16" x14ac:dyDescent="0.3">
      <c r="A864" s="27">
        <v>1862</v>
      </c>
      <c r="B864" s="25" t="s">
        <v>903</v>
      </c>
      <c r="C864" s="25" t="s">
        <v>36</v>
      </c>
      <c r="D864" s="26" t="s">
        <v>37</v>
      </c>
      <c r="E864" s="27">
        <v>5</v>
      </c>
      <c r="F864" s="28">
        <v>4739.66</v>
      </c>
      <c r="G864" s="29">
        <v>0.51</v>
      </c>
      <c r="H864" s="28">
        <f t="shared" si="28"/>
        <v>23698.3</v>
      </c>
      <c r="I864" s="30">
        <v>45647</v>
      </c>
      <c r="J864" s="26" t="s">
        <v>15</v>
      </c>
      <c r="K864" s="26" t="s">
        <v>16</v>
      </c>
      <c r="L864" s="31">
        <f t="shared" si="29"/>
        <v>11612.166999999999</v>
      </c>
      <c r="M864" s="31">
        <v>-315.41000000000003</v>
      </c>
      <c r="N864" s="22">
        <f>_xlfn.XLOOKUP(Snitch_Fashion_Sales_cleaned!$J864,Table2[City],Table2[City_Key],"not found")</f>
        <v>1</v>
      </c>
      <c r="O864" s="21">
        <f>_xlfn.XLOOKUP(Snitch_Fashion_Sales_cleaned!$D864,Table4[Product_Name],Table4[Product_Key],"not found")</f>
        <v>7</v>
      </c>
      <c r="P864" s="25">
        <f>_xlfn.XLOOKUP(Snitch_Fashion_Sales_cleaned!$I864,Table3[Order_Date],Table3[Date_Key])</f>
        <v>5</v>
      </c>
    </row>
    <row r="865" spans="1:16" x14ac:dyDescent="0.3">
      <c r="A865" s="34">
        <v>1863</v>
      </c>
      <c r="B865" s="32" t="s">
        <v>904</v>
      </c>
      <c r="C865" s="32" t="s">
        <v>25</v>
      </c>
      <c r="D865" s="33" t="s">
        <v>50</v>
      </c>
      <c r="E865" s="34">
        <v>4</v>
      </c>
      <c r="F865" s="35">
        <v>3521.17</v>
      </c>
      <c r="G865" s="36">
        <v>0.79</v>
      </c>
      <c r="H865" s="35">
        <f t="shared" si="28"/>
        <v>14084.68</v>
      </c>
      <c r="I865" s="37">
        <v>45419</v>
      </c>
      <c r="J865" s="33" t="s">
        <v>18</v>
      </c>
      <c r="K865" s="33" t="s">
        <v>23</v>
      </c>
      <c r="L865" s="38">
        <f t="shared" si="29"/>
        <v>2957.7827999999995</v>
      </c>
      <c r="M865" s="38">
        <v>612.84</v>
      </c>
      <c r="N865" s="24">
        <f>_xlfn.XLOOKUP(Snitch_Fashion_Sales_cleaned!$J865,Table2[City],Table2[City_Key],"not found")</f>
        <v>2</v>
      </c>
      <c r="O865" s="23">
        <f>_xlfn.XLOOKUP(Snitch_Fashion_Sales_cleaned!$D865,Table4[Product_Name],Table4[Product_Key],"not found")</f>
        <v>11</v>
      </c>
      <c r="P865" s="32">
        <f>_xlfn.XLOOKUP(Snitch_Fashion_Sales_cleaned!$I865,Table3[Order_Date],Table3[Date_Key])</f>
        <v>383</v>
      </c>
    </row>
    <row r="866" spans="1:16" x14ac:dyDescent="0.3">
      <c r="A866" s="27">
        <v>1864</v>
      </c>
      <c r="B866" s="25" t="s">
        <v>905</v>
      </c>
      <c r="C866" s="25" t="s">
        <v>28</v>
      </c>
      <c r="D866" s="26" t="s">
        <v>137</v>
      </c>
      <c r="E866" s="27">
        <v>4</v>
      </c>
      <c r="F866" s="28">
        <v>1570.06</v>
      </c>
      <c r="G866" s="29">
        <v>0.51</v>
      </c>
      <c r="H866" s="28">
        <f t="shared" si="28"/>
        <v>6280.24</v>
      </c>
      <c r="I866" s="30">
        <v>45342</v>
      </c>
      <c r="J866" s="26" t="s">
        <v>15</v>
      </c>
      <c r="K866" s="26" t="s">
        <v>23</v>
      </c>
      <c r="L866" s="31">
        <f t="shared" si="29"/>
        <v>3077.3175999999999</v>
      </c>
      <c r="M866" s="31">
        <v>1017.26</v>
      </c>
      <c r="N866" s="22">
        <f>_xlfn.XLOOKUP(Snitch_Fashion_Sales_cleaned!$J866,Table2[City],Table2[City_Key],"not found")</f>
        <v>1</v>
      </c>
      <c r="O866" s="21">
        <f>_xlfn.XLOOKUP(Snitch_Fashion_Sales_cleaned!$D866,Table4[Product_Name],Table4[Product_Key],"not found")</f>
        <v>24</v>
      </c>
      <c r="P866" s="25">
        <f>_xlfn.XLOOKUP(Snitch_Fashion_Sales_cleaned!$I866,Table3[Order_Date],Table3[Date_Key])</f>
        <v>384</v>
      </c>
    </row>
    <row r="867" spans="1:16" x14ac:dyDescent="0.3">
      <c r="A867" s="34">
        <v>1865</v>
      </c>
      <c r="B867" s="32" t="s">
        <v>906</v>
      </c>
      <c r="C867" s="32" t="s">
        <v>20</v>
      </c>
      <c r="D867" s="33" t="s">
        <v>118</v>
      </c>
      <c r="E867" s="34">
        <v>2</v>
      </c>
      <c r="F867" s="35">
        <v>2496.81</v>
      </c>
      <c r="G867" s="36">
        <v>0.51</v>
      </c>
      <c r="H867" s="35">
        <f t="shared" si="28"/>
        <v>4993.62</v>
      </c>
      <c r="I867" s="37">
        <v>45401</v>
      </c>
      <c r="J867" s="33" t="s">
        <v>52</v>
      </c>
      <c r="K867" s="33" t="s">
        <v>23</v>
      </c>
      <c r="L867" s="38">
        <f t="shared" si="29"/>
        <v>2446.8737999999998</v>
      </c>
      <c r="M867" s="38">
        <v>28.7</v>
      </c>
      <c r="N867" s="24">
        <f>_xlfn.XLOOKUP(Snitch_Fashion_Sales_cleaned!$J867,Table2[City],Table2[City_Key],"not found")</f>
        <v>5</v>
      </c>
      <c r="O867" s="23">
        <f>_xlfn.XLOOKUP(Snitch_Fashion_Sales_cleaned!$D867,Table4[Product_Name],Table4[Product_Key],"not found")</f>
        <v>23</v>
      </c>
      <c r="P867" s="32">
        <f>_xlfn.XLOOKUP(Snitch_Fashion_Sales_cleaned!$I867,Table3[Order_Date],Table3[Date_Key])</f>
        <v>90</v>
      </c>
    </row>
    <row r="868" spans="1:16" x14ac:dyDescent="0.3">
      <c r="A868" s="27">
        <v>1866</v>
      </c>
      <c r="B868" s="25" t="s">
        <v>907</v>
      </c>
      <c r="C868" s="25" t="s">
        <v>31</v>
      </c>
      <c r="D868" s="26" t="s">
        <v>78</v>
      </c>
      <c r="E868" s="27">
        <v>4</v>
      </c>
      <c r="F868" s="28">
        <v>4471.17</v>
      </c>
      <c r="G868" s="29">
        <v>0.6</v>
      </c>
      <c r="H868" s="28">
        <f t="shared" si="28"/>
        <v>17884.68</v>
      </c>
      <c r="I868" s="30">
        <v>45770</v>
      </c>
      <c r="J868" s="26" t="s">
        <v>43</v>
      </c>
      <c r="K868" s="26" t="s">
        <v>16</v>
      </c>
      <c r="L868" s="31">
        <f t="shared" si="29"/>
        <v>7153.8720000000003</v>
      </c>
      <c r="M868" s="31">
        <v>1335.92</v>
      </c>
      <c r="N868" s="22">
        <f>_xlfn.XLOOKUP(Snitch_Fashion_Sales_cleaned!$J868,Table2[City],Table2[City_Key],"not found")</f>
        <v>6</v>
      </c>
      <c r="O868" s="21">
        <f>_xlfn.XLOOKUP(Snitch_Fashion_Sales_cleaned!$D868,Table4[Product_Name],Table4[Product_Key],"not found")</f>
        <v>17</v>
      </c>
      <c r="P868" s="25">
        <f>_xlfn.XLOOKUP(Snitch_Fashion_Sales_cleaned!$I868,Table3[Order_Date],Table3[Date_Key])</f>
        <v>87</v>
      </c>
    </row>
    <row r="869" spans="1:16" x14ac:dyDescent="0.3">
      <c r="A869" s="34">
        <v>1867</v>
      </c>
      <c r="B869" s="32" t="s">
        <v>908</v>
      </c>
      <c r="C869" s="32" t="s">
        <v>36</v>
      </c>
      <c r="D869" s="33" t="s">
        <v>87</v>
      </c>
      <c r="E869" s="34">
        <v>4</v>
      </c>
      <c r="F869" s="35">
        <v>1892.54</v>
      </c>
      <c r="G869" s="36">
        <v>0.09</v>
      </c>
      <c r="H869" s="35">
        <f t="shared" si="28"/>
        <v>7570.16</v>
      </c>
      <c r="I869" s="37">
        <v>45702</v>
      </c>
      <c r="J869" s="33" t="s">
        <v>18</v>
      </c>
      <c r="K869" s="33" t="s">
        <v>16</v>
      </c>
      <c r="L869" s="38">
        <f t="shared" si="29"/>
        <v>6888.8455999999996</v>
      </c>
      <c r="M869" s="38">
        <v>-702.11</v>
      </c>
      <c r="N869" s="24">
        <f>_xlfn.XLOOKUP(Snitch_Fashion_Sales_cleaned!$J869,Table2[City],Table2[City_Key],"not found")</f>
        <v>2</v>
      </c>
      <c r="O869" s="23">
        <f>_xlfn.XLOOKUP(Snitch_Fashion_Sales_cleaned!$D869,Table4[Product_Name],Table4[Product_Key],"not found")</f>
        <v>20</v>
      </c>
      <c r="P869" s="32">
        <f>_xlfn.XLOOKUP(Snitch_Fashion_Sales_cleaned!$I869,Table3[Order_Date],Table3[Date_Key])</f>
        <v>154</v>
      </c>
    </row>
    <row r="870" spans="1:16" x14ac:dyDescent="0.3">
      <c r="A870" s="27">
        <v>1868</v>
      </c>
      <c r="B870" s="25" t="s">
        <v>909</v>
      </c>
      <c r="C870" s="25" t="s">
        <v>25</v>
      </c>
      <c r="D870" s="26" t="s">
        <v>82</v>
      </c>
      <c r="E870" s="27">
        <v>3</v>
      </c>
      <c r="F870" s="28">
        <v>2385.5749999999998</v>
      </c>
      <c r="G870" s="29">
        <v>0.51</v>
      </c>
      <c r="H870" s="28">
        <f t="shared" si="28"/>
        <v>7156.7249999999995</v>
      </c>
      <c r="I870" s="30">
        <v>45517</v>
      </c>
      <c r="J870" s="26" t="s">
        <v>15</v>
      </c>
      <c r="K870" s="26" t="s">
        <v>23</v>
      </c>
      <c r="L870" s="31">
        <f t="shared" si="29"/>
        <v>3506.7952499999997</v>
      </c>
      <c r="M870" s="31">
        <v>182.74</v>
      </c>
      <c r="N870" s="22">
        <f>_xlfn.XLOOKUP(Snitch_Fashion_Sales_cleaned!$J870,Table2[City],Table2[City_Key],"not found")</f>
        <v>1</v>
      </c>
      <c r="O870" s="21">
        <f>_xlfn.XLOOKUP(Snitch_Fashion_Sales_cleaned!$D870,Table4[Product_Name],Table4[Product_Key],"not found")</f>
        <v>18</v>
      </c>
      <c r="P870" s="25">
        <f>_xlfn.XLOOKUP(Snitch_Fashion_Sales_cleaned!$I870,Table3[Order_Date],Table3[Date_Key])</f>
        <v>89</v>
      </c>
    </row>
    <row r="871" spans="1:16" x14ac:dyDescent="0.3">
      <c r="A871" s="34">
        <v>1869</v>
      </c>
      <c r="B871" s="32" t="s">
        <v>910</v>
      </c>
      <c r="C871" s="32" t="s">
        <v>20</v>
      </c>
      <c r="D871" s="33" t="s">
        <v>84</v>
      </c>
      <c r="E871" s="34">
        <v>3</v>
      </c>
      <c r="F871" s="35">
        <v>2537.59</v>
      </c>
      <c r="G871" s="36">
        <v>0.51</v>
      </c>
      <c r="H871" s="35">
        <f t="shared" si="28"/>
        <v>7612.77</v>
      </c>
      <c r="I871" s="37">
        <v>45647</v>
      </c>
      <c r="J871" s="33" t="s">
        <v>18</v>
      </c>
      <c r="K871" s="33" t="s">
        <v>16</v>
      </c>
      <c r="L871" s="38">
        <f t="shared" si="29"/>
        <v>3730.2573000000002</v>
      </c>
      <c r="M871" s="38">
        <v>75.28</v>
      </c>
      <c r="N871" s="24">
        <f>_xlfn.XLOOKUP(Snitch_Fashion_Sales_cleaned!$J871,Table2[City],Table2[City_Key],"not found")</f>
        <v>2</v>
      </c>
      <c r="O871" s="23">
        <f>_xlfn.XLOOKUP(Snitch_Fashion_Sales_cleaned!$D871,Table4[Product_Name],Table4[Product_Key],"not found")</f>
        <v>19</v>
      </c>
      <c r="P871" s="32">
        <f>_xlfn.XLOOKUP(Snitch_Fashion_Sales_cleaned!$I871,Table3[Order_Date],Table3[Date_Key])</f>
        <v>5</v>
      </c>
    </row>
    <row r="872" spans="1:16" x14ac:dyDescent="0.3">
      <c r="A872" s="27">
        <v>1870</v>
      </c>
      <c r="B872" s="25" t="s">
        <v>911</v>
      </c>
      <c r="C872" s="25" t="s">
        <v>25</v>
      </c>
      <c r="D872" s="26" t="s">
        <v>50</v>
      </c>
      <c r="E872" s="27">
        <v>4</v>
      </c>
      <c r="F872" s="28">
        <v>1870.68</v>
      </c>
      <c r="G872" s="29">
        <v>0.51</v>
      </c>
      <c r="H872" s="28">
        <f t="shared" si="28"/>
        <v>7482.72</v>
      </c>
      <c r="I872" s="30">
        <v>45647</v>
      </c>
      <c r="J872" s="26" t="s">
        <v>43</v>
      </c>
      <c r="K872" s="26" t="s">
        <v>23</v>
      </c>
      <c r="L872" s="31">
        <f t="shared" si="29"/>
        <v>3666.5328</v>
      </c>
      <c r="M872" s="31">
        <v>2695.81</v>
      </c>
      <c r="N872" s="22">
        <f>_xlfn.XLOOKUP(Snitch_Fashion_Sales_cleaned!$J872,Table2[City],Table2[City_Key],"not found")</f>
        <v>6</v>
      </c>
      <c r="O872" s="21">
        <f>_xlfn.XLOOKUP(Snitch_Fashion_Sales_cleaned!$D872,Table4[Product_Name],Table4[Product_Key],"not found")</f>
        <v>11</v>
      </c>
      <c r="P872" s="25">
        <f>_xlfn.XLOOKUP(Snitch_Fashion_Sales_cleaned!$I872,Table3[Order_Date],Table3[Date_Key])</f>
        <v>5</v>
      </c>
    </row>
    <row r="873" spans="1:16" x14ac:dyDescent="0.3">
      <c r="A873" s="34">
        <v>1871</v>
      </c>
      <c r="B873" s="32" t="s">
        <v>912</v>
      </c>
      <c r="C873" s="32" t="s">
        <v>36</v>
      </c>
      <c r="D873" s="33" t="s">
        <v>59</v>
      </c>
      <c r="E873" s="34">
        <v>3</v>
      </c>
      <c r="F873" s="35">
        <v>2765.26</v>
      </c>
      <c r="G873" s="36">
        <v>0.51</v>
      </c>
      <c r="H873" s="35">
        <f t="shared" si="28"/>
        <v>8295.7800000000007</v>
      </c>
      <c r="I873" s="37">
        <v>45588</v>
      </c>
      <c r="J873" s="33" t="s">
        <v>2540</v>
      </c>
      <c r="K873" s="33" t="s">
        <v>16</v>
      </c>
      <c r="L873" s="38">
        <f t="shared" si="29"/>
        <v>4064.9322000000002</v>
      </c>
      <c r="M873" s="38">
        <v>-431.93</v>
      </c>
      <c r="N873" s="24">
        <f>_xlfn.XLOOKUP(Snitch_Fashion_Sales_cleaned!$J873,Table2[City],Table2[City_Key],"not found")</f>
        <v>4</v>
      </c>
      <c r="O873" s="23">
        <f>_xlfn.XLOOKUP(Snitch_Fashion_Sales_cleaned!$D873,Table4[Product_Name],Table4[Product_Key],"not found")</f>
        <v>13</v>
      </c>
      <c r="P873" s="32">
        <f>_xlfn.XLOOKUP(Snitch_Fashion_Sales_cleaned!$I873,Table3[Order_Date],Table3[Date_Key])</f>
        <v>85</v>
      </c>
    </row>
    <row r="874" spans="1:16" x14ac:dyDescent="0.3">
      <c r="A874" s="27">
        <v>1872</v>
      </c>
      <c r="B874" s="25" t="s">
        <v>913</v>
      </c>
      <c r="C874" s="25" t="s">
        <v>31</v>
      </c>
      <c r="D874" s="26" t="s">
        <v>78</v>
      </c>
      <c r="E874" s="27">
        <v>1</v>
      </c>
      <c r="F874" s="28">
        <v>3381.64</v>
      </c>
      <c r="G874" s="29">
        <v>0.48</v>
      </c>
      <c r="H874" s="28">
        <f t="shared" si="28"/>
        <v>3381.64</v>
      </c>
      <c r="I874" s="30">
        <v>45647</v>
      </c>
      <c r="J874" s="26" t="s">
        <v>15</v>
      </c>
      <c r="K874" s="26" t="s">
        <v>23</v>
      </c>
      <c r="L874" s="31">
        <f t="shared" si="29"/>
        <v>1758.4528</v>
      </c>
      <c r="M874" s="31">
        <v>953.93</v>
      </c>
      <c r="N874" s="22">
        <f>_xlfn.XLOOKUP(Snitch_Fashion_Sales_cleaned!$J874,Table2[City],Table2[City_Key],"not found")</f>
        <v>1</v>
      </c>
      <c r="O874" s="21">
        <f>_xlfn.XLOOKUP(Snitch_Fashion_Sales_cleaned!$D874,Table4[Product_Name],Table4[Product_Key],"not found")</f>
        <v>17</v>
      </c>
      <c r="P874" s="25">
        <f>_xlfn.XLOOKUP(Snitch_Fashion_Sales_cleaned!$I874,Table3[Order_Date],Table3[Date_Key])</f>
        <v>5</v>
      </c>
    </row>
    <row r="875" spans="1:16" x14ac:dyDescent="0.3">
      <c r="A875" s="34">
        <v>1873</v>
      </c>
      <c r="B875" s="32" t="s">
        <v>914</v>
      </c>
      <c r="C875" s="32" t="s">
        <v>20</v>
      </c>
      <c r="D875" s="33" t="s">
        <v>76</v>
      </c>
      <c r="E875" s="34">
        <v>3</v>
      </c>
      <c r="F875" s="35">
        <v>2229.4899999999998</v>
      </c>
      <c r="G875" s="36">
        <v>0.51</v>
      </c>
      <c r="H875" s="35">
        <f t="shared" si="28"/>
        <v>6688.4699999999993</v>
      </c>
      <c r="I875" s="37">
        <v>45466</v>
      </c>
      <c r="J875" s="33" t="s">
        <v>15</v>
      </c>
      <c r="K875" s="33" t="s">
        <v>23</v>
      </c>
      <c r="L875" s="38">
        <f t="shared" si="29"/>
        <v>3277.3502999999996</v>
      </c>
      <c r="M875" s="38">
        <v>-632.25</v>
      </c>
      <c r="N875" s="24">
        <f>_xlfn.XLOOKUP(Snitch_Fashion_Sales_cleaned!$J875,Table2[City],Table2[City_Key],"not found")</f>
        <v>1</v>
      </c>
      <c r="O875" s="23">
        <f>_xlfn.XLOOKUP(Snitch_Fashion_Sales_cleaned!$D875,Table4[Product_Name],Table4[Product_Key],"not found")</f>
        <v>16</v>
      </c>
      <c r="P875" s="32">
        <f>_xlfn.XLOOKUP(Snitch_Fashion_Sales_cleaned!$I875,Table3[Order_Date],Table3[Date_Key])</f>
        <v>385</v>
      </c>
    </row>
    <row r="876" spans="1:16" x14ac:dyDescent="0.3">
      <c r="A876" s="27">
        <v>1874</v>
      </c>
      <c r="B876" s="25" t="s">
        <v>915</v>
      </c>
      <c r="C876" s="25" t="s">
        <v>25</v>
      </c>
      <c r="D876" s="26" t="s">
        <v>62</v>
      </c>
      <c r="E876" s="27">
        <v>5</v>
      </c>
      <c r="F876" s="28">
        <v>2847.02</v>
      </c>
      <c r="G876" s="29">
        <v>0.51</v>
      </c>
      <c r="H876" s="28">
        <f t="shared" si="28"/>
        <v>14235.1</v>
      </c>
      <c r="I876" s="30">
        <v>45378</v>
      </c>
      <c r="J876" s="26" t="s">
        <v>18</v>
      </c>
      <c r="K876" s="26" t="s">
        <v>23</v>
      </c>
      <c r="L876" s="31">
        <f t="shared" si="29"/>
        <v>6975.1989999999996</v>
      </c>
      <c r="M876" s="31">
        <v>-573.97</v>
      </c>
      <c r="N876" s="22">
        <f>_xlfn.XLOOKUP(Snitch_Fashion_Sales_cleaned!$J876,Table2[City],Table2[City_Key],"not found")</f>
        <v>2</v>
      </c>
      <c r="O876" s="21">
        <f>_xlfn.XLOOKUP(Snitch_Fashion_Sales_cleaned!$D876,Table4[Product_Name],Table4[Product_Key],"not found")</f>
        <v>14</v>
      </c>
      <c r="P876" s="25">
        <f>_xlfn.XLOOKUP(Snitch_Fashion_Sales_cleaned!$I876,Table3[Order_Date],Table3[Date_Key])</f>
        <v>115</v>
      </c>
    </row>
    <row r="877" spans="1:16" x14ac:dyDescent="0.3">
      <c r="A877" s="34">
        <v>1875</v>
      </c>
      <c r="B877" s="32" t="s">
        <v>916</v>
      </c>
      <c r="C877" s="32" t="s">
        <v>28</v>
      </c>
      <c r="D877" s="33" t="s">
        <v>116</v>
      </c>
      <c r="E877" s="34">
        <v>4</v>
      </c>
      <c r="F877" s="35">
        <v>2785.79</v>
      </c>
      <c r="G877" s="36">
        <v>0.51</v>
      </c>
      <c r="H877" s="35">
        <f t="shared" si="28"/>
        <v>11143.16</v>
      </c>
      <c r="I877" s="37">
        <v>45524</v>
      </c>
      <c r="J877" s="33" t="s">
        <v>43</v>
      </c>
      <c r="K877" s="33" t="s">
        <v>16</v>
      </c>
      <c r="L877" s="38">
        <f t="shared" si="29"/>
        <v>5460.1484</v>
      </c>
      <c r="M877" s="38">
        <v>1125.5</v>
      </c>
      <c r="N877" s="24">
        <f>_xlfn.XLOOKUP(Snitch_Fashion_Sales_cleaned!$J877,Table2[City],Table2[City_Key],"not found")</f>
        <v>6</v>
      </c>
      <c r="O877" s="23">
        <f>_xlfn.XLOOKUP(Snitch_Fashion_Sales_cleaned!$D877,Table4[Product_Name],Table4[Product_Key],"not found")</f>
        <v>22</v>
      </c>
      <c r="P877" s="32">
        <f>_xlfn.XLOOKUP(Snitch_Fashion_Sales_cleaned!$I877,Table3[Order_Date],Table3[Date_Key])</f>
        <v>386</v>
      </c>
    </row>
    <row r="878" spans="1:16" x14ac:dyDescent="0.3">
      <c r="A878" s="27">
        <v>1876</v>
      </c>
      <c r="B878" s="25" t="s">
        <v>917</v>
      </c>
      <c r="C878" s="25" t="s">
        <v>25</v>
      </c>
      <c r="D878" s="26" t="s">
        <v>26</v>
      </c>
      <c r="E878" s="27">
        <v>4</v>
      </c>
      <c r="F878" s="28">
        <v>2933.45</v>
      </c>
      <c r="G878" s="29">
        <v>0.32</v>
      </c>
      <c r="H878" s="28">
        <f t="shared" si="28"/>
        <v>11733.8</v>
      </c>
      <c r="I878" s="30">
        <v>45744</v>
      </c>
      <c r="J878" s="26" t="s">
        <v>22</v>
      </c>
      <c r="K878" s="26" t="s">
        <v>23</v>
      </c>
      <c r="L878" s="31">
        <f t="shared" si="29"/>
        <v>7978.9839999999986</v>
      </c>
      <c r="M878" s="31">
        <v>986.09</v>
      </c>
      <c r="N878" s="22">
        <f>_xlfn.XLOOKUP(Snitch_Fashion_Sales_cleaned!$J878,Table2[City],Table2[City_Key],"not found")</f>
        <v>3</v>
      </c>
      <c r="O878" s="21">
        <f>_xlfn.XLOOKUP(Snitch_Fashion_Sales_cleaned!$D878,Table4[Product_Name],Table4[Product_Key],"not found")</f>
        <v>3</v>
      </c>
      <c r="P878" s="25">
        <f>_xlfn.XLOOKUP(Snitch_Fashion_Sales_cleaned!$I878,Table3[Order_Date],Table3[Date_Key])</f>
        <v>225</v>
      </c>
    </row>
    <row r="879" spans="1:16" x14ac:dyDescent="0.3">
      <c r="A879" s="34">
        <v>1877</v>
      </c>
      <c r="B879" s="32" t="s">
        <v>918</v>
      </c>
      <c r="C879" s="32" t="s">
        <v>31</v>
      </c>
      <c r="D879" s="33" t="s">
        <v>32</v>
      </c>
      <c r="E879" s="34">
        <v>4</v>
      </c>
      <c r="F879" s="35">
        <v>2001.5500000000002</v>
      </c>
      <c r="G879" s="36">
        <v>0.51</v>
      </c>
      <c r="H879" s="35">
        <f t="shared" si="28"/>
        <v>8006.2000000000007</v>
      </c>
      <c r="I879" s="37">
        <v>45836</v>
      </c>
      <c r="J879" s="33" t="s">
        <v>43</v>
      </c>
      <c r="K879" s="33" t="s">
        <v>23</v>
      </c>
      <c r="L879" s="38">
        <f t="shared" si="29"/>
        <v>3923.0380000000005</v>
      </c>
      <c r="M879" s="38">
        <v>1149.23</v>
      </c>
      <c r="N879" s="24">
        <f>_xlfn.XLOOKUP(Snitch_Fashion_Sales_cleaned!$J879,Table2[City],Table2[City_Key],"not found")</f>
        <v>6</v>
      </c>
      <c r="O879" s="23">
        <f>_xlfn.XLOOKUP(Snitch_Fashion_Sales_cleaned!$D879,Table4[Product_Name],Table4[Product_Key],"not found")</f>
        <v>5</v>
      </c>
      <c r="P879" s="32">
        <f>_xlfn.XLOOKUP(Snitch_Fashion_Sales_cleaned!$I879,Table3[Order_Date],Table3[Date_Key])</f>
        <v>46</v>
      </c>
    </row>
    <row r="880" spans="1:16" x14ac:dyDescent="0.3">
      <c r="A880" s="27">
        <v>1878</v>
      </c>
      <c r="B880" s="25" t="s">
        <v>919</v>
      </c>
      <c r="C880" s="25" t="s">
        <v>36</v>
      </c>
      <c r="D880" s="26" t="s">
        <v>55</v>
      </c>
      <c r="E880" s="27">
        <v>4</v>
      </c>
      <c r="F880" s="28">
        <v>2731.6350000000002</v>
      </c>
      <c r="G880" s="29">
        <v>0.51</v>
      </c>
      <c r="H880" s="28">
        <f t="shared" si="28"/>
        <v>10926.54</v>
      </c>
      <c r="I880" s="30">
        <v>45783</v>
      </c>
      <c r="J880" s="26" t="s">
        <v>2540</v>
      </c>
      <c r="K880" s="26" t="s">
        <v>16</v>
      </c>
      <c r="L880" s="31">
        <f t="shared" si="29"/>
        <v>5354.0046000000002</v>
      </c>
      <c r="M880" s="31">
        <v>2247.4899999999998</v>
      </c>
      <c r="N880" s="22">
        <f>_xlfn.XLOOKUP(Snitch_Fashion_Sales_cleaned!$J880,Table2[City],Table2[City_Key],"not found")</f>
        <v>4</v>
      </c>
      <c r="O880" s="21">
        <f>_xlfn.XLOOKUP(Snitch_Fashion_Sales_cleaned!$D880,Table4[Product_Name],Table4[Product_Key],"not found")</f>
        <v>12</v>
      </c>
      <c r="P880" s="25">
        <f>_xlfn.XLOOKUP(Snitch_Fashion_Sales_cleaned!$I880,Table3[Order_Date],Table3[Date_Key])</f>
        <v>257</v>
      </c>
    </row>
    <row r="881" spans="1:16" x14ac:dyDescent="0.3">
      <c r="A881" s="34">
        <v>1879</v>
      </c>
      <c r="B881" s="32" t="s">
        <v>920</v>
      </c>
      <c r="C881" s="32" t="s">
        <v>28</v>
      </c>
      <c r="D881" s="33" t="s">
        <v>29</v>
      </c>
      <c r="E881" s="34">
        <v>3</v>
      </c>
      <c r="F881" s="35">
        <v>444.11</v>
      </c>
      <c r="G881" s="36">
        <v>0.51</v>
      </c>
      <c r="H881" s="35">
        <f t="shared" si="28"/>
        <v>1332.33</v>
      </c>
      <c r="I881" s="37">
        <v>45547</v>
      </c>
      <c r="J881" s="33" t="s">
        <v>18</v>
      </c>
      <c r="K881" s="33" t="s">
        <v>16</v>
      </c>
      <c r="L881" s="38">
        <f t="shared" si="29"/>
        <v>652.84169999999995</v>
      </c>
      <c r="M881" s="38">
        <v>163.21042499999999</v>
      </c>
      <c r="N881" s="24">
        <f>_xlfn.XLOOKUP(Snitch_Fashion_Sales_cleaned!$J881,Table2[City],Table2[City_Key],"not found")</f>
        <v>2</v>
      </c>
      <c r="O881" s="23">
        <f>_xlfn.XLOOKUP(Snitch_Fashion_Sales_cleaned!$D881,Table4[Product_Name],Table4[Product_Key],"not found")</f>
        <v>4</v>
      </c>
      <c r="P881" s="32">
        <f>_xlfn.XLOOKUP(Snitch_Fashion_Sales_cleaned!$I881,Table3[Order_Date],Table3[Date_Key])</f>
        <v>31</v>
      </c>
    </row>
    <row r="882" spans="1:16" x14ac:dyDescent="0.3">
      <c r="A882" s="27">
        <v>1880</v>
      </c>
      <c r="B882" s="25" t="s">
        <v>921</v>
      </c>
      <c r="C882" s="25" t="s">
        <v>28</v>
      </c>
      <c r="D882" s="26" t="s">
        <v>116</v>
      </c>
      <c r="E882" s="27">
        <v>1</v>
      </c>
      <c r="F882" s="28">
        <v>772.97</v>
      </c>
      <c r="G882" s="29">
        <v>0.9</v>
      </c>
      <c r="H882" s="28">
        <f t="shared" si="28"/>
        <v>772.97</v>
      </c>
      <c r="I882" s="30">
        <v>45575</v>
      </c>
      <c r="J882" s="26" t="s">
        <v>43</v>
      </c>
      <c r="K882" s="26" t="s">
        <v>23</v>
      </c>
      <c r="L882" s="31">
        <f t="shared" si="29"/>
        <v>77.296999999999983</v>
      </c>
      <c r="M882" s="31">
        <v>19.324249999999996</v>
      </c>
      <c r="N882" s="22">
        <f>_xlfn.XLOOKUP(Snitch_Fashion_Sales_cleaned!$J882,Table2[City],Table2[City_Key],"not found")</f>
        <v>6</v>
      </c>
      <c r="O882" s="21">
        <f>_xlfn.XLOOKUP(Snitch_Fashion_Sales_cleaned!$D882,Table4[Product_Name],Table4[Product_Key],"not found")</f>
        <v>22</v>
      </c>
      <c r="P882" s="25">
        <f>_xlfn.XLOOKUP(Snitch_Fashion_Sales_cleaned!$I882,Table3[Order_Date],Table3[Date_Key])</f>
        <v>100</v>
      </c>
    </row>
    <row r="883" spans="1:16" x14ac:dyDescent="0.3">
      <c r="A883" s="34">
        <v>1881</v>
      </c>
      <c r="B883" s="32" t="s">
        <v>922</v>
      </c>
      <c r="C883" s="32" t="s">
        <v>25</v>
      </c>
      <c r="D883" s="33" t="s">
        <v>62</v>
      </c>
      <c r="E883" s="34">
        <v>3</v>
      </c>
      <c r="F883" s="35">
        <v>1772.6</v>
      </c>
      <c r="G883" s="36">
        <v>0.51</v>
      </c>
      <c r="H883" s="35">
        <f t="shared" si="28"/>
        <v>5317.7999999999993</v>
      </c>
      <c r="I883" s="37">
        <v>45836</v>
      </c>
      <c r="J883" s="33" t="s">
        <v>2540</v>
      </c>
      <c r="K883" s="33" t="s">
        <v>23</v>
      </c>
      <c r="L883" s="38">
        <f t="shared" si="29"/>
        <v>2605.7219999999998</v>
      </c>
      <c r="M883" s="38">
        <v>993.92</v>
      </c>
      <c r="N883" s="24">
        <f>_xlfn.XLOOKUP(Snitch_Fashion_Sales_cleaned!$J883,Table2[City],Table2[City_Key],"not found")</f>
        <v>4</v>
      </c>
      <c r="O883" s="23">
        <f>_xlfn.XLOOKUP(Snitch_Fashion_Sales_cleaned!$D883,Table4[Product_Name],Table4[Product_Key],"not found")</f>
        <v>14</v>
      </c>
      <c r="P883" s="32">
        <f>_xlfn.XLOOKUP(Snitch_Fashion_Sales_cleaned!$I883,Table3[Order_Date],Table3[Date_Key])</f>
        <v>46</v>
      </c>
    </row>
    <row r="884" spans="1:16" x14ac:dyDescent="0.3">
      <c r="A884" s="27">
        <v>1882</v>
      </c>
      <c r="B884" s="25" t="s">
        <v>923</v>
      </c>
      <c r="C884" s="25" t="s">
        <v>20</v>
      </c>
      <c r="D884" s="26" t="s">
        <v>84</v>
      </c>
      <c r="E884" s="27">
        <v>3</v>
      </c>
      <c r="F884" s="28">
        <v>1622.79</v>
      </c>
      <c r="G884" s="29">
        <v>0.51</v>
      </c>
      <c r="H884" s="28">
        <f t="shared" si="28"/>
        <v>4868.37</v>
      </c>
      <c r="I884" s="30">
        <v>45831</v>
      </c>
      <c r="J884" s="26" t="s">
        <v>15</v>
      </c>
      <c r="K884" s="26" t="s">
        <v>16</v>
      </c>
      <c r="L884" s="31">
        <f t="shared" si="29"/>
        <v>2385.5012999999999</v>
      </c>
      <c r="M884" s="31">
        <v>1020.63</v>
      </c>
      <c r="N884" s="22">
        <f>_xlfn.XLOOKUP(Snitch_Fashion_Sales_cleaned!$J884,Table2[City],Table2[City_Key],"not found")</f>
        <v>1</v>
      </c>
      <c r="O884" s="21">
        <f>_xlfn.XLOOKUP(Snitch_Fashion_Sales_cleaned!$D884,Table4[Product_Name],Table4[Product_Key],"not found")</f>
        <v>19</v>
      </c>
      <c r="P884" s="25">
        <f>_xlfn.XLOOKUP(Snitch_Fashion_Sales_cleaned!$I884,Table3[Order_Date],Table3[Date_Key])</f>
        <v>281</v>
      </c>
    </row>
    <row r="885" spans="1:16" x14ac:dyDescent="0.3">
      <c r="A885" s="34">
        <v>1883</v>
      </c>
      <c r="B885" s="32" t="s">
        <v>924</v>
      </c>
      <c r="C885" s="32" t="s">
        <v>13</v>
      </c>
      <c r="D885" s="33" t="s">
        <v>46</v>
      </c>
      <c r="E885" s="34">
        <v>4</v>
      </c>
      <c r="F885" s="35">
        <v>4350.8599999999997</v>
      </c>
      <c r="G885" s="36">
        <v>0.51</v>
      </c>
      <c r="H885" s="35">
        <f t="shared" si="28"/>
        <v>17403.439999999999</v>
      </c>
      <c r="I885" s="37">
        <v>45647</v>
      </c>
      <c r="J885" s="33" t="s">
        <v>43</v>
      </c>
      <c r="K885" s="33" t="s">
        <v>23</v>
      </c>
      <c r="L885" s="38">
        <f t="shared" si="29"/>
        <v>8527.6855999999989</v>
      </c>
      <c r="M885" s="38">
        <v>2845.42</v>
      </c>
      <c r="N885" s="24">
        <f>_xlfn.XLOOKUP(Snitch_Fashion_Sales_cleaned!$J885,Table2[City],Table2[City_Key],"not found")</f>
        <v>6</v>
      </c>
      <c r="O885" s="23">
        <f>_xlfn.XLOOKUP(Snitch_Fashion_Sales_cleaned!$D885,Table4[Product_Name],Table4[Product_Key],"not found")</f>
        <v>10</v>
      </c>
      <c r="P885" s="32">
        <f>_xlfn.XLOOKUP(Snitch_Fashion_Sales_cleaned!$I885,Table3[Order_Date],Table3[Date_Key])</f>
        <v>5</v>
      </c>
    </row>
    <row r="886" spans="1:16" x14ac:dyDescent="0.3">
      <c r="A886" s="27">
        <v>1884</v>
      </c>
      <c r="B886" s="25" t="s">
        <v>925</v>
      </c>
      <c r="C886" s="25" t="s">
        <v>25</v>
      </c>
      <c r="D886" s="26" t="s">
        <v>62</v>
      </c>
      <c r="E886" s="27">
        <v>6</v>
      </c>
      <c r="F886" s="28">
        <v>2538.0450000000001</v>
      </c>
      <c r="G886" s="29">
        <v>0.51</v>
      </c>
      <c r="H886" s="28">
        <f t="shared" si="28"/>
        <v>15228.27</v>
      </c>
      <c r="I886" s="30">
        <v>45860</v>
      </c>
      <c r="J886" s="26" t="s">
        <v>15</v>
      </c>
      <c r="K886" s="26" t="s">
        <v>16</v>
      </c>
      <c r="L886" s="31">
        <f t="shared" si="29"/>
        <v>7461.8523000000005</v>
      </c>
      <c r="M886" s="31">
        <v>-856.25</v>
      </c>
      <c r="N886" s="22">
        <f>_xlfn.XLOOKUP(Snitch_Fashion_Sales_cleaned!$J886,Table2[City],Table2[City_Key],"not found")</f>
        <v>1</v>
      </c>
      <c r="O886" s="21">
        <f>_xlfn.XLOOKUP(Snitch_Fashion_Sales_cleaned!$D886,Table4[Product_Name],Table4[Product_Key],"not found")</f>
        <v>14</v>
      </c>
      <c r="P886" s="25">
        <f>_xlfn.XLOOKUP(Snitch_Fashion_Sales_cleaned!$I886,Table3[Order_Date],Table3[Date_Key])</f>
        <v>244</v>
      </c>
    </row>
    <row r="887" spans="1:16" x14ac:dyDescent="0.3">
      <c r="A887" s="34">
        <v>1885</v>
      </c>
      <c r="B887" s="32" t="s">
        <v>926</v>
      </c>
      <c r="C887" s="32" t="s">
        <v>31</v>
      </c>
      <c r="D887" s="33" t="s">
        <v>68</v>
      </c>
      <c r="E887" s="34">
        <v>4</v>
      </c>
      <c r="F887" s="35">
        <v>2765.79</v>
      </c>
      <c r="G887" s="36">
        <v>0.51</v>
      </c>
      <c r="H887" s="35">
        <f t="shared" si="28"/>
        <v>11063.16</v>
      </c>
      <c r="I887" s="37">
        <v>45669</v>
      </c>
      <c r="J887" s="33" t="s">
        <v>15</v>
      </c>
      <c r="K887" s="33" t="s">
        <v>23</v>
      </c>
      <c r="L887" s="38">
        <f t="shared" si="29"/>
        <v>5420.9484000000002</v>
      </c>
      <c r="M887" s="38">
        <v>-571.28</v>
      </c>
      <c r="N887" s="24">
        <f>_xlfn.XLOOKUP(Snitch_Fashion_Sales_cleaned!$J887,Table2[City],Table2[City_Key],"not found")</f>
        <v>1</v>
      </c>
      <c r="O887" s="23">
        <f>_xlfn.XLOOKUP(Snitch_Fashion_Sales_cleaned!$D887,Table4[Product_Name],Table4[Product_Key],"not found")</f>
        <v>15</v>
      </c>
      <c r="P887" s="32">
        <f>_xlfn.XLOOKUP(Snitch_Fashion_Sales_cleaned!$I887,Table3[Order_Date],Table3[Date_Key])</f>
        <v>296</v>
      </c>
    </row>
    <row r="888" spans="1:16" x14ac:dyDescent="0.3">
      <c r="A888" s="27">
        <v>1886</v>
      </c>
      <c r="B888" s="25" t="s">
        <v>927</v>
      </c>
      <c r="C888" s="25" t="s">
        <v>28</v>
      </c>
      <c r="D888" s="26" t="s">
        <v>39</v>
      </c>
      <c r="E888" s="27">
        <v>6</v>
      </c>
      <c r="F888" s="28">
        <v>1229.0999999999999</v>
      </c>
      <c r="G888" s="29">
        <v>0.51</v>
      </c>
      <c r="H888" s="28">
        <f t="shared" si="28"/>
        <v>7374.5999999999995</v>
      </c>
      <c r="I888" s="30">
        <v>45647</v>
      </c>
      <c r="J888" s="26" t="s">
        <v>52</v>
      </c>
      <c r="K888" s="26" t="s">
        <v>16</v>
      </c>
      <c r="L888" s="31">
        <f t="shared" si="29"/>
        <v>3613.5539999999996</v>
      </c>
      <c r="M888" s="31">
        <v>1005.96</v>
      </c>
      <c r="N888" s="22">
        <f>_xlfn.XLOOKUP(Snitch_Fashion_Sales_cleaned!$J888,Table2[City],Table2[City_Key],"not found")</f>
        <v>5</v>
      </c>
      <c r="O888" s="21">
        <f>_xlfn.XLOOKUP(Snitch_Fashion_Sales_cleaned!$D888,Table4[Product_Name],Table4[Product_Key],"not found")</f>
        <v>8</v>
      </c>
      <c r="P888" s="25">
        <f>_xlfn.XLOOKUP(Snitch_Fashion_Sales_cleaned!$I888,Table3[Order_Date],Table3[Date_Key])</f>
        <v>5</v>
      </c>
    </row>
    <row r="889" spans="1:16" x14ac:dyDescent="0.3">
      <c r="A889" s="34">
        <v>1887</v>
      </c>
      <c r="B889" s="32" t="s">
        <v>928</v>
      </c>
      <c r="C889" s="32" t="s">
        <v>31</v>
      </c>
      <c r="D889" s="33" t="s">
        <v>68</v>
      </c>
      <c r="E889" s="34">
        <v>3</v>
      </c>
      <c r="F889" s="35">
        <v>2765.79</v>
      </c>
      <c r="G889" s="36">
        <v>0.51</v>
      </c>
      <c r="H889" s="35">
        <f t="shared" si="28"/>
        <v>8297.369999999999</v>
      </c>
      <c r="I889" s="37">
        <v>45775</v>
      </c>
      <c r="J889" s="33" t="s">
        <v>18</v>
      </c>
      <c r="K889" s="33" t="s">
        <v>23</v>
      </c>
      <c r="L889" s="38">
        <f t="shared" si="29"/>
        <v>4065.7112999999995</v>
      </c>
      <c r="M889" s="38">
        <v>111.88</v>
      </c>
      <c r="N889" s="24">
        <f>_xlfn.XLOOKUP(Snitch_Fashion_Sales_cleaned!$J889,Table2[City],Table2[City_Key],"not found")</f>
        <v>2</v>
      </c>
      <c r="O889" s="23">
        <f>_xlfn.XLOOKUP(Snitch_Fashion_Sales_cleaned!$D889,Table4[Product_Name],Table4[Product_Key],"not found")</f>
        <v>15</v>
      </c>
      <c r="P889" s="32">
        <f>_xlfn.XLOOKUP(Snitch_Fashion_Sales_cleaned!$I889,Table3[Order_Date],Table3[Date_Key])</f>
        <v>387</v>
      </c>
    </row>
    <row r="890" spans="1:16" x14ac:dyDescent="0.3">
      <c r="A890" s="27">
        <v>1888</v>
      </c>
      <c r="B890" s="25" t="s">
        <v>929</v>
      </c>
      <c r="C890" s="25" t="s">
        <v>25</v>
      </c>
      <c r="D890" s="26" t="s">
        <v>50</v>
      </c>
      <c r="E890" s="27">
        <v>6</v>
      </c>
      <c r="F890" s="28">
        <v>2666.2200000000003</v>
      </c>
      <c r="G890" s="29">
        <v>0.39</v>
      </c>
      <c r="H890" s="28">
        <f t="shared" si="28"/>
        <v>15997.320000000002</v>
      </c>
      <c r="I890" s="30">
        <v>45647</v>
      </c>
      <c r="J890" s="26" t="s">
        <v>22</v>
      </c>
      <c r="K890" s="26" t="s">
        <v>23</v>
      </c>
      <c r="L890" s="31">
        <f t="shared" si="29"/>
        <v>9758.3652000000002</v>
      </c>
      <c r="M890" s="31">
        <v>-80.61</v>
      </c>
      <c r="N890" s="22">
        <f>_xlfn.XLOOKUP(Snitch_Fashion_Sales_cleaned!$J890,Table2[City],Table2[City_Key],"not found")</f>
        <v>3</v>
      </c>
      <c r="O890" s="21">
        <f>_xlfn.XLOOKUP(Snitch_Fashion_Sales_cleaned!$D890,Table4[Product_Name],Table4[Product_Key],"not found")</f>
        <v>11</v>
      </c>
      <c r="P890" s="25">
        <f>_xlfn.XLOOKUP(Snitch_Fashion_Sales_cleaned!$I890,Table3[Order_Date],Table3[Date_Key])</f>
        <v>5</v>
      </c>
    </row>
    <row r="891" spans="1:16" x14ac:dyDescent="0.3">
      <c r="A891" s="34">
        <v>1889</v>
      </c>
      <c r="B891" s="32" t="s">
        <v>930</v>
      </c>
      <c r="C891" s="32" t="s">
        <v>36</v>
      </c>
      <c r="D891" s="33" t="s">
        <v>55</v>
      </c>
      <c r="E891" s="34">
        <v>3</v>
      </c>
      <c r="F891" s="35">
        <v>3948.83</v>
      </c>
      <c r="G891" s="36">
        <v>0.51</v>
      </c>
      <c r="H891" s="35">
        <f t="shared" si="28"/>
        <v>11846.49</v>
      </c>
      <c r="I891" s="37">
        <v>45458</v>
      </c>
      <c r="J891" s="33" t="s">
        <v>43</v>
      </c>
      <c r="K891" s="33" t="s">
        <v>23</v>
      </c>
      <c r="L891" s="38">
        <f t="shared" si="29"/>
        <v>5804.7800999999999</v>
      </c>
      <c r="M891" s="38">
        <v>1935.77</v>
      </c>
      <c r="N891" s="24">
        <f>_xlfn.XLOOKUP(Snitch_Fashion_Sales_cleaned!$J891,Table2[City],Table2[City_Key],"not found")</f>
        <v>6</v>
      </c>
      <c r="O891" s="23">
        <f>_xlfn.XLOOKUP(Snitch_Fashion_Sales_cleaned!$D891,Table4[Product_Name],Table4[Product_Key],"not found")</f>
        <v>12</v>
      </c>
      <c r="P891" s="32">
        <f>_xlfn.XLOOKUP(Snitch_Fashion_Sales_cleaned!$I891,Table3[Order_Date],Table3[Date_Key])</f>
        <v>279</v>
      </c>
    </row>
    <row r="892" spans="1:16" x14ac:dyDescent="0.3">
      <c r="A892" s="27">
        <v>1890</v>
      </c>
      <c r="B892" s="25" t="s">
        <v>931</v>
      </c>
      <c r="C892" s="25" t="s">
        <v>28</v>
      </c>
      <c r="D892" s="26" t="s">
        <v>29</v>
      </c>
      <c r="E892" s="27">
        <v>2</v>
      </c>
      <c r="F892" s="28">
        <v>3772.51</v>
      </c>
      <c r="G892" s="29">
        <v>0.51</v>
      </c>
      <c r="H892" s="28">
        <f t="shared" si="28"/>
        <v>7545.02</v>
      </c>
      <c r="I892" s="30">
        <v>45647</v>
      </c>
      <c r="J892" s="26" t="s">
        <v>2540</v>
      </c>
      <c r="K892" s="26" t="s">
        <v>23</v>
      </c>
      <c r="L892" s="31">
        <f t="shared" si="29"/>
        <v>3697.0598</v>
      </c>
      <c r="M892" s="31">
        <v>792.89</v>
      </c>
      <c r="N892" s="22">
        <f>_xlfn.XLOOKUP(Snitch_Fashion_Sales_cleaned!$J892,Table2[City],Table2[City_Key],"not found")</f>
        <v>4</v>
      </c>
      <c r="O892" s="21">
        <f>_xlfn.XLOOKUP(Snitch_Fashion_Sales_cleaned!$D892,Table4[Product_Name],Table4[Product_Key],"not found")</f>
        <v>4</v>
      </c>
      <c r="P892" s="25">
        <f>_xlfn.XLOOKUP(Snitch_Fashion_Sales_cleaned!$I892,Table3[Order_Date],Table3[Date_Key])</f>
        <v>5</v>
      </c>
    </row>
    <row r="893" spans="1:16" x14ac:dyDescent="0.3">
      <c r="A893" s="34">
        <v>1891</v>
      </c>
      <c r="B893" s="32" t="s">
        <v>932</v>
      </c>
      <c r="C893" s="32" t="s">
        <v>31</v>
      </c>
      <c r="D893" s="33" t="s">
        <v>32</v>
      </c>
      <c r="E893" s="34">
        <v>4</v>
      </c>
      <c r="F893" s="35">
        <v>2727.86</v>
      </c>
      <c r="G893" s="36">
        <v>0.51</v>
      </c>
      <c r="H893" s="35">
        <f t="shared" si="28"/>
        <v>10911.44</v>
      </c>
      <c r="I893" s="37">
        <v>45521</v>
      </c>
      <c r="J893" s="33" t="s">
        <v>18</v>
      </c>
      <c r="K893" s="33" t="s">
        <v>16</v>
      </c>
      <c r="L893" s="38">
        <f t="shared" si="29"/>
        <v>5346.6055999999999</v>
      </c>
      <c r="M893" s="38">
        <v>849.07</v>
      </c>
      <c r="N893" s="24">
        <f>_xlfn.XLOOKUP(Snitch_Fashion_Sales_cleaned!$J893,Table2[City],Table2[City_Key],"not found")</f>
        <v>2</v>
      </c>
      <c r="O893" s="23">
        <f>_xlfn.XLOOKUP(Snitch_Fashion_Sales_cleaned!$D893,Table4[Product_Name],Table4[Product_Key],"not found")</f>
        <v>5</v>
      </c>
      <c r="P893" s="32">
        <f>_xlfn.XLOOKUP(Snitch_Fashion_Sales_cleaned!$I893,Table3[Order_Date],Table3[Date_Key])</f>
        <v>371</v>
      </c>
    </row>
    <row r="894" spans="1:16" x14ac:dyDescent="0.3">
      <c r="A894" s="27">
        <v>1892</v>
      </c>
      <c r="B894" s="25" t="s">
        <v>933</v>
      </c>
      <c r="C894" s="25" t="s">
        <v>13</v>
      </c>
      <c r="D894" s="26" t="s">
        <v>14</v>
      </c>
      <c r="E894" s="27">
        <v>4</v>
      </c>
      <c r="F894" s="28">
        <v>2366.6149999999998</v>
      </c>
      <c r="G894" s="29">
        <v>0.51</v>
      </c>
      <c r="H894" s="28">
        <f t="shared" si="28"/>
        <v>9466.4599999999991</v>
      </c>
      <c r="I894" s="30">
        <v>45647</v>
      </c>
      <c r="J894" s="26" t="s">
        <v>15</v>
      </c>
      <c r="K894" s="26" t="s">
        <v>23</v>
      </c>
      <c r="L894" s="31">
        <f t="shared" si="29"/>
        <v>4638.5653999999995</v>
      </c>
      <c r="M894" s="31">
        <v>330.14</v>
      </c>
      <c r="N894" s="22">
        <f>_xlfn.XLOOKUP(Snitch_Fashion_Sales_cleaned!$J894,Table2[City],Table2[City_Key],"not found")</f>
        <v>1</v>
      </c>
      <c r="O894" s="21">
        <f>_xlfn.XLOOKUP(Snitch_Fashion_Sales_cleaned!$D894,Table4[Product_Name],Table4[Product_Key],"not found")</f>
        <v>1</v>
      </c>
      <c r="P894" s="25">
        <f>_xlfn.XLOOKUP(Snitch_Fashion_Sales_cleaned!$I894,Table3[Order_Date],Table3[Date_Key])</f>
        <v>5</v>
      </c>
    </row>
    <row r="895" spans="1:16" x14ac:dyDescent="0.3">
      <c r="A895" s="34">
        <v>1893</v>
      </c>
      <c r="B895" s="32" t="s">
        <v>934</v>
      </c>
      <c r="C895" s="32" t="s">
        <v>28</v>
      </c>
      <c r="D895" s="33" t="s">
        <v>116</v>
      </c>
      <c r="E895" s="34">
        <v>4</v>
      </c>
      <c r="F895" s="35">
        <v>4456.45</v>
      </c>
      <c r="G895" s="36">
        <v>0.51</v>
      </c>
      <c r="H895" s="35">
        <f t="shared" si="28"/>
        <v>17825.8</v>
      </c>
      <c r="I895" s="37">
        <v>45647</v>
      </c>
      <c r="J895" s="33" t="s">
        <v>15</v>
      </c>
      <c r="K895" s="33" t="s">
        <v>23</v>
      </c>
      <c r="L895" s="38">
        <f t="shared" si="29"/>
        <v>8734.6419999999998</v>
      </c>
      <c r="M895" s="38">
        <v>870.63</v>
      </c>
      <c r="N895" s="24">
        <f>_xlfn.XLOOKUP(Snitch_Fashion_Sales_cleaned!$J895,Table2[City],Table2[City_Key],"not found")</f>
        <v>1</v>
      </c>
      <c r="O895" s="23">
        <f>_xlfn.XLOOKUP(Snitch_Fashion_Sales_cleaned!$D895,Table4[Product_Name],Table4[Product_Key],"not found")</f>
        <v>22</v>
      </c>
      <c r="P895" s="32">
        <f>_xlfn.XLOOKUP(Snitch_Fashion_Sales_cleaned!$I895,Table3[Order_Date],Table3[Date_Key])</f>
        <v>5</v>
      </c>
    </row>
    <row r="896" spans="1:16" x14ac:dyDescent="0.3">
      <c r="A896" s="27">
        <v>1894</v>
      </c>
      <c r="B896" s="25" t="s">
        <v>935</v>
      </c>
      <c r="C896" s="25" t="s">
        <v>20</v>
      </c>
      <c r="D896" s="26" t="s">
        <v>118</v>
      </c>
      <c r="E896" s="27">
        <v>2</v>
      </c>
      <c r="F896" s="28">
        <v>2793.89</v>
      </c>
      <c r="G896" s="29">
        <v>0.51</v>
      </c>
      <c r="H896" s="28">
        <f t="shared" si="28"/>
        <v>5587.78</v>
      </c>
      <c r="I896" s="30">
        <v>45160</v>
      </c>
      <c r="J896" s="26" t="s">
        <v>52</v>
      </c>
      <c r="K896" s="26" t="s">
        <v>23</v>
      </c>
      <c r="L896" s="31">
        <f t="shared" si="29"/>
        <v>2738.0121999999997</v>
      </c>
      <c r="M896" s="31">
        <v>-512.73</v>
      </c>
      <c r="N896" s="22">
        <f>_xlfn.XLOOKUP(Snitch_Fashion_Sales_cleaned!$J896,Table2[City],Table2[City_Key],"not found")</f>
        <v>5</v>
      </c>
      <c r="O896" s="21">
        <f>_xlfn.XLOOKUP(Snitch_Fashion_Sales_cleaned!$D896,Table4[Product_Name],Table4[Product_Key],"not found")</f>
        <v>23</v>
      </c>
      <c r="P896" s="25">
        <f>_xlfn.XLOOKUP(Snitch_Fashion_Sales_cleaned!$I896,Table3[Order_Date],Table3[Date_Key])</f>
        <v>388</v>
      </c>
    </row>
    <row r="897" spans="1:16" x14ac:dyDescent="0.3">
      <c r="A897" s="34">
        <v>1003</v>
      </c>
      <c r="B897" s="32" t="s">
        <v>936</v>
      </c>
      <c r="C897" s="32" t="s">
        <v>13</v>
      </c>
      <c r="D897" s="33" t="s">
        <v>98</v>
      </c>
      <c r="E897" s="34">
        <v>5</v>
      </c>
      <c r="F897" s="35">
        <v>2750.33</v>
      </c>
      <c r="G897" s="36">
        <v>0.51</v>
      </c>
      <c r="H897" s="35">
        <f t="shared" si="28"/>
        <v>13751.65</v>
      </c>
      <c r="I897" s="37">
        <v>45741</v>
      </c>
      <c r="J897" s="33" t="s">
        <v>43</v>
      </c>
      <c r="K897" s="33" t="s">
        <v>23</v>
      </c>
      <c r="L897" s="38">
        <f t="shared" si="29"/>
        <v>6738.3085000000001</v>
      </c>
      <c r="M897" s="38">
        <v>2368.6999999999998</v>
      </c>
      <c r="N897" s="24">
        <f>_xlfn.XLOOKUP(Snitch_Fashion_Sales_cleaned!$J897,Table2[City],Table2[City_Key],"not found")</f>
        <v>6</v>
      </c>
      <c r="O897" s="23">
        <f>_xlfn.XLOOKUP(Snitch_Fashion_Sales_cleaned!$D897,Table4[Product_Name],Table4[Product_Key],"not found")</f>
        <v>21</v>
      </c>
      <c r="P897" s="32">
        <f>_xlfn.XLOOKUP(Snitch_Fashion_Sales_cleaned!$I897,Table3[Order_Date],Table3[Date_Key])</f>
        <v>157</v>
      </c>
    </row>
    <row r="898" spans="1:16" x14ac:dyDescent="0.3">
      <c r="A898" s="27">
        <v>1896</v>
      </c>
      <c r="B898" s="25" t="s">
        <v>937</v>
      </c>
      <c r="C898" s="25" t="s">
        <v>31</v>
      </c>
      <c r="D898" s="26" t="s">
        <v>41</v>
      </c>
      <c r="E898" s="27">
        <v>5</v>
      </c>
      <c r="F898" s="28">
        <v>4829.8500000000004</v>
      </c>
      <c r="G898" s="29">
        <v>0.51</v>
      </c>
      <c r="H898" s="28">
        <f t="shared" si="28"/>
        <v>24149.25</v>
      </c>
      <c r="I898" s="30">
        <v>45647</v>
      </c>
      <c r="J898" s="26" t="s">
        <v>52</v>
      </c>
      <c r="K898" s="26" t="s">
        <v>23</v>
      </c>
      <c r="L898" s="31">
        <f t="shared" si="29"/>
        <v>11833.1325</v>
      </c>
      <c r="M898" s="31">
        <v>2993.71</v>
      </c>
      <c r="N898" s="22">
        <f>_xlfn.XLOOKUP(Snitch_Fashion_Sales_cleaned!$J898,Table2[City],Table2[City_Key],"not found")</f>
        <v>5</v>
      </c>
      <c r="O898" s="21">
        <f>_xlfn.XLOOKUP(Snitch_Fashion_Sales_cleaned!$D898,Table4[Product_Name],Table4[Product_Key],"not found")</f>
        <v>9</v>
      </c>
      <c r="P898" s="25">
        <f>_xlfn.XLOOKUP(Snitch_Fashion_Sales_cleaned!$I898,Table3[Order_Date],Table3[Date_Key])</f>
        <v>5</v>
      </c>
    </row>
    <row r="899" spans="1:16" x14ac:dyDescent="0.3">
      <c r="A899" s="34">
        <v>1897</v>
      </c>
      <c r="B899" s="32" t="s">
        <v>938</v>
      </c>
      <c r="C899" s="32" t="s">
        <v>13</v>
      </c>
      <c r="D899" s="33" t="s">
        <v>46</v>
      </c>
      <c r="E899" s="34">
        <v>4</v>
      </c>
      <c r="F899" s="35">
        <v>2891.64</v>
      </c>
      <c r="G899" s="36">
        <v>0.34</v>
      </c>
      <c r="H899" s="35">
        <f t="shared" si="28"/>
        <v>11566.56</v>
      </c>
      <c r="I899" s="37">
        <v>45747</v>
      </c>
      <c r="J899" s="33" t="s">
        <v>52</v>
      </c>
      <c r="K899" s="33" t="s">
        <v>16</v>
      </c>
      <c r="L899" s="38">
        <f t="shared" si="29"/>
        <v>7633.9295999999986</v>
      </c>
      <c r="M899" s="38">
        <v>499.61</v>
      </c>
      <c r="N899" s="24">
        <f>_xlfn.XLOOKUP(Snitch_Fashion_Sales_cleaned!$J899,Table2[City],Table2[City_Key],"not found")</f>
        <v>5</v>
      </c>
      <c r="O899" s="23">
        <f>_xlfn.XLOOKUP(Snitch_Fashion_Sales_cleaned!$D899,Table4[Product_Name],Table4[Product_Key],"not found")</f>
        <v>10</v>
      </c>
      <c r="P899" s="32">
        <f>_xlfn.XLOOKUP(Snitch_Fashion_Sales_cleaned!$I899,Table3[Order_Date],Table3[Date_Key])</f>
        <v>127</v>
      </c>
    </row>
    <row r="900" spans="1:16" x14ac:dyDescent="0.3">
      <c r="A900" s="27">
        <v>1898</v>
      </c>
      <c r="B900" s="25" t="s">
        <v>939</v>
      </c>
      <c r="C900" s="25" t="s">
        <v>31</v>
      </c>
      <c r="D900" s="26" t="s">
        <v>68</v>
      </c>
      <c r="E900" s="27">
        <v>5</v>
      </c>
      <c r="F900" s="28">
        <v>776.98</v>
      </c>
      <c r="G900" s="29">
        <v>0.51</v>
      </c>
      <c r="H900" s="28">
        <f t="shared" si="28"/>
        <v>3884.9</v>
      </c>
      <c r="I900" s="30">
        <v>45643</v>
      </c>
      <c r="J900" s="26" t="s">
        <v>22</v>
      </c>
      <c r="K900" s="26" t="s">
        <v>16</v>
      </c>
      <c r="L900" s="31">
        <f t="shared" si="29"/>
        <v>1903.6010000000001</v>
      </c>
      <c r="M900" s="31">
        <v>475.90025000000003</v>
      </c>
      <c r="N900" s="22">
        <f>_xlfn.XLOOKUP(Snitch_Fashion_Sales_cleaned!$J900,Table2[City],Table2[City_Key],"not found")</f>
        <v>3</v>
      </c>
      <c r="O900" s="21">
        <f>_xlfn.XLOOKUP(Snitch_Fashion_Sales_cleaned!$D900,Table4[Product_Name],Table4[Product_Key],"not found")</f>
        <v>15</v>
      </c>
      <c r="P900" s="25">
        <f>_xlfn.XLOOKUP(Snitch_Fashion_Sales_cleaned!$I900,Table3[Order_Date],Table3[Date_Key])</f>
        <v>389</v>
      </c>
    </row>
    <row r="901" spans="1:16" x14ac:dyDescent="0.3">
      <c r="A901" s="34">
        <v>1899</v>
      </c>
      <c r="B901" s="32" t="s">
        <v>940</v>
      </c>
      <c r="C901" s="32" t="s">
        <v>25</v>
      </c>
      <c r="D901" s="33" t="s">
        <v>50</v>
      </c>
      <c r="E901" s="34">
        <v>4</v>
      </c>
      <c r="F901" s="35">
        <v>2666.2200000000003</v>
      </c>
      <c r="G901" s="36">
        <v>0.51</v>
      </c>
      <c r="H901" s="35">
        <f t="shared" si="28"/>
        <v>10664.880000000001</v>
      </c>
      <c r="I901" s="37">
        <v>45647</v>
      </c>
      <c r="J901" s="33" t="s">
        <v>15</v>
      </c>
      <c r="K901" s="33" t="s">
        <v>16</v>
      </c>
      <c r="L901" s="38">
        <f t="shared" si="29"/>
        <v>5225.7912000000006</v>
      </c>
      <c r="M901" s="38">
        <v>500.04</v>
      </c>
      <c r="N901" s="24">
        <f>_xlfn.XLOOKUP(Snitch_Fashion_Sales_cleaned!$J901,Table2[City],Table2[City_Key],"not found")</f>
        <v>1</v>
      </c>
      <c r="O901" s="23">
        <f>_xlfn.XLOOKUP(Snitch_Fashion_Sales_cleaned!$D901,Table4[Product_Name],Table4[Product_Key],"not found")</f>
        <v>11</v>
      </c>
      <c r="P901" s="32">
        <f>_xlfn.XLOOKUP(Snitch_Fashion_Sales_cleaned!$I901,Table3[Order_Date],Table3[Date_Key])</f>
        <v>5</v>
      </c>
    </row>
    <row r="902" spans="1:16" x14ac:dyDescent="0.3">
      <c r="A902" s="27">
        <v>1900</v>
      </c>
      <c r="B902" s="25" t="s">
        <v>941</v>
      </c>
      <c r="C902" s="25" t="s">
        <v>31</v>
      </c>
      <c r="D902" s="26" t="s">
        <v>41</v>
      </c>
      <c r="E902" s="27">
        <v>3</v>
      </c>
      <c r="F902" s="28">
        <v>3027.66</v>
      </c>
      <c r="G902" s="29">
        <v>0.51</v>
      </c>
      <c r="H902" s="28">
        <f t="shared" ref="H902:H965" si="30">E902*F902</f>
        <v>9082.98</v>
      </c>
      <c r="I902" s="30">
        <v>45552</v>
      </c>
      <c r="J902" s="26" t="s">
        <v>15</v>
      </c>
      <c r="K902" s="26" t="s">
        <v>23</v>
      </c>
      <c r="L902" s="31">
        <f t="shared" ref="L902:L965" si="31">H902*(1-G902)</f>
        <v>4450.6601999999993</v>
      </c>
      <c r="M902" s="31">
        <v>959.32</v>
      </c>
      <c r="N902" s="22">
        <f>_xlfn.XLOOKUP(Snitch_Fashion_Sales_cleaned!$J902,Table2[City],Table2[City_Key],"not found")</f>
        <v>1</v>
      </c>
      <c r="O902" s="21">
        <f>_xlfn.XLOOKUP(Snitch_Fashion_Sales_cleaned!$D902,Table4[Product_Name],Table4[Product_Key],"not found")</f>
        <v>9</v>
      </c>
      <c r="P902" s="25">
        <f>_xlfn.XLOOKUP(Snitch_Fashion_Sales_cleaned!$I902,Table3[Order_Date],Table3[Date_Key])</f>
        <v>310</v>
      </c>
    </row>
    <row r="903" spans="1:16" x14ac:dyDescent="0.3">
      <c r="A903" s="34">
        <v>1901</v>
      </c>
      <c r="B903" s="32" t="s">
        <v>942</v>
      </c>
      <c r="C903" s="32" t="s">
        <v>28</v>
      </c>
      <c r="D903" s="33" t="s">
        <v>29</v>
      </c>
      <c r="E903" s="34">
        <v>4</v>
      </c>
      <c r="F903" s="35">
        <v>781.91</v>
      </c>
      <c r="G903" s="36">
        <v>0.51</v>
      </c>
      <c r="H903" s="35">
        <f t="shared" si="30"/>
        <v>3127.64</v>
      </c>
      <c r="I903" s="37">
        <v>45773</v>
      </c>
      <c r="J903" s="33" t="s">
        <v>43</v>
      </c>
      <c r="K903" s="33" t="s">
        <v>23</v>
      </c>
      <c r="L903" s="38">
        <f t="shared" si="31"/>
        <v>1532.5436</v>
      </c>
      <c r="M903" s="38">
        <v>1002.98</v>
      </c>
      <c r="N903" s="24">
        <f>_xlfn.XLOOKUP(Snitch_Fashion_Sales_cleaned!$J903,Table2[City],Table2[City_Key],"not found")</f>
        <v>6</v>
      </c>
      <c r="O903" s="23">
        <f>_xlfn.XLOOKUP(Snitch_Fashion_Sales_cleaned!$D903,Table4[Product_Name],Table4[Product_Key],"not found")</f>
        <v>4</v>
      </c>
      <c r="P903" s="32">
        <f>_xlfn.XLOOKUP(Snitch_Fashion_Sales_cleaned!$I903,Table3[Order_Date],Table3[Date_Key])</f>
        <v>36</v>
      </c>
    </row>
    <row r="904" spans="1:16" x14ac:dyDescent="0.3">
      <c r="A904" s="27">
        <v>1007</v>
      </c>
      <c r="B904" s="25" t="s">
        <v>943</v>
      </c>
      <c r="C904" s="25" t="s">
        <v>28</v>
      </c>
      <c r="D904" s="26" t="s">
        <v>137</v>
      </c>
      <c r="E904" s="27">
        <v>3.5</v>
      </c>
      <c r="F904" s="28">
        <v>3402.85</v>
      </c>
      <c r="G904" s="29">
        <v>0.63</v>
      </c>
      <c r="H904" s="28">
        <f t="shared" si="30"/>
        <v>11909.975</v>
      </c>
      <c r="I904" s="30">
        <v>45647</v>
      </c>
      <c r="J904" s="26" t="s">
        <v>43</v>
      </c>
      <c r="K904" s="26" t="s">
        <v>23</v>
      </c>
      <c r="L904" s="31">
        <f t="shared" si="31"/>
        <v>4406.6907499999998</v>
      </c>
      <c r="M904" s="31">
        <v>1333.09</v>
      </c>
      <c r="N904" s="22">
        <f>_xlfn.XLOOKUP(Snitch_Fashion_Sales_cleaned!$J904,Table2[City],Table2[City_Key],"not found")</f>
        <v>6</v>
      </c>
      <c r="O904" s="21">
        <f>_xlfn.XLOOKUP(Snitch_Fashion_Sales_cleaned!$D904,Table4[Product_Name],Table4[Product_Key],"not found")</f>
        <v>24</v>
      </c>
      <c r="P904" s="25">
        <f>_xlfn.XLOOKUP(Snitch_Fashion_Sales_cleaned!$I904,Table3[Order_Date],Table3[Date_Key])</f>
        <v>5</v>
      </c>
    </row>
    <row r="905" spans="1:16" x14ac:dyDescent="0.3">
      <c r="A905" s="34">
        <v>1903</v>
      </c>
      <c r="B905" s="32" t="s">
        <v>944</v>
      </c>
      <c r="C905" s="32" t="s">
        <v>36</v>
      </c>
      <c r="D905" s="33" t="s">
        <v>55</v>
      </c>
      <c r="E905" s="34">
        <v>3</v>
      </c>
      <c r="F905" s="35">
        <v>2731.6350000000002</v>
      </c>
      <c r="G905" s="36">
        <v>0.08</v>
      </c>
      <c r="H905" s="35">
        <f t="shared" si="30"/>
        <v>8194.9050000000007</v>
      </c>
      <c r="I905" s="37">
        <v>45764</v>
      </c>
      <c r="J905" s="33" t="s">
        <v>22</v>
      </c>
      <c r="K905" s="33" t="s">
        <v>23</v>
      </c>
      <c r="L905" s="38">
        <f t="shared" si="31"/>
        <v>7539.3126000000011</v>
      </c>
      <c r="M905" s="38">
        <v>1264.02</v>
      </c>
      <c r="N905" s="24">
        <f>_xlfn.XLOOKUP(Snitch_Fashion_Sales_cleaned!$J905,Table2[City],Table2[City_Key],"not found")</f>
        <v>3</v>
      </c>
      <c r="O905" s="23">
        <f>_xlfn.XLOOKUP(Snitch_Fashion_Sales_cleaned!$D905,Table4[Product_Name],Table4[Product_Key],"not found")</f>
        <v>12</v>
      </c>
      <c r="P905" s="32">
        <f>_xlfn.XLOOKUP(Snitch_Fashion_Sales_cleaned!$I905,Table3[Order_Date],Table3[Date_Key])</f>
        <v>121</v>
      </c>
    </row>
    <row r="906" spans="1:16" x14ac:dyDescent="0.3">
      <c r="A906" s="27">
        <v>1904</v>
      </c>
      <c r="B906" s="25" t="s">
        <v>945</v>
      </c>
      <c r="C906" s="25" t="s">
        <v>13</v>
      </c>
      <c r="D906" s="26" t="s">
        <v>98</v>
      </c>
      <c r="E906" s="27">
        <v>5</v>
      </c>
      <c r="F906" s="28">
        <v>1339.18</v>
      </c>
      <c r="G906" s="29">
        <v>0.51</v>
      </c>
      <c r="H906" s="28">
        <f t="shared" si="30"/>
        <v>6695.9000000000005</v>
      </c>
      <c r="I906" s="30">
        <v>45851</v>
      </c>
      <c r="J906" s="26" t="s">
        <v>2540</v>
      </c>
      <c r="K906" s="26" t="s">
        <v>16</v>
      </c>
      <c r="L906" s="31">
        <f t="shared" si="31"/>
        <v>3280.991</v>
      </c>
      <c r="M906" s="31">
        <v>554.92999999999995</v>
      </c>
      <c r="N906" s="22">
        <f>_xlfn.XLOOKUP(Snitch_Fashion_Sales_cleaned!$J906,Table2[City],Table2[City_Key],"not found")</f>
        <v>4</v>
      </c>
      <c r="O906" s="21">
        <f>_xlfn.XLOOKUP(Snitch_Fashion_Sales_cleaned!$D906,Table4[Product_Name],Table4[Product_Key],"not found")</f>
        <v>21</v>
      </c>
      <c r="P906" s="25">
        <f>_xlfn.XLOOKUP(Snitch_Fashion_Sales_cleaned!$I906,Table3[Order_Date],Table3[Date_Key])</f>
        <v>23</v>
      </c>
    </row>
    <row r="907" spans="1:16" x14ac:dyDescent="0.3">
      <c r="A907" s="34">
        <v>1905</v>
      </c>
      <c r="B907" s="32" t="s">
        <v>946</v>
      </c>
      <c r="C907" s="32" t="s">
        <v>36</v>
      </c>
      <c r="D907" s="33" t="s">
        <v>87</v>
      </c>
      <c r="E907" s="34">
        <v>4</v>
      </c>
      <c r="F907" s="35">
        <v>759.78</v>
      </c>
      <c r="G907" s="36">
        <v>0.51</v>
      </c>
      <c r="H907" s="35">
        <f t="shared" si="30"/>
        <v>3039.12</v>
      </c>
      <c r="I907" s="37">
        <v>45647</v>
      </c>
      <c r="J907" s="33" t="s">
        <v>43</v>
      </c>
      <c r="K907" s="33" t="s">
        <v>23</v>
      </c>
      <c r="L907" s="38">
        <f t="shared" si="31"/>
        <v>1489.1687999999999</v>
      </c>
      <c r="M907" s="38">
        <v>372.29219999999998</v>
      </c>
      <c r="N907" s="24">
        <f>_xlfn.XLOOKUP(Snitch_Fashion_Sales_cleaned!$J907,Table2[City],Table2[City_Key],"not found")</f>
        <v>6</v>
      </c>
      <c r="O907" s="23">
        <f>_xlfn.XLOOKUP(Snitch_Fashion_Sales_cleaned!$D907,Table4[Product_Name],Table4[Product_Key],"not found")</f>
        <v>20</v>
      </c>
      <c r="P907" s="32">
        <f>_xlfn.XLOOKUP(Snitch_Fashion_Sales_cleaned!$I907,Table3[Order_Date],Table3[Date_Key])</f>
        <v>5</v>
      </c>
    </row>
    <row r="908" spans="1:16" x14ac:dyDescent="0.3">
      <c r="A908" s="27">
        <v>1906</v>
      </c>
      <c r="B908" s="25" t="s">
        <v>947</v>
      </c>
      <c r="C908" s="25" t="s">
        <v>36</v>
      </c>
      <c r="D908" s="26" t="s">
        <v>87</v>
      </c>
      <c r="E908" s="27">
        <v>4</v>
      </c>
      <c r="F908" s="28">
        <v>2889.5349999999999</v>
      </c>
      <c r="G908" s="29">
        <v>0.51</v>
      </c>
      <c r="H908" s="28">
        <f t="shared" si="30"/>
        <v>11558.14</v>
      </c>
      <c r="I908" s="30">
        <v>45853</v>
      </c>
      <c r="J908" s="26" t="s">
        <v>2540</v>
      </c>
      <c r="K908" s="26" t="s">
        <v>23</v>
      </c>
      <c r="L908" s="31">
        <f t="shared" si="31"/>
        <v>5663.4885999999997</v>
      </c>
      <c r="M908" s="31">
        <v>406.55</v>
      </c>
      <c r="N908" s="22">
        <f>_xlfn.XLOOKUP(Snitch_Fashion_Sales_cleaned!$J908,Table2[City],Table2[City_Key],"not found")</f>
        <v>4</v>
      </c>
      <c r="O908" s="21">
        <f>_xlfn.XLOOKUP(Snitch_Fashion_Sales_cleaned!$D908,Table4[Product_Name],Table4[Product_Key],"not found")</f>
        <v>20</v>
      </c>
      <c r="P908" s="25">
        <f>_xlfn.XLOOKUP(Snitch_Fashion_Sales_cleaned!$I908,Table3[Order_Date],Table3[Date_Key])</f>
        <v>2</v>
      </c>
    </row>
    <row r="909" spans="1:16" x14ac:dyDescent="0.3">
      <c r="A909" s="34">
        <v>1907</v>
      </c>
      <c r="B909" s="32" t="s">
        <v>948</v>
      </c>
      <c r="C909" s="32" t="s">
        <v>20</v>
      </c>
      <c r="D909" s="33" t="s">
        <v>21</v>
      </c>
      <c r="E909" s="34">
        <v>4</v>
      </c>
      <c r="F909" s="35">
        <v>2579.8000000000002</v>
      </c>
      <c r="G909" s="36">
        <v>0.51</v>
      </c>
      <c r="H909" s="35">
        <f t="shared" si="30"/>
        <v>10319.200000000001</v>
      </c>
      <c r="I909" s="37">
        <v>45633</v>
      </c>
      <c r="J909" s="33" t="s">
        <v>52</v>
      </c>
      <c r="K909" s="33" t="s">
        <v>23</v>
      </c>
      <c r="L909" s="38">
        <f t="shared" si="31"/>
        <v>5056.4080000000004</v>
      </c>
      <c r="M909" s="38">
        <v>305.87</v>
      </c>
      <c r="N909" s="24">
        <f>_xlfn.XLOOKUP(Snitch_Fashion_Sales_cleaned!$J909,Table2[City],Table2[City_Key],"not found")</f>
        <v>5</v>
      </c>
      <c r="O909" s="23">
        <f>_xlfn.XLOOKUP(Snitch_Fashion_Sales_cleaned!$D909,Table4[Product_Name],Table4[Product_Key],"not found")</f>
        <v>2</v>
      </c>
      <c r="P909" s="32">
        <f>_xlfn.XLOOKUP(Snitch_Fashion_Sales_cleaned!$I909,Table3[Order_Date],Table3[Date_Key])</f>
        <v>211</v>
      </c>
    </row>
    <row r="910" spans="1:16" x14ac:dyDescent="0.3">
      <c r="A910" s="27">
        <v>1908</v>
      </c>
      <c r="B910" s="25" t="s">
        <v>949</v>
      </c>
      <c r="C910" s="25" t="s">
        <v>13</v>
      </c>
      <c r="D910" s="26" t="s">
        <v>34</v>
      </c>
      <c r="E910" s="27">
        <v>3</v>
      </c>
      <c r="F910" s="28">
        <v>3008.6549999999997</v>
      </c>
      <c r="G910" s="29">
        <v>0.51</v>
      </c>
      <c r="H910" s="28">
        <f t="shared" si="30"/>
        <v>9025.9650000000001</v>
      </c>
      <c r="I910" s="30">
        <v>45647</v>
      </c>
      <c r="J910" s="26" t="s">
        <v>52</v>
      </c>
      <c r="K910" s="26" t="s">
        <v>23</v>
      </c>
      <c r="L910" s="31">
        <f t="shared" si="31"/>
        <v>4422.7228500000001</v>
      </c>
      <c r="M910" s="31">
        <v>205.56</v>
      </c>
      <c r="N910" s="22">
        <f>_xlfn.XLOOKUP(Snitch_Fashion_Sales_cleaned!$J910,Table2[City],Table2[City_Key],"not found")</f>
        <v>5</v>
      </c>
      <c r="O910" s="21">
        <f>_xlfn.XLOOKUP(Snitch_Fashion_Sales_cleaned!$D910,Table4[Product_Name],Table4[Product_Key],"not found")</f>
        <v>6</v>
      </c>
      <c r="P910" s="25">
        <f>_xlfn.XLOOKUP(Snitch_Fashion_Sales_cleaned!$I910,Table3[Order_Date],Table3[Date_Key])</f>
        <v>5</v>
      </c>
    </row>
    <row r="911" spans="1:16" x14ac:dyDescent="0.3">
      <c r="A911" s="34">
        <v>1909</v>
      </c>
      <c r="B911" s="32" t="s">
        <v>950</v>
      </c>
      <c r="C911" s="32" t="s">
        <v>28</v>
      </c>
      <c r="D911" s="33" t="s">
        <v>39</v>
      </c>
      <c r="E911" s="34">
        <v>1</v>
      </c>
      <c r="F911" s="35">
        <v>3114.13</v>
      </c>
      <c r="G911" s="36">
        <v>0.51</v>
      </c>
      <c r="H911" s="35">
        <f t="shared" si="30"/>
        <v>3114.13</v>
      </c>
      <c r="I911" s="37">
        <v>45799</v>
      </c>
      <c r="J911" s="33" t="s">
        <v>43</v>
      </c>
      <c r="K911" s="33" t="s">
        <v>23</v>
      </c>
      <c r="L911" s="38">
        <f t="shared" si="31"/>
        <v>1525.9237000000001</v>
      </c>
      <c r="M911" s="38">
        <v>381.48092500000001</v>
      </c>
      <c r="N911" s="24">
        <f>_xlfn.XLOOKUP(Snitch_Fashion_Sales_cleaned!$J911,Table2[City],Table2[City_Key],"not found")</f>
        <v>6</v>
      </c>
      <c r="O911" s="23">
        <f>_xlfn.XLOOKUP(Snitch_Fashion_Sales_cleaned!$D911,Table4[Product_Name],Table4[Product_Key],"not found")</f>
        <v>8</v>
      </c>
      <c r="P911" s="32">
        <f>_xlfn.XLOOKUP(Snitch_Fashion_Sales_cleaned!$I911,Table3[Order_Date],Table3[Date_Key])</f>
        <v>390</v>
      </c>
    </row>
    <row r="912" spans="1:16" x14ac:dyDescent="0.3">
      <c r="A912" s="27">
        <v>1910</v>
      </c>
      <c r="B912" s="25" t="s">
        <v>951</v>
      </c>
      <c r="C912" s="25" t="s">
        <v>31</v>
      </c>
      <c r="D912" s="26" t="s">
        <v>41</v>
      </c>
      <c r="E912" s="27">
        <v>3</v>
      </c>
      <c r="F912" s="28">
        <v>2155.16</v>
      </c>
      <c r="G912" s="29">
        <v>0.51</v>
      </c>
      <c r="H912" s="28">
        <f t="shared" si="30"/>
        <v>6465.48</v>
      </c>
      <c r="I912" s="30">
        <v>45710</v>
      </c>
      <c r="J912" s="26" t="s">
        <v>18</v>
      </c>
      <c r="K912" s="26" t="s">
        <v>23</v>
      </c>
      <c r="L912" s="31">
        <f t="shared" si="31"/>
        <v>3168.0851999999995</v>
      </c>
      <c r="M912" s="31">
        <v>425.89</v>
      </c>
      <c r="N912" s="22">
        <f>_xlfn.XLOOKUP(Snitch_Fashion_Sales_cleaned!$J912,Table2[City],Table2[City_Key],"not found")</f>
        <v>2</v>
      </c>
      <c r="O912" s="21">
        <f>_xlfn.XLOOKUP(Snitch_Fashion_Sales_cleaned!$D912,Table4[Product_Name],Table4[Product_Key],"not found")</f>
        <v>9</v>
      </c>
      <c r="P912" s="25">
        <f>_xlfn.XLOOKUP(Snitch_Fashion_Sales_cleaned!$I912,Table3[Order_Date],Table3[Date_Key])</f>
        <v>59</v>
      </c>
    </row>
    <row r="913" spans="1:16" x14ac:dyDescent="0.3">
      <c r="A913" s="34">
        <v>1911</v>
      </c>
      <c r="B913" s="32" t="s">
        <v>952</v>
      </c>
      <c r="C913" s="32" t="s">
        <v>13</v>
      </c>
      <c r="D913" s="33" t="s">
        <v>98</v>
      </c>
      <c r="E913" s="34">
        <v>6</v>
      </c>
      <c r="F913" s="35">
        <v>2357.6999999999998</v>
      </c>
      <c r="G913" s="36">
        <v>0.51</v>
      </c>
      <c r="H913" s="35">
        <f t="shared" si="30"/>
        <v>14146.199999999999</v>
      </c>
      <c r="I913" s="37">
        <v>45521</v>
      </c>
      <c r="J913" s="33" t="s">
        <v>18</v>
      </c>
      <c r="K913" s="33" t="s">
        <v>23</v>
      </c>
      <c r="L913" s="38">
        <f t="shared" si="31"/>
        <v>6931.637999999999</v>
      </c>
      <c r="M913" s="38">
        <v>1901.07</v>
      </c>
      <c r="N913" s="24">
        <f>_xlfn.XLOOKUP(Snitch_Fashion_Sales_cleaned!$J913,Table2[City],Table2[City_Key],"not found")</f>
        <v>2</v>
      </c>
      <c r="O913" s="23">
        <f>_xlfn.XLOOKUP(Snitch_Fashion_Sales_cleaned!$D913,Table4[Product_Name],Table4[Product_Key],"not found")</f>
        <v>21</v>
      </c>
      <c r="P913" s="32">
        <f>_xlfn.XLOOKUP(Snitch_Fashion_Sales_cleaned!$I913,Table3[Order_Date],Table3[Date_Key])</f>
        <v>371</v>
      </c>
    </row>
    <row r="914" spans="1:16" x14ac:dyDescent="0.3">
      <c r="A914" s="27">
        <v>1912</v>
      </c>
      <c r="B914" s="25" t="s">
        <v>953</v>
      </c>
      <c r="C914" s="25" t="s">
        <v>28</v>
      </c>
      <c r="D914" s="26" t="s">
        <v>29</v>
      </c>
      <c r="E914" s="27">
        <v>3</v>
      </c>
      <c r="F914" s="28">
        <v>2515.415</v>
      </c>
      <c r="G914" s="29">
        <v>0.51</v>
      </c>
      <c r="H914" s="28">
        <f t="shared" si="30"/>
        <v>7546.2449999999999</v>
      </c>
      <c r="I914" s="30">
        <v>45647</v>
      </c>
      <c r="J914" s="26" t="s">
        <v>43</v>
      </c>
      <c r="K914" s="26" t="s">
        <v>16</v>
      </c>
      <c r="L914" s="31">
        <f t="shared" si="31"/>
        <v>3697.66005</v>
      </c>
      <c r="M914" s="31">
        <v>2721.15</v>
      </c>
      <c r="N914" s="22">
        <f>_xlfn.XLOOKUP(Snitch_Fashion_Sales_cleaned!$J914,Table2[City],Table2[City_Key],"not found")</f>
        <v>6</v>
      </c>
      <c r="O914" s="21">
        <f>_xlfn.XLOOKUP(Snitch_Fashion_Sales_cleaned!$D914,Table4[Product_Name],Table4[Product_Key],"not found")</f>
        <v>4</v>
      </c>
      <c r="P914" s="25">
        <f>_xlfn.XLOOKUP(Snitch_Fashion_Sales_cleaned!$I914,Table3[Order_Date],Table3[Date_Key])</f>
        <v>5</v>
      </c>
    </row>
    <row r="915" spans="1:16" x14ac:dyDescent="0.3">
      <c r="A915" s="34">
        <v>1913</v>
      </c>
      <c r="B915" s="32" t="s">
        <v>954</v>
      </c>
      <c r="C915" s="32" t="s">
        <v>28</v>
      </c>
      <c r="D915" s="33" t="s">
        <v>116</v>
      </c>
      <c r="E915" s="34">
        <v>5</v>
      </c>
      <c r="F915" s="35">
        <v>2785.79</v>
      </c>
      <c r="G915" s="36">
        <v>0.51</v>
      </c>
      <c r="H915" s="35">
        <f t="shared" si="30"/>
        <v>13928.95</v>
      </c>
      <c r="I915" s="37">
        <v>45647</v>
      </c>
      <c r="J915" s="33" t="s">
        <v>22</v>
      </c>
      <c r="K915" s="33" t="s">
        <v>16</v>
      </c>
      <c r="L915" s="38">
        <f t="shared" si="31"/>
        <v>6825.1855000000005</v>
      </c>
      <c r="M915" s="38">
        <v>1490.96</v>
      </c>
      <c r="N915" s="24">
        <f>_xlfn.XLOOKUP(Snitch_Fashion_Sales_cleaned!$J915,Table2[City],Table2[City_Key],"not found")</f>
        <v>3</v>
      </c>
      <c r="O915" s="23">
        <f>_xlfn.XLOOKUP(Snitch_Fashion_Sales_cleaned!$D915,Table4[Product_Name],Table4[Product_Key],"not found")</f>
        <v>22</v>
      </c>
      <c r="P915" s="32">
        <f>_xlfn.XLOOKUP(Snitch_Fashion_Sales_cleaned!$I915,Table3[Order_Date],Table3[Date_Key])</f>
        <v>5</v>
      </c>
    </row>
    <row r="916" spans="1:16" x14ac:dyDescent="0.3">
      <c r="A916" s="27">
        <v>1914</v>
      </c>
      <c r="B916" s="25" t="s">
        <v>955</v>
      </c>
      <c r="C916" s="25" t="s">
        <v>13</v>
      </c>
      <c r="D916" s="26" t="s">
        <v>34</v>
      </c>
      <c r="E916" s="27">
        <v>6</v>
      </c>
      <c r="F916" s="28">
        <v>3661.49</v>
      </c>
      <c r="G916" s="29">
        <v>0.11</v>
      </c>
      <c r="H916" s="28">
        <f t="shared" si="30"/>
        <v>21968.94</v>
      </c>
      <c r="I916" s="30">
        <v>45848</v>
      </c>
      <c r="J916" s="26" t="s">
        <v>43</v>
      </c>
      <c r="K916" s="26" t="s">
        <v>23</v>
      </c>
      <c r="L916" s="31">
        <f t="shared" si="31"/>
        <v>19552.356599999999</v>
      </c>
      <c r="M916" s="31">
        <v>-527.32000000000005</v>
      </c>
      <c r="N916" s="22">
        <f>_xlfn.XLOOKUP(Snitch_Fashion_Sales_cleaned!$J916,Table2[City],Table2[City_Key],"not found")</f>
        <v>6</v>
      </c>
      <c r="O916" s="21">
        <f>_xlfn.XLOOKUP(Snitch_Fashion_Sales_cleaned!$D916,Table4[Product_Name],Table4[Product_Key],"not found")</f>
        <v>6</v>
      </c>
      <c r="P916" s="25">
        <f>_xlfn.XLOOKUP(Snitch_Fashion_Sales_cleaned!$I916,Table3[Order_Date],Table3[Date_Key])</f>
        <v>391</v>
      </c>
    </row>
    <row r="917" spans="1:16" x14ac:dyDescent="0.3">
      <c r="A917" s="34">
        <v>1915</v>
      </c>
      <c r="B917" s="32" t="s">
        <v>956</v>
      </c>
      <c r="C917" s="32" t="s">
        <v>28</v>
      </c>
      <c r="D917" s="33" t="s">
        <v>39</v>
      </c>
      <c r="E917" s="34">
        <v>3</v>
      </c>
      <c r="F917" s="35">
        <v>2577.6350000000002</v>
      </c>
      <c r="G917" s="36">
        <v>0.51</v>
      </c>
      <c r="H917" s="35">
        <f t="shared" si="30"/>
        <v>7732.9050000000007</v>
      </c>
      <c r="I917" s="37">
        <v>45367</v>
      </c>
      <c r="J917" s="33" t="s">
        <v>15</v>
      </c>
      <c r="K917" s="33" t="s">
        <v>23</v>
      </c>
      <c r="L917" s="38">
        <f t="shared" si="31"/>
        <v>3789.12345</v>
      </c>
      <c r="M917" s="38">
        <v>944.36</v>
      </c>
      <c r="N917" s="24">
        <f>_xlfn.XLOOKUP(Snitch_Fashion_Sales_cleaned!$J917,Table2[City],Table2[City_Key],"not found")</f>
        <v>1</v>
      </c>
      <c r="O917" s="23">
        <f>_xlfn.XLOOKUP(Snitch_Fashion_Sales_cleaned!$D917,Table4[Product_Name],Table4[Product_Key],"not found")</f>
        <v>8</v>
      </c>
      <c r="P917" s="32">
        <f>_xlfn.XLOOKUP(Snitch_Fashion_Sales_cleaned!$I917,Table3[Order_Date],Table3[Date_Key])</f>
        <v>392</v>
      </c>
    </row>
    <row r="918" spans="1:16" x14ac:dyDescent="0.3">
      <c r="A918" s="27">
        <v>1916</v>
      </c>
      <c r="B918" s="25" t="s">
        <v>957</v>
      </c>
      <c r="C918" s="25" t="s">
        <v>36</v>
      </c>
      <c r="D918" s="26" t="s">
        <v>55</v>
      </c>
      <c r="E918" s="27">
        <v>3</v>
      </c>
      <c r="F918" s="28">
        <v>2117.0700000000002</v>
      </c>
      <c r="G918" s="29">
        <v>0.13</v>
      </c>
      <c r="H918" s="28">
        <f t="shared" si="30"/>
        <v>6351.2100000000009</v>
      </c>
      <c r="I918" s="30">
        <v>45686</v>
      </c>
      <c r="J918" s="26" t="s">
        <v>15</v>
      </c>
      <c r="K918" s="26" t="s">
        <v>23</v>
      </c>
      <c r="L918" s="31">
        <f t="shared" si="31"/>
        <v>5525.5527000000011</v>
      </c>
      <c r="M918" s="31">
        <v>2423.2399999999998</v>
      </c>
      <c r="N918" s="22">
        <f>_xlfn.XLOOKUP(Snitch_Fashion_Sales_cleaned!$J918,Table2[City],Table2[City_Key],"not found")</f>
        <v>1</v>
      </c>
      <c r="O918" s="21">
        <f>_xlfn.XLOOKUP(Snitch_Fashion_Sales_cleaned!$D918,Table4[Product_Name],Table4[Product_Key],"not found")</f>
        <v>12</v>
      </c>
      <c r="P918" s="25">
        <f>_xlfn.XLOOKUP(Snitch_Fashion_Sales_cleaned!$I918,Table3[Order_Date],Table3[Date_Key])</f>
        <v>351</v>
      </c>
    </row>
    <row r="919" spans="1:16" x14ac:dyDescent="0.3">
      <c r="A919" s="34">
        <v>1917</v>
      </c>
      <c r="B919" s="32" t="s">
        <v>958</v>
      </c>
      <c r="C919" s="32" t="s">
        <v>25</v>
      </c>
      <c r="D919" s="33" t="s">
        <v>62</v>
      </c>
      <c r="E919" s="34">
        <v>2</v>
      </c>
      <c r="F919" s="35">
        <v>2538.0450000000001</v>
      </c>
      <c r="G919" s="36">
        <v>0.51</v>
      </c>
      <c r="H919" s="35">
        <f t="shared" si="30"/>
        <v>5076.09</v>
      </c>
      <c r="I919" s="37">
        <v>45630</v>
      </c>
      <c r="J919" s="33" t="s">
        <v>18</v>
      </c>
      <c r="K919" s="33" t="s">
        <v>23</v>
      </c>
      <c r="L919" s="38">
        <f t="shared" si="31"/>
        <v>2487.2840999999999</v>
      </c>
      <c r="M919" s="38">
        <v>1173.48</v>
      </c>
      <c r="N919" s="24">
        <f>_xlfn.XLOOKUP(Snitch_Fashion_Sales_cleaned!$J919,Table2[City],Table2[City_Key],"not found")</f>
        <v>2</v>
      </c>
      <c r="O919" s="23">
        <f>_xlfn.XLOOKUP(Snitch_Fashion_Sales_cleaned!$D919,Table4[Product_Name],Table4[Product_Key],"not found")</f>
        <v>14</v>
      </c>
      <c r="P919" s="32">
        <f>_xlfn.XLOOKUP(Snitch_Fashion_Sales_cleaned!$I919,Table3[Order_Date],Table3[Date_Key])</f>
        <v>130</v>
      </c>
    </row>
    <row r="920" spans="1:16" x14ac:dyDescent="0.3">
      <c r="A920" s="27">
        <v>1918</v>
      </c>
      <c r="B920" s="25" t="s">
        <v>959</v>
      </c>
      <c r="C920" s="25" t="s">
        <v>36</v>
      </c>
      <c r="D920" s="26" t="s">
        <v>87</v>
      </c>
      <c r="E920" s="27">
        <v>4</v>
      </c>
      <c r="F920" s="28">
        <v>581.49</v>
      </c>
      <c r="G920" s="29">
        <v>0.51</v>
      </c>
      <c r="H920" s="28">
        <f t="shared" si="30"/>
        <v>2325.96</v>
      </c>
      <c r="I920" s="30">
        <v>45297</v>
      </c>
      <c r="J920" s="26" t="s">
        <v>18</v>
      </c>
      <c r="K920" s="26" t="s">
        <v>23</v>
      </c>
      <c r="L920" s="31">
        <f t="shared" si="31"/>
        <v>1139.7203999999999</v>
      </c>
      <c r="M920" s="31">
        <v>-714.88</v>
      </c>
      <c r="N920" s="22">
        <f>_xlfn.XLOOKUP(Snitch_Fashion_Sales_cleaned!$J920,Table2[City],Table2[City_Key],"not found")</f>
        <v>2</v>
      </c>
      <c r="O920" s="21">
        <f>_xlfn.XLOOKUP(Snitch_Fashion_Sales_cleaned!$D920,Table4[Product_Name],Table4[Product_Key],"not found")</f>
        <v>20</v>
      </c>
      <c r="P920" s="25">
        <f>_xlfn.XLOOKUP(Snitch_Fashion_Sales_cleaned!$I920,Table3[Order_Date],Table3[Date_Key])</f>
        <v>393</v>
      </c>
    </row>
    <row r="921" spans="1:16" x14ac:dyDescent="0.3">
      <c r="A921" s="34">
        <v>1919</v>
      </c>
      <c r="B921" s="32" t="s">
        <v>960</v>
      </c>
      <c r="C921" s="32" t="s">
        <v>36</v>
      </c>
      <c r="D921" s="33" t="s">
        <v>55</v>
      </c>
      <c r="E921" s="34">
        <v>3</v>
      </c>
      <c r="F921" s="35">
        <v>1460.71</v>
      </c>
      <c r="G921" s="36">
        <v>0.51</v>
      </c>
      <c r="H921" s="35">
        <f t="shared" si="30"/>
        <v>4382.13</v>
      </c>
      <c r="I921" s="37">
        <v>45647</v>
      </c>
      <c r="J921" s="33" t="s">
        <v>18</v>
      </c>
      <c r="K921" s="33" t="s">
        <v>16</v>
      </c>
      <c r="L921" s="38">
        <f t="shared" si="31"/>
        <v>2147.2437</v>
      </c>
      <c r="M921" s="38">
        <v>536.810925</v>
      </c>
      <c r="N921" s="24">
        <f>_xlfn.XLOOKUP(Snitch_Fashion_Sales_cleaned!$J921,Table2[City],Table2[City_Key],"not found")</f>
        <v>2</v>
      </c>
      <c r="O921" s="23">
        <f>_xlfn.XLOOKUP(Snitch_Fashion_Sales_cleaned!$D921,Table4[Product_Name],Table4[Product_Key],"not found")</f>
        <v>12</v>
      </c>
      <c r="P921" s="32">
        <f>_xlfn.XLOOKUP(Snitch_Fashion_Sales_cleaned!$I921,Table3[Order_Date],Table3[Date_Key])</f>
        <v>5</v>
      </c>
    </row>
    <row r="922" spans="1:16" x14ac:dyDescent="0.3">
      <c r="A922" s="27">
        <v>1920</v>
      </c>
      <c r="B922" s="25" t="s">
        <v>961</v>
      </c>
      <c r="C922" s="25" t="s">
        <v>20</v>
      </c>
      <c r="D922" s="26" t="s">
        <v>84</v>
      </c>
      <c r="E922" s="27">
        <v>3</v>
      </c>
      <c r="F922" s="28">
        <v>4141.2299999999996</v>
      </c>
      <c r="G922" s="29">
        <v>0.51</v>
      </c>
      <c r="H922" s="28">
        <f t="shared" si="30"/>
        <v>12423.689999999999</v>
      </c>
      <c r="I922" s="30">
        <v>45552</v>
      </c>
      <c r="J922" s="26" t="s">
        <v>22</v>
      </c>
      <c r="K922" s="26" t="s">
        <v>23</v>
      </c>
      <c r="L922" s="31">
        <f t="shared" si="31"/>
        <v>6087.6080999999995</v>
      </c>
      <c r="M922" s="31">
        <v>1455.81</v>
      </c>
      <c r="N922" s="22">
        <f>_xlfn.XLOOKUP(Snitch_Fashion_Sales_cleaned!$J922,Table2[City],Table2[City_Key],"not found")</f>
        <v>3</v>
      </c>
      <c r="O922" s="21">
        <f>_xlfn.XLOOKUP(Snitch_Fashion_Sales_cleaned!$D922,Table4[Product_Name],Table4[Product_Key],"not found")</f>
        <v>19</v>
      </c>
      <c r="P922" s="25">
        <f>_xlfn.XLOOKUP(Snitch_Fashion_Sales_cleaned!$I922,Table3[Order_Date],Table3[Date_Key])</f>
        <v>310</v>
      </c>
    </row>
    <row r="923" spans="1:16" x14ac:dyDescent="0.3">
      <c r="A923" s="34">
        <v>1921</v>
      </c>
      <c r="B923" s="32" t="s">
        <v>962</v>
      </c>
      <c r="C923" s="32" t="s">
        <v>28</v>
      </c>
      <c r="D923" s="33" t="s">
        <v>116</v>
      </c>
      <c r="E923" s="34">
        <v>4</v>
      </c>
      <c r="F923" s="35">
        <v>4224.3100000000004</v>
      </c>
      <c r="G923" s="36">
        <v>0.51</v>
      </c>
      <c r="H923" s="35">
        <f t="shared" si="30"/>
        <v>16897.240000000002</v>
      </c>
      <c r="I923" s="37">
        <v>45647</v>
      </c>
      <c r="J923" s="33" t="s">
        <v>52</v>
      </c>
      <c r="K923" s="33" t="s">
        <v>23</v>
      </c>
      <c r="L923" s="38">
        <f t="shared" si="31"/>
        <v>8279.6476000000002</v>
      </c>
      <c r="M923" s="38">
        <v>2660.84</v>
      </c>
      <c r="N923" s="24">
        <f>_xlfn.XLOOKUP(Snitch_Fashion_Sales_cleaned!$J923,Table2[City],Table2[City_Key],"not found")</f>
        <v>5</v>
      </c>
      <c r="O923" s="23">
        <f>_xlfn.XLOOKUP(Snitch_Fashion_Sales_cleaned!$D923,Table4[Product_Name],Table4[Product_Key],"not found")</f>
        <v>22</v>
      </c>
      <c r="P923" s="32">
        <f>_xlfn.XLOOKUP(Snitch_Fashion_Sales_cleaned!$I923,Table3[Order_Date],Table3[Date_Key])</f>
        <v>5</v>
      </c>
    </row>
    <row r="924" spans="1:16" x14ac:dyDescent="0.3">
      <c r="A924" s="27">
        <v>1922</v>
      </c>
      <c r="B924" s="25" t="s">
        <v>963</v>
      </c>
      <c r="C924" s="25" t="s">
        <v>36</v>
      </c>
      <c r="D924" s="26" t="s">
        <v>59</v>
      </c>
      <c r="E924" s="27">
        <v>3</v>
      </c>
      <c r="F924" s="28">
        <v>2765.26</v>
      </c>
      <c r="G924" s="29">
        <v>0.51</v>
      </c>
      <c r="H924" s="28">
        <f t="shared" si="30"/>
        <v>8295.7800000000007</v>
      </c>
      <c r="I924" s="30">
        <v>45693</v>
      </c>
      <c r="J924" s="26" t="s">
        <v>15</v>
      </c>
      <c r="K924" s="26" t="s">
        <v>23</v>
      </c>
      <c r="L924" s="31">
        <f t="shared" si="31"/>
        <v>4064.9322000000002</v>
      </c>
      <c r="M924" s="31">
        <v>-616.36</v>
      </c>
      <c r="N924" s="22">
        <f>_xlfn.XLOOKUP(Snitch_Fashion_Sales_cleaned!$J924,Table2[City],Table2[City_Key],"not found")</f>
        <v>1</v>
      </c>
      <c r="O924" s="21">
        <f>_xlfn.XLOOKUP(Snitch_Fashion_Sales_cleaned!$D924,Table4[Product_Name],Table4[Product_Key],"not found")</f>
        <v>13</v>
      </c>
      <c r="P924" s="25">
        <f>_xlfn.XLOOKUP(Snitch_Fashion_Sales_cleaned!$I924,Table3[Order_Date],Table3[Date_Key])</f>
        <v>204</v>
      </c>
    </row>
    <row r="925" spans="1:16" x14ac:dyDescent="0.3">
      <c r="A925" s="34">
        <v>1923</v>
      </c>
      <c r="B925" s="32" t="s">
        <v>964</v>
      </c>
      <c r="C925" s="32" t="s">
        <v>20</v>
      </c>
      <c r="D925" s="33" t="s">
        <v>21</v>
      </c>
      <c r="E925" s="34">
        <v>4</v>
      </c>
      <c r="F925" s="35">
        <v>3865.62</v>
      </c>
      <c r="G925" s="36">
        <v>0.51</v>
      </c>
      <c r="H925" s="35">
        <f t="shared" si="30"/>
        <v>15462.48</v>
      </c>
      <c r="I925" s="37">
        <v>45807</v>
      </c>
      <c r="J925" s="33" t="s">
        <v>2540</v>
      </c>
      <c r="K925" s="33" t="s">
        <v>23</v>
      </c>
      <c r="L925" s="38">
        <f t="shared" si="31"/>
        <v>7576.6151999999993</v>
      </c>
      <c r="M925" s="38">
        <v>-56.4</v>
      </c>
      <c r="N925" s="24">
        <f>_xlfn.XLOOKUP(Snitch_Fashion_Sales_cleaned!$J925,Table2[City],Table2[City_Key],"not found")</f>
        <v>4</v>
      </c>
      <c r="O925" s="23">
        <f>_xlfn.XLOOKUP(Snitch_Fashion_Sales_cleaned!$D925,Table4[Product_Name],Table4[Product_Key],"not found")</f>
        <v>2</v>
      </c>
      <c r="P925" s="32">
        <f>_xlfn.XLOOKUP(Snitch_Fashion_Sales_cleaned!$I925,Table3[Order_Date],Table3[Date_Key])</f>
        <v>394</v>
      </c>
    </row>
    <row r="926" spans="1:16" x14ac:dyDescent="0.3">
      <c r="A926" s="27">
        <v>1924</v>
      </c>
      <c r="B926" s="25" t="s">
        <v>965</v>
      </c>
      <c r="C926" s="25" t="s">
        <v>13</v>
      </c>
      <c r="D926" s="26" t="s">
        <v>34</v>
      </c>
      <c r="E926" s="27">
        <v>3</v>
      </c>
      <c r="F926" s="28">
        <v>2999.49</v>
      </c>
      <c r="G926" s="29">
        <v>0.51</v>
      </c>
      <c r="H926" s="28">
        <f t="shared" si="30"/>
        <v>8998.4699999999993</v>
      </c>
      <c r="I926" s="30">
        <v>45304</v>
      </c>
      <c r="J926" s="26" t="s">
        <v>18</v>
      </c>
      <c r="K926" s="26" t="s">
        <v>23</v>
      </c>
      <c r="L926" s="31">
        <f t="shared" si="31"/>
        <v>4409.2502999999997</v>
      </c>
      <c r="M926" s="31">
        <v>-988.45</v>
      </c>
      <c r="N926" s="22">
        <f>_xlfn.XLOOKUP(Snitch_Fashion_Sales_cleaned!$J926,Table2[City],Table2[City_Key],"not found")</f>
        <v>2</v>
      </c>
      <c r="O926" s="21">
        <f>_xlfn.XLOOKUP(Snitch_Fashion_Sales_cleaned!$D926,Table4[Product_Name],Table4[Product_Key],"not found")</f>
        <v>6</v>
      </c>
      <c r="P926" s="25">
        <f>_xlfn.XLOOKUP(Snitch_Fashion_Sales_cleaned!$I926,Table3[Order_Date],Table3[Date_Key])</f>
        <v>353</v>
      </c>
    </row>
    <row r="927" spans="1:16" x14ac:dyDescent="0.3">
      <c r="A927" s="34">
        <v>1925</v>
      </c>
      <c r="B927" s="32" t="s">
        <v>966</v>
      </c>
      <c r="C927" s="32" t="s">
        <v>28</v>
      </c>
      <c r="D927" s="33" t="s">
        <v>137</v>
      </c>
      <c r="E927" s="34">
        <v>3.5</v>
      </c>
      <c r="F927" s="35">
        <v>1429.24</v>
      </c>
      <c r="G927" s="36">
        <v>0.51</v>
      </c>
      <c r="H927" s="35">
        <f t="shared" si="30"/>
        <v>5002.34</v>
      </c>
      <c r="I927" s="37">
        <v>45604</v>
      </c>
      <c r="J927" s="33" t="s">
        <v>15</v>
      </c>
      <c r="K927" s="33" t="s">
        <v>23</v>
      </c>
      <c r="L927" s="38">
        <f t="shared" si="31"/>
        <v>2451.1466</v>
      </c>
      <c r="M927" s="38">
        <v>2081.7800000000002</v>
      </c>
      <c r="N927" s="24">
        <f>_xlfn.XLOOKUP(Snitch_Fashion_Sales_cleaned!$J927,Table2[City],Table2[City_Key],"not found")</f>
        <v>1</v>
      </c>
      <c r="O927" s="23">
        <f>_xlfn.XLOOKUP(Snitch_Fashion_Sales_cleaned!$D927,Table4[Product_Name],Table4[Product_Key],"not found")</f>
        <v>24</v>
      </c>
      <c r="P927" s="32">
        <f>_xlfn.XLOOKUP(Snitch_Fashion_Sales_cleaned!$I927,Table3[Order_Date],Table3[Date_Key])</f>
        <v>101</v>
      </c>
    </row>
    <row r="928" spans="1:16" x14ac:dyDescent="0.3">
      <c r="A928" s="27">
        <v>1926</v>
      </c>
      <c r="B928" s="25" t="s">
        <v>967</v>
      </c>
      <c r="C928" s="25" t="s">
        <v>25</v>
      </c>
      <c r="D928" s="26" t="s">
        <v>62</v>
      </c>
      <c r="E928" s="27">
        <v>4</v>
      </c>
      <c r="F928" s="28">
        <v>2533.37</v>
      </c>
      <c r="G928" s="29">
        <v>0.51</v>
      </c>
      <c r="H928" s="28">
        <f t="shared" si="30"/>
        <v>10133.48</v>
      </c>
      <c r="I928" s="30">
        <v>45508</v>
      </c>
      <c r="J928" s="26" t="s">
        <v>2540</v>
      </c>
      <c r="K928" s="26" t="s">
        <v>16</v>
      </c>
      <c r="L928" s="31">
        <f t="shared" si="31"/>
        <v>4965.4052000000001</v>
      </c>
      <c r="M928" s="31">
        <v>-490.96</v>
      </c>
      <c r="N928" s="22">
        <f>_xlfn.XLOOKUP(Snitch_Fashion_Sales_cleaned!$J928,Table2[City],Table2[City_Key],"not found")</f>
        <v>4</v>
      </c>
      <c r="O928" s="21">
        <f>_xlfn.XLOOKUP(Snitch_Fashion_Sales_cleaned!$D928,Table4[Product_Name],Table4[Product_Key],"not found")</f>
        <v>14</v>
      </c>
      <c r="P928" s="25">
        <f>_xlfn.XLOOKUP(Snitch_Fashion_Sales_cleaned!$I928,Table3[Order_Date],Table3[Date_Key])</f>
        <v>188</v>
      </c>
    </row>
    <row r="929" spans="1:16" x14ac:dyDescent="0.3">
      <c r="A929" s="34">
        <v>1927</v>
      </c>
      <c r="B929" s="32" t="s">
        <v>968</v>
      </c>
      <c r="C929" s="32" t="s">
        <v>31</v>
      </c>
      <c r="D929" s="33" t="s">
        <v>68</v>
      </c>
      <c r="E929" s="34">
        <v>5</v>
      </c>
      <c r="F929" s="35">
        <v>2765.79</v>
      </c>
      <c r="G929" s="36">
        <v>0.51</v>
      </c>
      <c r="H929" s="35">
        <f t="shared" si="30"/>
        <v>13828.95</v>
      </c>
      <c r="I929" s="37">
        <v>45777</v>
      </c>
      <c r="J929" s="33" t="s">
        <v>52</v>
      </c>
      <c r="K929" s="33" t="s">
        <v>23</v>
      </c>
      <c r="L929" s="38">
        <f t="shared" si="31"/>
        <v>6776.1855000000005</v>
      </c>
      <c r="M929" s="38">
        <v>1844.54</v>
      </c>
      <c r="N929" s="24">
        <f>_xlfn.XLOOKUP(Snitch_Fashion_Sales_cleaned!$J929,Table2[City],Table2[City_Key],"not found")</f>
        <v>5</v>
      </c>
      <c r="O929" s="23">
        <f>_xlfn.XLOOKUP(Snitch_Fashion_Sales_cleaned!$D929,Table4[Product_Name],Table4[Product_Key],"not found")</f>
        <v>15</v>
      </c>
      <c r="P929" s="32">
        <f>_xlfn.XLOOKUP(Snitch_Fashion_Sales_cleaned!$I929,Table3[Order_Date],Table3[Date_Key])</f>
        <v>282</v>
      </c>
    </row>
    <row r="930" spans="1:16" x14ac:dyDescent="0.3">
      <c r="A930" s="27">
        <v>1928</v>
      </c>
      <c r="B930" s="25" t="s">
        <v>969</v>
      </c>
      <c r="C930" s="25" t="s">
        <v>36</v>
      </c>
      <c r="D930" s="26" t="s">
        <v>37</v>
      </c>
      <c r="E930" s="27">
        <v>4</v>
      </c>
      <c r="F930" s="28">
        <v>2975.64</v>
      </c>
      <c r="G930" s="29">
        <v>0.51</v>
      </c>
      <c r="H930" s="28">
        <f t="shared" si="30"/>
        <v>11902.56</v>
      </c>
      <c r="I930" s="30">
        <v>45438</v>
      </c>
      <c r="J930" s="26" t="s">
        <v>15</v>
      </c>
      <c r="K930" s="26" t="s">
        <v>23</v>
      </c>
      <c r="L930" s="31">
        <f t="shared" si="31"/>
        <v>5832.2543999999998</v>
      </c>
      <c r="M930" s="31">
        <v>2676.77</v>
      </c>
      <c r="N930" s="22">
        <f>_xlfn.XLOOKUP(Snitch_Fashion_Sales_cleaned!$J930,Table2[City],Table2[City_Key],"not found")</f>
        <v>1</v>
      </c>
      <c r="O930" s="21">
        <f>_xlfn.XLOOKUP(Snitch_Fashion_Sales_cleaned!$D930,Table4[Product_Name],Table4[Product_Key],"not found")</f>
        <v>7</v>
      </c>
      <c r="P930" s="25">
        <f>_xlfn.XLOOKUP(Snitch_Fashion_Sales_cleaned!$I930,Table3[Order_Date],Table3[Date_Key])</f>
        <v>395</v>
      </c>
    </row>
    <row r="931" spans="1:16" x14ac:dyDescent="0.3">
      <c r="A931" s="34">
        <v>1929</v>
      </c>
      <c r="B931" s="32" t="s">
        <v>970</v>
      </c>
      <c r="C931" s="32" t="s">
        <v>28</v>
      </c>
      <c r="D931" s="33" t="s">
        <v>116</v>
      </c>
      <c r="E931" s="34">
        <v>4</v>
      </c>
      <c r="F931" s="35">
        <v>3618.48</v>
      </c>
      <c r="G931" s="36">
        <v>0.51</v>
      </c>
      <c r="H931" s="35">
        <f t="shared" si="30"/>
        <v>14473.92</v>
      </c>
      <c r="I931" s="37">
        <v>45647</v>
      </c>
      <c r="J931" s="33" t="s">
        <v>15</v>
      </c>
      <c r="K931" s="33" t="s">
        <v>23</v>
      </c>
      <c r="L931" s="38">
        <f t="shared" si="31"/>
        <v>7092.2208000000001</v>
      </c>
      <c r="M931" s="38">
        <v>1383.46</v>
      </c>
      <c r="N931" s="24">
        <f>_xlfn.XLOOKUP(Snitch_Fashion_Sales_cleaned!$J931,Table2[City],Table2[City_Key],"not found")</f>
        <v>1</v>
      </c>
      <c r="O931" s="23">
        <f>_xlfn.XLOOKUP(Snitch_Fashion_Sales_cleaned!$D931,Table4[Product_Name],Table4[Product_Key],"not found")</f>
        <v>22</v>
      </c>
      <c r="P931" s="32">
        <f>_xlfn.XLOOKUP(Snitch_Fashion_Sales_cleaned!$I931,Table3[Order_Date],Table3[Date_Key])</f>
        <v>5</v>
      </c>
    </row>
    <row r="932" spans="1:16" x14ac:dyDescent="0.3">
      <c r="A932" s="27">
        <v>1930</v>
      </c>
      <c r="B932" s="25" t="s">
        <v>971</v>
      </c>
      <c r="C932" s="25" t="s">
        <v>13</v>
      </c>
      <c r="D932" s="26" t="s">
        <v>34</v>
      </c>
      <c r="E932" s="27">
        <v>3</v>
      </c>
      <c r="F932" s="28">
        <v>3017.82</v>
      </c>
      <c r="G932" s="29">
        <v>0.51</v>
      </c>
      <c r="H932" s="28">
        <f t="shared" si="30"/>
        <v>9053.4600000000009</v>
      </c>
      <c r="I932" s="30">
        <v>45647</v>
      </c>
      <c r="J932" s="26" t="s">
        <v>18</v>
      </c>
      <c r="K932" s="26" t="s">
        <v>23</v>
      </c>
      <c r="L932" s="31">
        <f t="shared" si="31"/>
        <v>4436.1954000000005</v>
      </c>
      <c r="M932" s="31">
        <v>1257.0999999999999</v>
      </c>
      <c r="N932" s="22">
        <f>_xlfn.XLOOKUP(Snitch_Fashion_Sales_cleaned!$J932,Table2[City],Table2[City_Key],"not found")</f>
        <v>2</v>
      </c>
      <c r="O932" s="21">
        <f>_xlfn.XLOOKUP(Snitch_Fashion_Sales_cleaned!$D932,Table4[Product_Name],Table4[Product_Key],"not found")</f>
        <v>6</v>
      </c>
      <c r="P932" s="25">
        <f>_xlfn.XLOOKUP(Snitch_Fashion_Sales_cleaned!$I932,Table3[Order_Date],Table3[Date_Key])</f>
        <v>5</v>
      </c>
    </row>
    <row r="933" spans="1:16" x14ac:dyDescent="0.3">
      <c r="A933" s="34">
        <v>1931</v>
      </c>
      <c r="B933" s="32" t="s">
        <v>972</v>
      </c>
      <c r="C933" s="32" t="s">
        <v>13</v>
      </c>
      <c r="D933" s="33" t="s">
        <v>34</v>
      </c>
      <c r="E933" s="34">
        <v>3</v>
      </c>
      <c r="F933" s="35">
        <v>3008.6549999999997</v>
      </c>
      <c r="G933" s="36">
        <v>0.51</v>
      </c>
      <c r="H933" s="35">
        <f t="shared" si="30"/>
        <v>9025.9650000000001</v>
      </c>
      <c r="I933" s="37">
        <v>45647</v>
      </c>
      <c r="J933" s="33" t="s">
        <v>43</v>
      </c>
      <c r="K933" s="33" t="s">
        <v>23</v>
      </c>
      <c r="L933" s="38">
        <f t="shared" si="31"/>
        <v>4422.7228500000001</v>
      </c>
      <c r="M933" s="38">
        <v>1820.4</v>
      </c>
      <c r="N933" s="24">
        <f>_xlfn.XLOOKUP(Snitch_Fashion_Sales_cleaned!$J933,Table2[City],Table2[City_Key],"not found")</f>
        <v>6</v>
      </c>
      <c r="O933" s="23">
        <f>_xlfn.XLOOKUP(Snitch_Fashion_Sales_cleaned!$D933,Table4[Product_Name],Table4[Product_Key],"not found")</f>
        <v>6</v>
      </c>
      <c r="P933" s="32">
        <f>_xlfn.XLOOKUP(Snitch_Fashion_Sales_cleaned!$I933,Table3[Order_Date],Table3[Date_Key])</f>
        <v>5</v>
      </c>
    </row>
    <row r="934" spans="1:16" x14ac:dyDescent="0.3">
      <c r="A934" s="27">
        <v>1932</v>
      </c>
      <c r="B934" s="25" t="s">
        <v>973</v>
      </c>
      <c r="C934" s="25" t="s">
        <v>31</v>
      </c>
      <c r="D934" s="26" t="s">
        <v>32</v>
      </c>
      <c r="E934" s="27">
        <v>4</v>
      </c>
      <c r="F934" s="28">
        <v>436.31</v>
      </c>
      <c r="G934" s="29">
        <v>0.51</v>
      </c>
      <c r="H934" s="28">
        <f t="shared" si="30"/>
        <v>1745.24</v>
      </c>
      <c r="I934" s="30">
        <v>45209</v>
      </c>
      <c r="J934" s="26" t="s">
        <v>43</v>
      </c>
      <c r="K934" s="26" t="s">
        <v>23</v>
      </c>
      <c r="L934" s="31">
        <f t="shared" si="31"/>
        <v>855.16759999999999</v>
      </c>
      <c r="M934" s="31">
        <v>213.7919</v>
      </c>
      <c r="N934" s="22">
        <f>_xlfn.XLOOKUP(Snitch_Fashion_Sales_cleaned!$J934,Table2[City],Table2[City_Key],"not found")</f>
        <v>6</v>
      </c>
      <c r="O934" s="21">
        <f>_xlfn.XLOOKUP(Snitch_Fashion_Sales_cleaned!$D934,Table4[Product_Name],Table4[Product_Key],"not found")</f>
        <v>5</v>
      </c>
      <c r="P934" s="25">
        <f>_xlfn.XLOOKUP(Snitch_Fashion_Sales_cleaned!$I934,Table3[Order_Date],Table3[Date_Key])</f>
        <v>329</v>
      </c>
    </row>
    <row r="935" spans="1:16" x14ac:dyDescent="0.3">
      <c r="A935" s="34">
        <v>1933</v>
      </c>
      <c r="B935" s="32" t="s">
        <v>974</v>
      </c>
      <c r="C935" s="32" t="s">
        <v>20</v>
      </c>
      <c r="D935" s="33" t="s">
        <v>118</v>
      </c>
      <c r="E935" s="34">
        <v>3.5</v>
      </c>
      <c r="F935" s="35">
        <v>1403.41</v>
      </c>
      <c r="G935" s="36">
        <v>0.51</v>
      </c>
      <c r="H935" s="35">
        <f t="shared" si="30"/>
        <v>4911.9350000000004</v>
      </c>
      <c r="I935" s="37">
        <v>45647</v>
      </c>
      <c r="J935" s="33" t="s">
        <v>43</v>
      </c>
      <c r="K935" s="33" t="s">
        <v>23</v>
      </c>
      <c r="L935" s="38">
        <f t="shared" si="31"/>
        <v>2406.8481500000003</v>
      </c>
      <c r="M935" s="38">
        <v>635.85</v>
      </c>
      <c r="N935" s="24">
        <f>_xlfn.XLOOKUP(Snitch_Fashion_Sales_cleaned!$J935,Table2[City],Table2[City_Key],"not found")</f>
        <v>6</v>
      </c>
      <c r="O935" s="23">
        <f>_xlfn.XLOOKUP(Snitch_Fashion_Sales_cleaned!$D935,Table4[Product_Name],Table4[Product_Key],"not found")</f>
        <v>23</v>
      </c>
      <c r="P935" s="32">
        <f>_xlfn.XLOOKUP(Snitch_Fashion_Sales_cleaned!$I935,Table3[Order_Date],Table3[Date_Key])</f>
        <v>5</v>
      </c>
    </row>
    <row r="936" spans="1:16" x14ac:dyDescent="0.3">
      <c r="A936" s="27">
        <v>1934</v>
      </c>
      <c r="B936" s="25" t="s">
        <v>975</v>
      </c>
      <c r="C936" s="25" t="s">
        <v>13</v>
      </c>
      <c r="D936" s="26" t="s">
        <v>46</v>
      </c>
      <c r="E936" s="27">
        <v>4</v>
      </c>
      <c r="F936" s="28">
        <v>3369.03</v>
      </c>
      <c r="G936" s="29">
        <v>0.51</v>
      </c>
      <c r="H936" s="28">
        <f t="shared" si="30"/>
        <v>13476.12</v>
      </c>
      <c r="I936" s="30">
        <v>45552</v>
      </c>
      <c r="J936" s="26" t="s">
        <v>52</v>
      </c>
      <c r="K936" s="26" t="s">
        <v>23</v>
      </c>
      <c r="L936" s="31">
        <f t="shared" si="31"/>
        <v>6603.2988000000005</v>
      </c>
      <c r="M936" s="31">
        <v>-144.96</v>
      </c>
      <c r="N936" s="22">
        <f>_xlfn.XLOOKUP(Snitch_Fashion_Sales_cleaned!$J936,Table2[City],Table2[City_Key],"not found")</f>
        <v>5</v>
      </c>
      <c r="O936" s="21">
        <f>_xlfn.XLOOKUP(Snitch_Fashion_Sales_cleaned!$D936,Table4[Product_Name],Table4[Product_Key],"not found")</f>
        <v>10</v>
      </c>
      <c r="P936" s="25">
        <f>_xlfn.XLOOKUP(Snitch_Fashion_Sales_cleaned!$I936,Table3[Order_Date],Table3[Date_Key])</f>
        <v>310</v>
      </c>
    </row>
    <row r="937" spans="1:16" x14ac:dyDescent="0.3">
      <c r="A937" s="34">
        <v>1935</v>
      </c>
      <c r="B937" s="32" t="s">
        <v>976</v>
      </c>
      <c r="C937" s="32" t="s">
        <v>20</v>
      </c>
      <c r="D937" s="33" t="s">
        <v>21</v>
      </c>
      <c r="E937" s="34">
        <v>6</v>
      </c>
      <c r="F937" s="35">
        <v>2579.8000000000002</v>
      </c>
      <c r="G937" s="36">
        <v>0.51</v>
      </c>
      <c r="H937" s="35">
        <f t="shared" si="30"/>
        <v>15478.800000000001</v>
      </c>
      <c r="I937" s="37">
        <v>45654</v>
      </c>
      <c r="J937" s="33" t="s">
        <v>22</v>
      </c>
      <c r="K937" s="33" t="s">
        <v>23</v>
      </c>
      <c r="L937" s="38">
        <f t="shared" si="31"/>
        <v>7584.6120000000001</v>
      </c>
      <c r="M937" s="38">
        <v>2390.71</v>
      </c>
      <c r="N937" s="24">
        <f>_xlfn.XLOOKUP(Snitch_Fashion_Sales_cleaned!$J937,Table2[City],Table2[City_Key],"not found")</f>
        <v>3</v>
      </c>
      <c r="O937" s="23">
        <f>_xlfn.XLOOKUP(Snitch_Fashion_Sales_cleaned!$D937,Table4[Product_Name],Table4[Product_Key],"not found")</f>
        <v>2</v>
      </c>
      <c r="P937" s="32">
        <f>_xlfn.XLOOKUP(Snitch_Fashion_Sales_cleaned!$I937,Table3[Order_Date],Table3[Date_Key])</f>
        <v>333</v>
      </c>
    </row>
    <row r="938" spans="1:16" x14ac:dyDescent="0.3">
      <c r="A938" s="27">
        <v>1936</v>
      </c>
      <c r="B938" s="25" t="s">
        <v>977</v>
      </c>
      <c r="C938" s="25" t="s">
        <v>13</v>
      </c>
      <c r="D938" s="26" t="s">
        <v>98</v>
      </c>
      <c r="E938" s="27">
        <v>5</v>
      </c>
      <c r="F938" s="28">
        <v>804.78</v>
      </c>
      <c r="G938" s="29">
        <v>0.51</v>
      </c>
      <c r="H938" s="28">
        <f t="shared" si="30"/>
        <v>4023.8999999999996</v>
      </c>
      <c r="I938" s="30">
        <v>45667</v>
      </c>
      <c r="J938" s="26" t="s">
        <v>18</v>
      </c>
      <c r="K938" s="26" t="s">
        <v>23</v>
      </c>
      <c r="L938" s="31">
        <f t="shared" si="31"/>
        <v>1971.7109999999998</v>
      </c>
      <c r="M938" s="31">
        <v>1109.21</v>
      </c>
      <c r="N938" s="22">
        <f>_xlfn.XLOOKUP(Snitch_Fashion_Sales_cleaned!$J938,Table2[City],Table2[City_Key],"not found")</f>
        <v>2</v>
      </c>
      <c r="O938" s="21">
        <f>_xlfn.XLOOKUP(Snitch_Fashion_Sales_cleaned!$D938,Table4[Product_Name],Table4[Product_Key],"not found")</f>
        <v>21</v>
      </c>
      <c r="P938" s="25">
        <f>_xlfn.XLOOKUP(Snitch_Fashion_Sales_cleaned!$I938,Table3[Order_Date],Table3[Date_Key])</f>
        <v>123</v>
      </c>
    </row>
    <row r="939" spans="1:16" x14ac:dyDescent="0.3">
      <c r="A939" s="34">
        <v>1937</v>
      </c>
      <c r="B939" s="32" t="s">
        <v>978</v>
      </c>
      <c r="C939" s="32" t="s">
        <v>28</v>
      </c>
      <c r="D939" s="33" t="s">
        <v>116</v>
      </c>
      <c r="E939" s="34">
        <v>4</v>
      </c>
      <c r="F939" s="35">
        <v>643.24</v>
      </c>
      <c r="G939" s="36">
        <v>0.51</v>
      </c>
      <c r="H939" s="35">
        <f t="shared" si="30"/>
        <v>2572.96</v>
      </c>
      <c r="I939" s="37">
        <v>45795</v>
      </c>
      <c r="J939" s="33" t="s">
        <v>18</v>
      </c>
      <c r="K939" s="33" t="s">
        <v>16</v>
      </c>
      <c r="L939" s="38">
        <f t="shared" si="31"/>
        <v>1260.7503999999999</v>
      </c>
      <c r="M939" s="38">
        <v>315.18759999999997</v>
      </c>
      <c r="N939" s="24">
        <f>_xlfn.XLOOKUP(Snitch_Fashion_Sales_cleaned!$J939,Table2[City],Table2[City_Key],"not found")</f>
        <v>2</v>
      </c>
      <c r="O939" s="23">
        <f>_xlfn.XLOOKUP(Snitch_Fashion_Sales_cleaned!$D939,Table4[Product_Name],Table4[Product_Key],"not found")</f>
        <v>22</v>
      </c>
      <c r="P939" s="32">
        <f>_xlfn.XLOOKUP(Snitch_Fashion_Sales_cleaned!$I939,Table3[Order_Date],Table3[Date_Key])</f>
        <v>271</v>
      </c>
    </row>
    <row r="940" spans="1:16" x14ac:dyDescent="0.3">
      <c r="A940" s="27">
        <v>1938</v>
      </c>
      <c r="B940" s="25" t="s">
        <v>979</v>
      </c>
      <c r="C940" s="25" t="s">
        <v>20</v>
      </c>
      <c r="D940" s="26" t="s">
        <v>21</v>
      </c>
      <c r="E940" s="27">
        <v>4</v>
      </c>
      <c r="F940" s="28">
        <v>2579.8000000000002</v>
      </c>
      <c r="G940" s="29">
        <v>0.34</v>
      </c>
      <c r="H940" s="28">
        <f t="shared" si="30"/>
        <v>10319.200000000001</v>
      </c>
      <c r="I940" s="30">
        <v>45806</v>
      </c>
      <c r="J940" s="26" t="s">
        <v>52</v>
      </c>
      <c r="K940" s="26" t="s">
        <v>16</v>
      </c>
      <c r="L940" s="31">
        <f t="shared" si="31"/>
        <v>6810.6719999999996</v>
      </c>
      <c r="M940" s="31">
        <v>-528.58000000000004</v>
      </c>
      <c r="N940" s="22">
        <f>_xlfn.XLOOKUP(Snitch_Fashion_Sales_cleaned!$J940,Table2[City],Table2[City_Key],"not found")</f>
        <v>5</v>
      </c>
      <c r="O940" s="21">
        <f>_xlfn.XLOOKUP(Snitch_Fashion_Sales_cleaned!$D940,Table4[Product_Name],Table4[Product_Key],"not found")</f>
        <v>2</v>
      </c>
      <c r="P940" s="25">
        <f>_xlfn.XLOOKUP(Snitch_Fashion_Sales_cleaned!$I940,Table3[Order_Date],Table3[Date_Key])</f>
        <v>183</v>
      </c>
    </row>
    <row r="941" spans="1:16" x14ac:dyDescent="0.3">
      <c r="A941" s="34">
        <v>1939</v>
      </c>
      <c r="B941" s="32" t="s">
        <v>980</v>
      </c>
      <c r="C941" s="32" t="s">
        <v>20</v>
      </c>
      <c r="D941" s="33" t="s">
        <v>118</v>
      </c>
      <c r="E941" s="34">
        <v>3.5</v>
      </c>
      <c r="F941" s="35">
        <v>2752.99</v>
      </c>
      <c r="G941" s="36">
        <v>0.99</v>
      </c>
      <c r="H941" s="35">
        <f t="shared" si="30"/>
        <v>9635.4650000000001</v>
      </c>
      <c r="I941" s="37">
        <v>45840</v>
      </c>
      <c r="J941" s="33" t="s">
        <v>2540</v>
      </c>
      <c r="K941" s="33" t="s">
        <v>23</v>
      </c>
      <c r="L941" s="38">
        <f t="shared" si="31"/>
        <v>96.354650000000092</v>
      </c>
      <c r="M941" s="38">
        <v>24.088662500000023</v>
      </c>
      <c r="N941" s="24">
        <f>_xlfn.XLOOKUP(Snitch_Fashion_Sales_cleaned!$J941,Table2[City],Table2[City_Key],"not found")</f>
        <v>4</v>
      </c>
      <c r="O941" s="23">
        <f>_xlfn.XLOOKUP(Snitch_Fashion_Sales_cleaned!$D941,Table4[Product_Name],Table4[Product_Key],"not found")</f>
        <v>23</v>
      </c>
      <c r="P941" s="32">
        <f>_xlfn.XLOOKUP(Snitch_Fashion_Sales_cleaned!$I941,Table3[Order_Date],Table3[Date_Key])</f>
        <v>322</v>
      </c>
    </row>
    <row r="942" spans="1:16" x14ac:dyDescent="0.3">
      <c r="A942" s="27">
        <v>1940</v>
      </c>
      <c r="B942" s="25" t="s">
        <v>981</v>
      </c>
      <c r="C942" s="25" t="s">
        <v>36</v>
      </c>
      <c r="D942" s="26" t="s">
        <v>87</v>
      </c>
      <c r="E942" s="27">
        <v>4</v>
      </c>
      <c r="F942" s="28">
        <v>3428.02</v>
      </c>
      <c r="G942" s="29">
        <v>0.51</v>
      </c>
      <c r="H942" s="28">
        <f t="shared" si="30"/>
        <v>13712.08</v>
      </c>
      <c r="I942" s="30">
        <v>45599</v>
      </c>
      <c r="J942" s="26" t="s">
        <v>22</v>
      </c>
      <c r="K942" s="26" t="s">
        <v>23</v>
      </c>
      <c r="L942" s="31">
        <f t="shared" si="31"/>
        <v>6718.9192000000003</v>
      </c>
      <c r="M942" s="31">
        <v>-881.03</v>
      </c>
      <c r="N942" s="22">
        <f>_xlfn.XLOOKUP(Snitch_Fashion_Sales_cleaned!$J942,Table2[City],Table2[City_Key],"not found")</f>
        <v>3</v>
      </c>
      <c r="O942" s="21">
        <f>_xlfn.XLOOKUP(Snitch_Fashion_Sales_cleaned!$D942,Table4[Product_Name],Table4[Product_Key],"not found")</f>
        <v>20</v>
      </c>
      <c r="P942" s="25">
        <f>_xlfn.XLOOKUP(Snitch_Fashion_Sales_cleaned!$I942,Table3[Order_Date],Table3[Date_Key])</f>
        <v>98</v>
      </c>
    </row>
    <row r="943" spans="1:16" x14ac:dyDescent="0.3">
      <c r="A943" s="34">
        <v>1941</v>
      </c>
      <c r="B943" s="32" t="s">
        <v>982</v>
      </c>
      <c r="C943" s="32" t="s">
        <v>25</v>
      </c>
      <c r="D943" s="33" t="s">
        <v>26</v>
      </c>
      <c r="E943" s="34">
        <v>4</v>
      </c>
      <c r="F943" s="35">
        <v>2933.45</v>
      </c>
      <c r="G943" s="36">
        <v>0.51</v>
      </c>
      <c r="H943" s="35">
        <f t="shared" si="30"/>
        <v>11733.8</v>
      </c>
      <c r="I943" s="37">
        <v>45666</v>
      </c>
      <c r="J943" s="33" t="s">
        <v>18</v>
      </c>
      <c r="K943" s="33" t="s">
        <v>23</v>
      </c>
      <c r="L943" s="38">
        <f t="shared" si="31"/>
        <v>5749.5619999999999</v>
      </c>
      <c r="M943" s="38">
        <v>-298.48</v>
      </c>
      <c r="N943" s="24">
        <f>_xlfn.XLOOKUP(Snitch_Fashion_Sales_cleaned!$J943,Table2[City],Table2[City_Key],"not found")</f>
        <v>2</v>
      </c>
      <c r="O943" s="23">
        <f>_xlfn.XLOOKUP(Snitch_Fashion_Sales_cleaned!$D943,Table4[Product_Name],Table4[Product_Key],"not found")</f>
        <v>3</v>
      </c>
      <c r="P943" s="32">
        <f>_xlfn.XLOOKUP(Snitch_Fashion_Sales_cleaned!$I943,Table3[Order_Date],Table3[Date_Key])</f>
        <v>107</v>
      </c>
    </row>
    <row r="944" spans="1:16" x14ac:dyDescent="0.3">
      <c r="A944" s="27">
        <v>1942</v>
      </c>
      <c r="B944" s="25" t="s">
        <v>983</v>
      </c>
      <c r="C944" s="25" t="s">
        <v>20</v>
      </c>
      <c r="D944" s="26" t="s">
        <v>21</v>
      </c>
      <c r="E944" s="27">
        <v>4</v>
      </c>
      <c r="F944" s="28">
        <v>3710.07</v>
      </c>
      <c r="G944" s="29">
        <v>0.83</v>
      </c>
      <c r="H944" s="28">
        <f t="shared" si="30"/>
        <v>14840.28</v>
      </c>
      <c r="I944" s="30">
        <v>45670</v>
      </c>
      <c r="J944" s="26" t="s">
        <v>22</v>
      </c>
      <c r="K944" s="26" t="s">
        <v>16</v>
      </c>
      <c r="L944" s="31">
        <f t="shared" si="31"/>
        <v>2522.8476000000005</v>
      </c>
      <c r="M944" s="31">
        <v>630.71190000000013</v>
      </c>
      <c r="N944" s="22">
        <f>_xlfn.XLOOKUP(Snitch_Fashion_Sales_cleaned!$J944,Table2[City],Table2[City_Key],"not found")</f>
        <v>3</v>
      </c>
      <c r="O944" s="21">
        <f>_xlfn.XLOOKUP(Snitch_Fashion_Sales_cleaned!$D944,Table4[Product_Name],Table4[Product_Key],"not found")</f>
        <v>2</v>
      </c>
      <c r="P944" s="25">
        <f>_xlfn.XLOOKUP(Snitch_Fashion_Sales_cleaned!$I944,Table3[Order_Date],Table3[Date_Key])</f>
        <v>396</v>
      </c>
    </row>
    <row r="945" spans="1:16" x14ac:dyDescent="0.3">
      <c r="A945" s="34">
        <v>1943</v>
      </c>
      <c r="B945" s="32" t="s">
        <v>984</v>
      </c>
      <c r="C945" s="32" t="s">
        <v>25</v>
      </c>
      <c r="D945" s="33" t="s">
        <v>50</v>
      </c>
      <c r="E945" s="34">
        <v>4</v>
      </c>
      <c r="F945" s="35">
        <v>3153.49</v>
      </c>
      <c r="G945" s="36">
        <v>0.51</v>
      </c>
      <c r="H945" s="35">
        <f t="shared" si="30"/>
        <v>12613.96</v>
      </c>
      <c r="I945" s="37">
        <v>45647</v>
      </c>
      <c r="J945" s="33" t="s">
        <v>18</v>
      </c>
      <c r="K945" s="33" t="s">
        <v>23</v>
      </c>
      <c r="L945" s="38">
        <f t="shared" si="31"/>
        <v>6180.8403999999991</v>
      </c>
      <c r="M945" s="38">
        <v>763.19</v>
      </c>
      <c r="N945" s="24">
        <f>_xlfn.XLOOKUP(Snitch_Fashion_Sales_cleaned!$J945,Table2[City],Table2[City_Key],"not found")</f>
        <v>2</v>
      </c>
      <c r="O945" s="23">
        <f>_xlfn.XLOOKUP(Snitch_Fashion_Sales_cleaned!$D945,Table4[Product_Name],Table4[Product_Key],"not found")</f>
        <v>11</v>
      </c>
      <c r="P945" s="32">
        <f>_xlfn.XLOOKUP(Snitch_Fashion_Sales_cleaned!$I945,Table3[Order_Date],Table3[Date_Key])</f>
        <v>5</v>
      </c>
    </row>
    <row r="946" spans="1:16" x14ac:dyDescent="0.3">
      <c r="A946" s="27">
        <v>1944</v>
      </c>
      <c r="B946" s="25" t="s">
        <v>985</v>
      </c>
      <c r="C946" s="25" t="s">
        <v>13</v>
      </c>
      <c r="D946" s="26" t="s">
        <v>34</v>
      </c>
      <c r="E946" s="27">
        <v>3</v>
      </c>
      <c r="F946" s="28">
        <v>3227.22</v>
      </c>
      <c r="G946" s="29">
        <v>0.51</v>
      </c>
      <c r="H946" s="28">
        <f t="shared" si="30"/>
        <v>9681.66</v>
      </c>
      <c r="I946" s="30">
        <v>45647</v>
      </c>
      <c r="J946" s="26" t="s">
        <v>22</v>
      </c>
      <c r="K946" s="26" t="s">
        <v>23</v>
      </c>
      <c r="L946" s="31">
        <f t="shared" si="31"/>
        <v>4744.0133999999998</v>
      </c>
      <c r="M946" s="31">
        <v>597.80999999999995</v>
      </c>
      <c r="N946" s="22">
        <f>_xlfn.XLOOKUP(Snitch_Fashion_Sales_cleaned!$J946,Table2[City],Table2[City_Key],"not found")</f>
        <v>3</v>
      </c>
      <c r="O946" s="21">
        <f>_xlfn.XLOOKUP(Snitch_Fashion_Sales_cleaned!$D946,Table4[Product_Name],Table4[Product_Key],"not found")</f>
        <v>6</v>
      </c>
      <c r="P946" s="25">
        <f>_xlfn.XLOOKUP(Snitch_Fashion_Sales_cleaned!$I946,Table3[Order_Date],Table3[Date_Key])</f>
        <v>5</v>
      </c>
    </row>
    <row r="947" spans="1:16" x14ac:dyDescent="0.3">
      <c r="A947" s="34">
        <v>1945</v>
      </c>
      <c r="B947" s="32" t="s">
        <v>986</v>
      </c>
      <c r="C947" s="32" t="s">
        <v>13</v>
      </c>
      <c r="D947" s="33" t="s">
        <v>98</v>
      </c>
      <c r="E947" s="34">
        <v>5</v>
      </c>
      <c r="F947" s="35">
        <v>2803.56</v>
      </c>
      <c r="G947" s="36">
        <v>0.51</v>
      </c>
      <c r="H947" s="35">
        <f t="shared" si="30"/>
        <v>14017.8</v>
      </c>
      <c r="I947" s="37">
        <v>45631</v>
      </c>
      <c r="J947" s="33" t="s">
        <v>15</v>
      </c>
      <c r="K947" s="33" t="s">
        <v>23</v>
      </c>
      <c r="L947" s="38">
        <f t="shared" si="31"/>
        <v>6868.7219999999998</v>
      </c>
      <c r="M947" s="38">
        <v>-624.79</v>
      </c>
      <c r="N947" s="24">
        <f>_xlfn.XLOOKUP(Snitch_Fashion_Sales_cleaned!$J947,Table2[City],Table2[City_Key],"not found")</f>
        <v>1</v>
      </c>
      <c r="O947" s="23">
        <f>_xlfn.XLOOKUP(Snitch_Fashion_Sales_cleaned!$D947,Table4[Product_Name],Table4[Product_Key],"not found")</f>
        <v>21</v>
      </c>
      <c r="P947" s="32">
        <f>_xlfn.XLOOKUP(Snitch_Fashion_Sales_cleaned!$I947,Table3[Order_Date],Table3[Date_Key])</f>
        <v>397</v>
      </c>
    </row>
    <row r="948" spans="1:16" x14ac:dyDescent="0.3">
      <c r="A948" s="27">
        <v>1946</v>
      </c>
      <c r="B948" s="25" t="s">
        <v>987</v>
      </c>
      <c r="C948" s="25" t="s">
        <v>13</v>
      </c>
      <c r="D948" s="26" t="s">
        <v>98</v>
      </c>
      <c r="E948" s="27">
        <v>5</v>
      </c>
      <c r="F948" s="28">
        <v>2355.36</v>
      </c>
      <c r="G948" s="29">
        <v>0.51</v>
      </c>
      <c r="H948" s="28">
        <f t="shared" si="30"/>
        <v>11776.800000000001</v>
      </c>
      <c r="I948" s="30">
        <v>45726</v>
      </c>
      <c r="J948" s="26" t="s">
        <v>15</v>
      </c>
      <c r="K948" s="26" t="s">
        <v>23</v>
      </c>
      <c r="L948" s="31">
        <f t="shared" si="31"/>
        <v>5770.6320000000005</v>
      </c>
      <c r="M948" s="31">
        <v>2397.33</v>
      </c>
      <c r="N948" s="22">
        <f>_xlfn.XLOOKUP(Snitch_Fashion_Sales_cleaned!$J948,Table2[City],Table2[City_Key],"not found")</f>
        <v>1</v>
      </c>
      <c r="O948" s="21">
        <f>_xlfn.XLOOKUP(Snitch_Fashion_Sales_cleaned!$D948,Table4[Product_Name],Table4[Product_Key],"not found")</f>
        <v>21</v>
      </c>
      <c r="P948" s="25">
        <f>_xlfn.XLOOKUP(Snitch_Fashion_Sales_cleaned!$I948,Table3[Order_Date],Table3[Date_Key])</f>
        <v>237</v>
      </c>
    </row>
    <row r="949" spans="1:16" x14ac:dyDescent="0.3">
      <c r="A949" s="34">
        <v>1947</v>
      </c>
      <c r="B949" s="32" t="s">
        <v>988</v>
      </c>
      <c r="C949" s="32" t="s">
        <v>13</v>
      </c>
      <c r="D949" s="33" t="s">
        <v>46</v>
      </c>
      <c r="E949" s="34">
        <v>4</v>
      </c>
      <c r="F949" s="35">
        <v>2891.64</v>
      </c>
      <c r="G949" s="36">
        <v>0.2</v>
      </c>
      <c r="H949" s="35">
        <f t="shared" si="30"/>
        <v>11566.56</v>
      </c>
      <c r="I949" s="37">
        <v>45642</v>
      </c>
      <c r="J949" s="33" t="s">
        <v>22</v>
      </c>
      <c r="K949" s="33" t="s">
        <v>16</v>
      </c>
      <c r="L949" s="38">
        <f t="shared" si="31"/>
        <v>9253.2479999999996</v>
      </c>
      <c r="M949" s="38">
        <v>1608.36</v>
      </c>
      <c r="N949" s="24">
        <f>_xlfn.XLOOKUP(Snitch_Fashion_Sales_cleaned!$J949,Table2[City],Table2[City_Key],"not found")</f>
        <v>3</v>
      </c>
      <c r="O949" s="23">
        <f>_xlfn.XLOOKUP(Snitch_Fashion_Sales_cleaned!$D949,Table4[Product_Name],Table4[Product_Key],"not found")</f>
        <v>10</v>
      </c>
      <c r="P949" s="32">
        <f>_xlfn.XLOOKUP(Snitch_Fashion_Sales_cleaned!$I949,Table3[Order_Date],Table3[Date_Key])</f>
        <v>73</v>
      </c>
    </row>
    <row r="950" spans="1:16" x14ac:dyDescent="0.3">
      <c r="A950" s="27">
        <v>1948</v>
      </c>
      <c r="B950" s="25" t="s">
        <v>989</v>
      </c>
      <c r="C950" s="25" t="s">
        <v>13</v>
      </c>
      <c r="D950" s="26" t="s">
        <v>14</v>
      </c>
      <c r="E950" s="27">
        <v>4</v>
      </c>
      <c r="F950" s="28">
        <v>2755.59</v>
      </c>
      <c r="G950" s="29">
        <v>0.51</v>
      </c>
      <c r="H950" s="28">
        <f t="shared" si="30"/>
        <v>11022.36</v>
      </c>
      <c r="I950" s="30">
        <v>45722</v>
      </c>
      <c r="J950" s="26" t="s">
        <v>18</v>
      </c>
      <c r="K950" s="26" t="s">
        <v>16</v>
      </c>
      <c r="L950" s="31">
        <f t="shared" si="31"/>
        <v>5400.9564</v>
      </c>
      <c r="M950" s="31">
        <v>1058.83</v>
      </c>
      <c r="N950" s="22">
        <f>_xlfn.XLOOKUP(Snitch_Fashion_Sales_cleaned!$J950,Table2[City],Table2[City_Key],"not found")</f>
        <v>2</v>
      </c>
      <c r="O950" s="21">
        <f>_xlfn.XLOOKUP(Snitch_Fashion_Sales_cleaned!$D950,Table4[Product_Name],Table4[Product_Key],"not found")</f>
        <v>1</v>
      </c>
      <c r="P950" s="25">
        <f>_xlfn.XLOOKUP(Snitch_Fashion_Sales_cleaned!$I950,Table3[Order_Date],Table3[Date_Key])</f>
        <v>358</v>
      </c>
    </row>
    <row r="951" spans="1:16" x14ac:dyDescent="0.3">
      <c r="A951" s="34">
        <v>1949</v>
      </c>
      <c r="B951" s="32" t="s">
        <v>990</v>
      </c>
      <c r="C951" s="32" t="s">
        <v>25</v>
      </c>
      <c r="D951" s="33" t="s">
        <v>62</v>
      </c>
      <c r="E951" s="34">
        <v>4</v>
      </c>
      <c r="F951" s="35">
        <v>4000.18</v>
      </c>
      <c r="G951" s="36">
        <v>0.89</v>
      </c>
      <c r="H951" s="35">
        <f t="shared" si="30"/>
        <v>16000.72</v>
      </c>
      <c r="I951" s="37">
        <v>45647</v>
      </c>
      <c r="J951" s="33" t="s">
        <v>22</v>
      </c>
      <c r="K951" s="33" t="s">
        <v>23</v>
      </c>
      <c r="L951" s="38">
        <f t="shared" si="31"/>
        <v>1760.0791999999997</v>
      </c>
      <c r="M951" s="38">
        <v>713.58</v>
      </c>
      <c r="N951" s="24">
        <f>_xlfn.XLOOKUP(Snitch_Fashion_Sales_cleaned!$J951,Table2[City],Table2[City_Key],"not found")</f>
        <v>3</v>
      </c>
      <c r="O951" s="23">
        <f>_xlfn.XLOOKUP(Snitch_Fashion_Sales_cleaned!$D951,Table4[Product_Name],Table4[Product_Key],"not found")</f>
        <v>14</v>
      </c>
      <c r="P951" s="32">
        <f>_xlfn.XLOOKUP(Snitch_Fashion_Sales_cleaned!$I951,Table3[Order_Date],Table3[Date_Key])</f>
        <v>5</v>
      </c>
    </row>
    <row r="952" spans="1:16" x14ac:dyDescent="0.3">
      <c r="A952" s="27">
        <v>1950</v>
      </c>
      <c r="B952" s="25" t="s">
        <v>991</v>
      </c>
      <c r="C952" s="25" t="s">
        <v>36</v>
      </c>
      <c r="D952" s="26" t="s">
        <v>55</v>
      </c>
      <c r="E952" s="27">
        <v>3</v>
      </c>
      <c r="F952" s="28">
        <v>2270.65</v>
      </c>
      <c r="G952" s="29">
        <v>0</v>
      </c>
      <c r="H952" s="28">
        <f t="shared" si="30"/>
        <v>6811.9500000000007</v>
      </c>
      <c r="I952" s="30">
        <v>45413</v>
      </c>
      <c r="J952" s="26" t="s">
        <v>18</v>
      </c>
      <c r="K952" s="26" t="s">
        <v>16</v>
      </c>
      <c r="L952" s="31">
        <f t="shared" si="31"/>
        <v>6811.9500000000007</v>
      </c>
      <c r="M952" s="31">
        <v>2324.34</v>
      </c>
      <c r="N952" s="22">
        <f>_xlfn.XLOOKUP(Snitch_Fashion_Sales_cleaned!$J952,Table2[City],Table2[City_Key],"not found")</f>
        <v>2</v>
      </c>
      <c r="O952" s="21">
        <f>_xlfn.XLOOKUP(Snitch_Fashion_Sales_cleaned!$D952,Table4[Product_Name],Table4[Product_Key],"not found")</f>
        <v>12</v>
      </c>
      <c r="P952" s="25">
        <f>_xlfn.XLOOKUP(Snitch_Fashion_Sales_cleaned!$I952,Table3[Order_Date],Table3[Date_Key])</f>
        <v>398</v>
      </c>
    </row>
    <row r="953" spans="1:16" x14ac:dyDescent="0.3">
      <c r="A953" s="34">
        <v>1951</v>
      </c>
      <c r="B953" s="32" t="s">
        <v>992</v>
      </c>
      <c r="C953" s="32" t="s">
        <v>25</v>
      </c>
      <c r="D953" s="33" t="s">
        <v>26</v>
      </c>
      <c r="E953" s="34">
        <v>2</v>
      </c>
      <c r="F953" s="35">
        <v>2390.4299999999998</v>
      </c>
      <c r="G953" s="36">
        <v>0.35</v>
      </c>
      <c r="H953" s="35">
        <f t="shared" si="30"/>
        <v>4780.8599999999997</v>
      </c>
      <c r="I953" s="37">
        <v>45570</v>
      </c>
      <c r="J953" s="33" t="s">
        <v>15</v>
      </c>
      <c r="K953" s="33" t="s">
        <v>23</v>
      </c>
      <c r="L953" s="38">
        <f t="shared" si="31"/>
        <v>3107.5589999999997</v>
      </c>
      <c r="M953" s="38">
        <v>-634.86</v>
      </c>
      <c r="N953" s="24">
        <f>_xlfn.XLOOKUP(Snitch_Fashion_Sales_cleaned!$J953,Table2[City],Table2[City_Key],"not found")</f>
        <v>1</v>
      </c>
      <c r="O953" s="23">
        <f>_xlfn.XLOOKUP(Snitch_Fashion_Sales_cleaned!$D953,Table4[Product_Name],Table4[Product_Key],"not found")</f>
        <v>3</v>
      </c>
      <c r="P953" s="32">
        <f>_xlfn.XLOOKUP(Snitch_Fashion_Sales_cleaned!$I953,Table3[Order_Date],Table3[Date_Key])</f>
        <v>95</v>
      </c>
    </row>
    <row r="954" spans="1:16" x14ac:dyDescent="0.3">
      <c r="A954" s="27">
        <v>1952</v>
      </c>
      <c r="B954" s="25" t="s">
        <v>993</v>
      </c>
      <c r="C954" s="25" t="s">
        <v>13</v>
      </c>
      <c r="D954" s="26" t="s">
        <v>98</v>
      </c>
      <c r="E954" s="27">
        <v>5</v>
      </c>
      <c r="F954" s="28">
        <v>2750.33</v>
      </c>
      <c r="G954" s="29">
        <v>0.51</v>
      </c>
      <c r="H954" s="28">
        <f t="shared" si="30"/>
        <v>13751.65</v>
      </c>
      <c r="I954" s="30">
        <v>45365</v>
      </c>
      <c r="J954" s="26" t="s">
        <v>43</v>
      </c>
      <c r="K954" s="26" t="s">
        <v>16</v>
      </c>
      <c r="L954" s="31">
        <f t="shared" si="31"/>
        <v>6738.3085000000001</v>
      </c>
      <c r="M954" s="31">
        <v>2835.63</v>
      </c>
      <c r="N954" s="22">
        <f>_xlfn.XLOOKUP(Snitch_Fashion_Sales_cleaned!$J954,Table2[City],Table2[City_Key],"not found")</f>
        <v>6</v>
      </c>
      <c r="O954" s="21">
        <f>_xlfn.XLOOKUP(Snitch_Fashion_Sales_cleaned!$D954,Table4[Product_Name],Table4[Product_Key],"not found")</f>
        <v>21</v>
      </c>
      <c r="P954" s="25">
        <f>_xlfn.XLOOKUP(Snitch_Fashion_Sales_cleaned!$I954,Table3[Order_Date],Table3[Date_Key])</f>
        <v>399</v>
      </c>
    </row>
    <row r="955" spans="1:16" x14ac:dyDescent="0.3">
      <c r="A955" s="34">
        <v>1953</v>
      </c>
      <c r="B955" s="32" t="s">
        <v>994</v>
      </c>
      <c r="C955" s="32" t="s">
        <v>20</v>
      </c>
      <c r="D955" s="33" t="s">
        <v>76</v>
      </c>
      <c r="E955" s="34">
        <v>3</v>
      </c>
      <c r="F955" s="35">
        <v>2229.4899999999998</v>
      </c>
      <c r="G955" s="36">
        <v>0.51</v>
      </c>
      <c r="H955" s="35">
        <f t="shared" si="30"/>
        <v>6688.4699999999993</v>
      </c>
      <c r="I955" s="37">
        <v>45642</v>
      </c>
      <c r="J955" s="33" t="s">
        <v>22</v>
      </c>
      <c r="K955" s="33" t="s">
        <v>23</v>
      </c>
      <c r="L955" s="38">
        <f t="shared" si="31"/>
        <v>3277.3502999999996</v>
      </c>
      <c r="M955" s="38">
        <v>1996.25</v>
      </c>
      <c r="N955" s="24">
        <f>_xlfn.XLOOKUP(Snitch_Fashion_Sales_cleaned!$J955,Table2[City],Table2[City_Key],"not found")</f>
        <v>3</v>
      </c>
      <c r="O955" s="23">
        <f>_xlfn.XLOOKUP(Snitch_Fashion_Sales_cleaned!$D955,Table4[Product_Name],Table4[Product_Key],"not found")</f>
        <v>16</v>
      </c>
      <c r="P955" s="32">
        <f>_xlfn.XLOOKUP(Snitch_Fashion_Sales_cleaned!$I955,Table3[Order_Date],Table3[Date_Key])</f>
        <v>73</v>
      </c>
    </row>
    <row r="956" spans="1:16" x14ac:dyDescent="0.3">
      <c r="A956" s="27">
        <v>1954</v>
      </c>
      <c r="B956" s="25" t="s">
        <v>995</v>
      </c>
      <c r="C956" s="25" t="s">
        <v>13</v>
      </c>
      <c r="D956" s="26" t="s">
        <v>98</v>
      </c>
      <c r="E956" s="27">
        <v>5</v>
      </c>
      <c r="F956" s="28">
        <v>2315.7800000000002</v>
      </c>
      <c r="G956" s="29">
        <v>0.51</v>
      </c>
      <c r="H956" s="28">
        <f t="shared" si="30"/>
        <v>11578.900000000001</v>
      </c>
      <c r="I956" s="30">
        <v>45803</v>
      </c>
      <c r="J956" s="26" t="s">
        <v>18</v>
      </c>
      <c r="K956" s="26" t="s">
        <v>23</v>
      </c>
      <c r="L956" s="31">
        <f t="shared" si="31"/>
        <v>5673.661000000001</v>
      </c>
      <c r="M956" s="31">
        <v>2501.64</v>
      </c>
      <c r="N956" s="22">
        <f>_xlfn.XLOOKUP(Snitch_Fashion_Sales_cleaned!$J956,Table2[City],Table2[City_Key],"not found")</f>
        <v>2</v>
      </c>
      <c r="O956" s="21">
        <f>_xlfn.XLOOKUP(Snitch_Fashion_Sales_cleaned!$D956,Table4[Product_Name],Table4[Product_Key],"not found")</f>
        <v>21</v>
      </c>
      <c r="P956" s="25">
        <f>_xlfn.XLOOKUP(Snitch_Fashion_Sales_cleaned!$I956,Table3[Order_Date],Table3[Date_Key])</f>
        <v>129</v>
      </c>
    </row>
    <row r="957" spans="1:16" x14ac:dyDescent="0.3">
      <c r="A957" s="34">
        <v>1955</v>
      </c>
      <c r="B957" s="32" t="s">
        <v>996</v>
      </c>
      <c r="C957" s="32" t="s">
        <v>25</v>
      </c>
      <c r="D957" s="33" t="s">
        <v>50</v>
      </c>
      <c r="E957" s="34">
        <v>1</v>
      </c>
      <c r="F957" s="35">
        <v>2787.46</v>
      </c>
      <c r="G957" s="36">
        <v>0.92</v>
      </c>
      <c r="H957" s="35">
        <f t="shared" si="30"/>
        <v>2787.46</v>
      </c>
      <c r="I957" s="37">
        <v>45668</v>
      </c>
      <c r="J957" s="33" t="s">
        <v>22</v>
      </c>
      <c r="K957" s="33" t="s">
        <v>23</v>
      </c>
      <c r="L957" s="38">
        <f t="shared" si="31"/>
        <v>222.99679999999989</v>
      </c>
      <c r="M957" s="38">
        <v>55.749199999999973</v>
      </c>
      <c r="N957" s="24">
        <f>_xlfn.XLOOKUP(Snitch_Fashion_Sales_cleaned!$J957,Table2[City],Table2[City_Key],"not found")</f>
        <v>3</v>
      </c>
      <c r="O957" s="23">
        <f>_xlfn.XLOOKUP(Snitch_Fashion_Sales_cleaned!$D957,Table4[Product_Name],Table4[Product_Key],"not found")</f>
        <v>11</v>
      </c>
      <c r="P957" s="32">
        <f>_xlfn.XLOOKUP(Snitch_Fashion_Sales_cleaned!$I957,Table3[Order_Date],Table3[Date_Key])</f>
        <v>298</v>
      </c>
    </row>
    <row r="958" spans="1:16" x14ac:dyDescent="0.3">
      <c r="A958" s="27">
        <v>1956</v>
      </c>
      <c r="B958" s="25" t="s">
        <v>997</v>
      </c>
      <c r="C958" s="25" t="s">
        <v>20</v>
      </c>
      <c r="D958" s="26" t="s">
        <v>21</v>
      </c>
      <c r="E958" s="27">
        <v>4</v>
      </c>
      <c r="F958" s="28">
        <v>2579.8000000000002</v>
      </c>
      <c r="G958" s="29">
        <v>0.51</v>
      </c>
      <c r="H958" s="28">
        <f t="shared" si="30"/>
        <v>10319.200000000001</v>
      </c>
      <c r="I958" s="30">
        <v>45661</v>
      </c>
      <c r="J958" s="26" t="s">
        <v>2540</v>
      </c>
      <c r="K958" s="26" t="s">
        <v>23</v>
      </c>
      <c r="L958" s="31">
        <f t="shared" si="31"/>
        <v>5056.4080000000004</v>
      </c>
      <c r="M958" s="31">
        <v>-850.76</v>
      </c>
      <c r="N958" s="22">
        <f>_xlfn.XLOOKUP(Snitch_Fashion_Sales_cleaned!$J958,Table2[City],Table2[City_Key],"not found")</f>
        <v>4</v>
      </c>
      <c r="O958" s="21">
        <f>_xlfn.XLOOKUP(Snitch_Fashion_Sales_cleaned!$D958,Table4[Product_Name],Table4[Product_Key],"not found")</f>
        <v>2</v>
      </c>
      <c r="P958" s="25">
        <f>_xlfn.XLOOKUP(Snitch_Fashion_Sales_cleaned!$I958,Table3[Order_Date],Table3[Date_Key])</f>
        <v>63</v>
      </c>
    </row>
    <row r="959" spans="1:16" x14ac:dyDescent="0.3">
      <c r="A959" s="34">
        <v>1957</v>
      </c>
      <c r="B959" s="32" t="s">
        <v>998</v>
      </c>
      <c r="C959" s="32" t="s">
        <v>28</v>
      </c>
      <c r="D959" s="33" t="s">
        <v>116</v>
      </c>
      <c r="E959" s="34">
        <v>4</v>
      </c>
      <c r="F959" s="35">
        <v>494.81</v>
      </c>
      <c r="G959" s="36">
        <v>0.51</v>
      </c>
      <c r="H959" s="35">
        <f t="shared" si="30"/>
        <v>1979.24</v>
      </c>
      <c r="I959" s="37">
        <v>45256</v>
      </c>
      <c r="J959" s="33" t="s">
        <v>52</v>
      </c>
      <c r="K959" s="33" t="s">
        <v>23</v>
      </c>
      <c r="L959" s="38">
        <f t="shared" si="31"/>
        <v>969.82759999999996</v>
      </c>
      <c r="M959" s="38">
        <v>-35.32</v>
      </c>
      <c r="N959" s="24">
        <f>_xlfn.XLOOKUP(Snitch_Fashion_Sales_cleaned!$J959,Table2[City],Table2[City_Key],"not found")</f>
        <v>5</v>
      </c>
      <c r="O959" s="23">
        <f>_xlfn.XLOOKUP(Snitch_Fashion_Sales_cleaned!$D959,Table4[Product_Name],Table4[Product_Key],"not found")</f>
        <v>22</v>
      </c>
      <c r="P959" s="32">
        <f>_xlfn.XLOOKUP(Snitch_Fashion_Sales_cleaned!$I959,Table3[Order_Date],Table3[Date_Key])</f>
        <v>400</v>
      </c>
    </row>
    <row r="960" spans="1:16" x14ac:dyDescent="0.3">
      <c r="A960" s="27">
        <v>1958</v>
      </c>
      <c r="B960" s="25" t="s">
        <v>999</v>
      </c>
      <c r="C960" s="25" t="s">
        <v>31</v>
      </c>
      <c r="D960" s="26" t="s">
        <v>32</v>
      </c>
      <c r="E960" s="27">
        <v>4</v>
      </c>
      <c r="F960" s="28">
        <v>3068.38</v>
      </c>
      <c r="G960" s="29">
        <v>0.51</v>
      </c>
      <c r="H960" s="28">
        <f t="shared" si="30"/>
        <v>12273.52</v>
      </c>
      <c r="I960" s="30">
        <v>45502</v>
      </c>
      <c r="J960" s="26" t="s">
        <v>2540</v>
      </c>
      <c r="K960" s="26" t="s">
        <v>23</v>
      </c>
      <c r="L960" s="31">
        <f t="shared" si="31"/>
        <v>6014.0248000000001</v>
      </c>
      <c r="M960" s="31">
        <v>2376.6799999999998</v>
      </c>
      <c r="N960" s="22">
        <f>_xlfn.XLOOKUP(Snitch_Fashion_Sales_cleaned!$J960,Table2[City],Table2[City_Key],"not found")</f>
        <v>4</v>
      </c>
      <c r="O960" s="21">
        <f>_xlfn.XLOOKUP(Snitch_Fashion_Sales_cleaned!$D960,Table4[Product_Name],Table4[Product_Key],"not found")</f>
        <v>5</v>
      </c>
      <c r="P960" s="25">
        <f>_xlfn.XLOOKUP(Snitch_Fashion_Sales_cleaned!$I960,Table3[Order_Date],Table3[Date_Key])</f>
        <v>338</v>
      </c>
    </row>
    <row r="961" spans="1:16" x14ac:dyDescent="0.3">
      <c r="A961" s="34">
        <v>1959</v>
      </c>
      <c r="B961" s="32" t="s">
        <v>1000</v>
      </c>
      <c r="C961" s="32" t="s">
        <v>20</v>
      </c>
      <c r="D961" s="33" t="s">
        <v>84</v>
      </c>
      <c r="E961" s="34">
        <v>3</v>
      </c>
      <c r="F961" s="35">
        <v>3805.09</v>
      </c>
      <c r="G961" s="36">
        <v>0.51</v>
      </c>
      <c r="H961" s="35">
        <f t="shared" si="30"/>
        <v>11415.27</v>
      </c>
      <c r="I961" s="37">
        <v>45647</v>
      </c>
      <c r="J961" s="33" t="s">
        <v>18</v>
      </c>
      <c r="K961" s="33" t="s">
        <v>23</v>
      </c>
      <c r="L961" s="38">
        <f t="shared" si="31"/>
        <v>5593.4822999999997</v>
      </c>
      <c r="M961" s="38">
        <v>-476</v>
      </c>
      <c r="N961" s="24">
        <f>_xlfn.XLOOKUP(Snitch_Fashion_Sales_cleaned!$J961,Table2[City],Table2[City_Key],"not found")</f>
        <v>2</v>
      </c>
      <c r="O961" s="23">
        <f>_xlfn.XLOOKUP(Snitch_Fashion_Sales_cleaned!$D961,Table4[Product_Name],Table4[Product_Key],"not found")</f>
        <v>19</v>
      </c>
      <c r="P961" s="32">
        <f>_xlfn.XLOOKUP(Snitch_Fashion_Sales_cleaned!$I961,Table3[Order_Date],Table3[Date_Key])</f>
        <v>5</v>
      </c>
    </row>
    <row r="962" spans="1:16" x14ac:dyDescent="0.3">
      <c r="A962" s="27">
        <v>1960</v>
      </c>
      <c r="B962" s="25" t="s">
        <v>1001</v>
      </c>
      <c r="C962" s="25" t="s">
        <v>25</v>
      </c>
      <c r="D962" s="26" t="s">
        <v>62</v>
      </c>
      <c r="E962" s="27">
        <v>2</v>
      </c>
      <c r="F962" s="28">
        <v>1369.81</v>
      </c>
      <c r="G962" s="29">
        <v>0.67</v>
      </c>
      <c r="H962" s="28">
        <f t="shared" si="30"/>
        <v>2739.62</v>
      </c>
      <c r="I962" s="30">
        <v>45612</v>
      </c>
      <c r="J962" s="26" t="s">
        <v>43</v>
      </c>
      <c r="K962" s="26" t="s">
        <v>23</v>
      </c>
      <c r="L962" s="31">
        <f t="shared" si="31"/>
        <v>904.0745999999998</v>
      </c>
      <c r="M962" s="31">
        <v>226.01864999999995</v>
      </c>
      <c r="N962" s="22">
        <f>_xlfn.XLOOKUP(Snitch_Fashion_Sales_cleaned!$J962,Table2[City],Table2[City_Key],"not found")</f>
        <v>6</v>
      </c>
      <c r="O962" s="21">
        <f>_xlfn.XLOOKUP(Snitch_Fashion_Sales_cleaned!$D962,Table4[Product_Name],Table4[Product_Key],"not found")</f>
        <v>14</v>
      </c>
      <c r="P962" s="25">
        <f>_xlfn.XLOOKUP(Snitch_Fashion_Sales_cleaned!$I962,Table3[Order_Date],Table3[Date_Key])</f>
        <v>365</v>
      </c>
    </row>
    <row r="963" spans="1:16" x14ac:dyDescent="0.3">
      <c r="A963" s="34">
        <v>1961</v>
      </c>
      <c r="B963" s="32" t="s">
        <v>1002</v>
      </c>
      <c r="C963" s="32" t="s">
        <v>20</v>
      </c>
      <c r="D963" s="33" t="s">
        <v>84</v>
      </c>
      <c r="E963" s="34">
        <v>3</v>
      </c>
      <c r="F963" s="35">
        <v>2204.39</v>
      </c>
      <c r="G963" s="36">
        <v>0.51</v>
      </c>
      <c r="H963" s="35">
        <f t="shared" si="30"/>
        <v>6613.17</v>
      </c>
      <c r="I963" s="37">
        <v>45374</v>
      </c>
      <c r="J963" s="33" t="s">
        <v>43</v>
      </c>
      <c r="K963" s="33" t="s">
        <v>23</v>
      </c>
      <c r="L963" s="38">
        <f t="shared" si="31"/>
        <v>3240.4533000000001</v>
      </c>
      <c r="M963" s="38">
        <v>-546.19000000000005</v>
      </c>
      <c r="N963" s="24">
        <f>_xlfn.XLOOKUP(Snitch_Fashion_Sales_cleaned!$J963,Table2[City],Table2[City_Key],"not found")</f>
        <v>6</v>
      </c>
      <c r="O963" s="23">
        <f>_xlfn.XLOOKUP(Snitch_Fashion_Sales_cleaned!$D963,Table4[Product_Name],Table4[Product_Key],"not found")</f>
        <v>19</v>
      </c>
      <c r="P963" s="32">
        <f>_xlfn.XLOOKUP(Snitch_Fashion_Sales_cleaned!$I963,Table3[Order_Date],Table3[Date_Key])</f>
        <v>401</v>
      </c>
    </row>
    <row r="964" spans="1:16" x14ac:dyDescent="0.3">
      <c r="A964" s="27">
        <v>1962</v>
      </c>
      <c r="B964" s="25" t="s">
        <v>1003</v>
      </c>
      <c r="C964" s="25" t="s">
        <v>25</v>
      </c>
      <c r="D964" s="26" t="s">
        <v>50</v>
      </c>
      <c r="E964" s="27">
        <v>4</v>
      </c>
      <c r="F964" s="28">
        <v>2666.2200000000003</v>
      </c>
      <c r="G964" s="29">
        <v>0.51</v>
      </c>
      <c r="H964" s="28">
        <f t="shared" si="30"/>
        <v>10664.880000000001</v>
      </c>
      <c r="I964" s="30">
        <v>45267</v>
      </c>
      <c r="J964" s="26" t="s">
        <v>15</v>
      </c>
      <c r="K964" s="26" t="s">
        <v>23</v>
      </c>
      <c r="L964" s="31">
        <f t="shared" si="31"/>
        <v>5225.7912000000006</v>
      </c>
      <c r="M964" s="31">
        <v>1408.3</v>
      </c>
      <c r="N964" s="22">
        <f>_xlfn.XLOOKUP(Snitch_Fashion_Sales_cleaned!$J964,Table2[City],Table2[City_Key],"not found")</f>
        <v>1</v>
      </c>
      <c r="O964" s="21">
        <f>_xlfn.XLOOKUP(Snitch_Fashion_Sales_cleaned!$D964,Table4[Product_Name],Table4[Product_Key],"not found")</f>
        <v>11</v>
      </c>
      <c r="P964" s="25">
        <f>_xlfn.XLOOKUP(Snitch_Fashion_Sales_cleaned!$I964,Table3[Order_Date],Table3[Date_Key])</f>
        <v>402</v>
      </c>
    </row>
    <row r="965" spans="1:16" x14ac:dyDescent="0.3">
      <c r="A965" s="34">
        <v>1963</v>
      </c>
      <c r="B965" s="32" t="s">
        <v>1004</v>
      </c>
      <c r="C965" s="32" t="s">
        <v>25</v>
      </c>
      <c r="D965" s="33" t="s">
        <v>82</v>
      </c>
      <c r="E965" s="34">
        <v>3</v>
      </c>
      <c r="F965" s="35">
        <v>1935.29</v>
      </c>
      <c r="G965" s="36">
        <v>0.51</v>
      </c>
      <c r="H965" s="35">
        <f t="shared" si="30"/>
        <v>5805.87</v>
      </c>
      <c r="I965" s="37">
        <v>45525</v>
      </c>
      <c r="J965" s="33" t="s">
        <v>22</v>
      </c>
      <c r="K965" s="33" t="s">
        <v>23</v>
      </c>
      <c r="L965" s="38">
        <f t="shared" si="31"/>
        <v>2844.8762999999999</v>
      </c>
      <c r="M965" s="38">
        <v>-114.47</v>
      </c>
      <c r="N965" s="24">
        <f>_xlfn.XLOOKUP(Snitch_Fashion_Sales_cleaned!$J965,Table2[City],Table2[City_Key],"not found")</f>
        <v>3</v>
      </c>
      <c r="O965" s="23">
        <f>_xlfn.XLOOKUP(Snitch_Fashion_Sales_cleaned!$D965,Table4[Product_Name],Table4[Product_Key],"not found")</f>
        <v>18</v>
      </c>
      <c r="P965" s="32">
        <f>_xlfn.XLOOKUP(Snitch_Fashion_Sales_cleaned!$I965,Table3[Order_Date],Table3[Date_Key])</f>
        <v>169</v>
      </c>
    </row>
    <row r="966" spans="1:16" x14ac:dyDescent="0.3">
      <c r="A966" s="27">
        <v>1964</v>
      </c>
      <c r="B966" s="25" t="s">
        <v>1005</v>
      </c>
      <c r="C966" s="25" t="s">
        <v>31</v>
      </c>
      <c r="D966" s="26" t="s">
        <v>41</v>
      </c>
      <c r="E966" s="27">
        <v>3</v>
      </c>
      <c r="F966" s="28">
        <v>3027.66</v>
      </c>
      <c r="G966" s="29">
        <v>0.51</v>
      </c>
      <c r="H966" s="28">
        <f t="shared" ref="H966:H1029" si="32">E966*F966</f>
        <v>9082.98</v>
      </c>
      <c r="I966" s="30">
        <v>45647</v>
      </c>
      <c r="J966" s="26" t="s">
        <v>2540</v>
      </c>
      <c r="K966" s="26" t="s">
        <v>23</v>
      </c>
      <c r="L966" s="31">
        <f t="shared" ref="L966:L1029" si="33">H966*(1-G966)</f>
        <v>4450.6601999999993</v>
      </c>
      <c r="M966" s="31">
        <v>2202.2800000000002</v>
      </c>
      <c r="N966" s="22">
        <f>_xlfn.XLOOKUP(Snitch_Fashion_Sales_cleaned!$J966,Table2[City],Table2[City_Key],"not found")</f>
        <v>4</v>
      </c>
      <c r="O966" s="21">
        <f>_xlfn.XLOOKUP(Snitch_Fashion_Sales_cleaned!$D966,Table4[Product_Name],Table4[Product_Key],"not found")</f>
        <v>9</v>
      </c>
      <c r="P966" s="25">
        <f>_xlfn.XLOOKUP(Snitch_Fashion_Sales_cleaned!$I966,Table3[Order_Date],Table3[Date_Key])</f>
        <v>5</v>
      </c>
    </row>
    <row r="967" spans="1:16" x14ac:dyDescent="0.3">
      <c r="A967" s="34">
        <v>1965</v>
      </c>
      <c r="B967" s="32" t="s">
        <v>1006</v>
      </c>
      <c r="C967" s="32" t="s">
        <v>36</v>
      </c>
      <c r="D967" s="33" t="s">
        <v>87</v>
      </c>
      <c r="E967" s="34">
        <v>4</v>
      </c>
      <c r="F967" s="35">
        <v>2889.5349999999999</v>
      </c>
      <c r="G967" s="36">
        <v>0.51</v>
      </c>
      <c r="H967" s="35">
        <f t="shared" si="32"/>
        <v>11558.14</v>
      </c>
      <c r="I967" s="37">
        <v>45689</v>
      </c>
      <c r="J967" s="33" t="s">
        <v>43</v>
      </c>
      <c r="K967" s="33" t="s">
        <v>23</v>
      </c>
      <c r="L967" s="38">
        <f t="shared" si="33"/>
        <v>5663.4885999999997</v>
      </c>
      <c r="M967" s="38">
        <v>2663.36</v>
      </c>
      <c r="N967" s="24">
        <f>_xlfn.XLOOKUP(Snitch_Fashion_Sales_cleaned!$J967,Table2[City],Table2[City_Key],"not found")</f>
        <v>6</v>
      </c>
      <c r="O967" s="23">
        <f>_xlfn.XLOOKUP(Snitch_Fashion_Sales_cleaned!$D967,Table4[Product_Name],Table4[Product_Key],"not found")</f>
        <v>20</v>
      </c>
      <c r="P967" s="32">
        <f>_xlfn.XLOOKUP(Snitch_Fashion_Sales_cleaned!$I967,Table3[Order_Date],Table3[Date_Key])</f>
        <v>403</v>
      </c>
    </row>
    <row r="968" spans="1:16" x14ac:dyDescent="0.3">
      <c r="A968" s="27">
        <v>1966</v>
      </c>
      <c r="B968" s="25" t="s">
        <v>1007</v>
      </c>
      <c r="C968" s="25" t="s">
        <v>25</v>
      </c>
      <c r="D968" s="26" t="s">
        <v>26</v>
      </c>
      <c r="E968" s="27">
        <v>4</v>
      </c>
      <c r="F968" s="28">
        <v>2933.45</v>
      </c>
      <c r="G968" s="29">
        <v>0.51</v>
      </c>
      <c r="H968" s="28">
        <f t="shared" si="32"/>
        <v>11733.8</v>
      </c>
      <c r="I968" s="30">
        <v>45647</v>
      </c>
      <c r="J968" s="26" t="s">
        <v>43</v>
      </c>
      <c r="K968" s="26" t="s">
        <v>23</v>
      </c>
      <c r="L968" s="31">
        <f t="shared" si="33"/>
        <v>5749.5619999999999</v>
      </c>
      <c r="M968" s="31">
        <v>2887.5</v>
      </c>
      <c r="N968" s="22">
        <f>_xlfn.XLOOKUP(Snitch_Fashion_Sales_cleaned!$J968,Table2[City],Table2[City_Key],"not found")</f>
        <v>6</v>
      </c>
      <c r="O968" s="21">
        <f>_xlfn.XLOOKUP(Snitch_Fashion_Sales_cleaned!$D968,Table4[Product_Name],Table4[Product_Key],"not found")</f>
        <v>3</v>
      </c>
      <c r="P968" s="25">
        <f>_xlfn.XLOOKUP(Snitch_Fashion_Sales_cleaned!$I968,Table3[Order_Date],Table3[Date_Key])</f>
        <v>5</v>
      </c>
    </row>
    <row r="969" spans="1:16" x14ac:dyDescent="0.3">
      <c r="A969" s="34">
        <v>1967</v>
      </c>
      <c r="B969" s="32" t="s">
        <v>1008</v>
      </c>
      <c r="C969" s="32" t="s">
        <v>31</v>
      </c>
      <c r="D969" s="33" t="s">
        <v>78</v>
      </c>
      <c r="E969" s="34">
        <v>4</v>
      </c>
      <c r="F969" s="35">
        <v>2599.75</v>
      </c>
      <c r="G969" s="36">
        <v>0.51</v>
      </c>
      <c r="H969" s="35">
        <f t="shared" si="32"/>
        <v>10399</v>
      </c>
      <c r="I969" s="37">
        <v>45647</v>
      </c>
      <c r="J969" s="33" t="s">
        <v>18</v>
      </c>
      <c r="K969" s="33" t="s">
        <v>23</v>
      </c>
      <c r="L969" s="38">
        <f t="shared" si="33"/>
        <v>5095.51</v>
      </c>
      <c r="M969" s="38">
        <v>1310.86</v>
      </c>
      <c r="N969" s="24">
        <f>_xlfn.XLOOKUP(Snitch_Fashion_Sales_cleaned!$J969,Table2[City],Table2[City_Key],"not found")</f>
        <v>2</v>
      </c>
      <c r="O969" s="23">
        <f>_xlfn.XLOOKUP(Snitch_Fashion_Sales_cleaned!$D969,Table4[Product_Name],Table4[Product_Key],"not found")</f>
        <v>17</v>
      </c>
      <c r="P969" s="32">
        <f>_xlfn.XLOOKUP(Snitch_Fashion_Sales_cleaned!$I969,Table3[Order_Date],Table3[Date_Key])</f>
        <v>5</v>
      </c>
    </row>
    <row r="970" spans="1:16" x14ac:dyDescent="0.3">
      <c r="A970" s="27">
        <v>1968</v>
      </c>
      <c r="B970" s="25" t="s">
        <v>1009</v>
      </c>
      <c r="C970" s="25" t="s">
        <v>20</v>
      </c>
      <c r="D970" s="26" t="s">
        <v>21</v>
      </c>
      <c r="E970" s="27">
        <v>5</v>
      </c>
      <c r="F970" s="28">
        <v>2579.8000000000002</v>
      </c>
      <c r="G970" s="29">
        <v>0.51</v>
      </c>
      <c r="H970" s="28">
        <f t="shared" si="32"/>
        <v>12899</v>
      </c>
      <c r="I970" s="30">
        <v>45855</v>
      </c>
      <c r="J970" s="26" t="s">
        <v>2540</v>
      </c>
      <c r="K970" s="26" t="s">
        <v>23</v>
      </c>
      <c r="L970" s="31">
        <f t="shared" si="33"/>
        <v>6320.51</v>
      </c>
      <c r="M970" s="31">
        <v>-168.76</v>
      </c>
      <c r="N970" s="22">
        <f>_xlfn.XLOOKUP(Snitch_Fashion_Sales_cleaned!$J970,Table2[City],Table2[City_Key],"not found")</f>
        <v>4</v>
      </c>
      <c r="O970" s="21">
        <f>_xlfn.XLOOKUP(Snitch_Fashion_Sales_cleaned!$D970,Table4[Product_Name],Table4[Product_Key],"not found")</f>
        <v>2</v>
      </c>
      <c r="P970" s="25">
        <f>_xlfn.XLOOKUP(Snitch_Fashion_Sales_cleaned!$I970,Table3[Order_Date],Table3[Date_Key])</f>
        <v>97</v>
      </c>
    </row>
    <row r="971" spans="1:16" x14ac:dyDescent="0.3">
      <c r="A971" s="34">
        <v>1969</v>
      </c>
      <c r="B971" s="32" t="s">
        <v>1010</v>
      </c>
      <c r="C971" s="32" t="s">
        <v>13</v>
      </c>
      <c r="D971" s="33" t="s">
        <v>14</v>
      </c>
      <c r="E971" s="34">
        <v>4</v>
      </c>
      <c r="F971" s="35">
        <v>2153.5700000000002</v>
      </c>
      <c r="G971" s="36">
        <v>0.51</v>
      </c>
      <c r="H971" s="35">
        <f t="shared" si="32"/>
        <v>8614.2800000000007</v>
      </c>
      <c r="I971" s="37">
        <v>45612</v>
      </c>
      <c r="J971" s="33" t="s">
        <v>22</v>
      </c>
      <c r="K971" s="33" t="s">
        <v>16</v>
      </c>
      <c r="L971" s="38">
        <f t="shared" si="33"/>
        <v>4220.9971999999998</v>
      </c>
      <c r="M971" s="38">
        <v>1200.02</v>
      </c>
      <c r="N971" s="24">
        <f>_xlfn.XLOOKUP(Snitch_Fashion_Sales_cleaned!$J971,Table2[City],Table2[City_Key],"not found")</f>
        <v>3</v>
      </c>
      <c r="O971" s="23">
        <f>_xlfn.XLOOKUP(Snitch_Fashion_Sales_cleaned!$D971,Table4[Product_Name],Table4[Product_Key],"not found")</f>
        <v>1</v>
      </c>
      <c r="P971" s="32">
        <f>_xlfn.XLOOKUP(Snitch_Fashion_Sales_cleaned!$I971,Table3[Order_Date],Table3[Date_Key])</f>
        <v>365</v>
      </c>
    </row>
    <row r="972" spans="1:16" x14ac:dyDescent="0.3">
      <c r="A972" s="27">
        <v>1970</v>
      </c>
      <c r="B972" s="25" t="s">
        <v>1011</v>
      </c>
      <c r="C972" s="25" t="s">
        <v>20</v>
      </c>
      <c r="D972" s="26" t="s">
        <v>84</v>
      </c>
      <c r="E972" s="27">
        <v>6</v>
      </c>
      <c r="F972" s="28">
        <v>2537.59</v>
      </c>
      <c r="G972" s="29">
        <v>0.51</v>
      </c>
      <c r="H972" s="28">
        <f t="shared" si="32"/>
        <v>15225.54</v>
      </c>
      <c r="I972" s="30">
        <v>45647</v>
      </c>
      <c r="J972" s="26" t="s">
        <v>43</v>
      </c>
      <c r="K972" s="26" t="s">
        <v>23</v>
      </c>
      <c r="L972" s="31">
        <f t="shared" si="33"/>
        <v>7460.5146000000004</v>
      </c>
      <c r="M972" s="31">
        <v>1016.11</v>
      </c>
      <c r="N972" s="22">
        <f>_xlfn.XLOOKUP(Snitch_Fashion_Sales_cleaned!$J972,Table2[City],Table2[City_Key],"not found")</f>
        <v>6</v>
      </c>
      <c r="O972" s="21">
        <f>_xlfn.XLOOKUP(Snitch_Fashion_Sales_cleaned!$D972,Table4[Product_Name],Table4[Product_Key],"not found")</f>
        <v>19</v>
      </c>
      <c r="P972" s="25">
        <f>_xlfn.XLOOKUP(Snitch_Fashion_Sales_cleaned!$I972,Table3[Order_Date],Table3[Date_Key])</f>
        <v>5</v>
      </c>
    </row>
    <row r="973" spans="1:16" x14ac:dyDescent="0.3">
      <c r="A973" s="34">
        <v>1971</v>
      </c>
      <c r="B973" s="32" t="s">
        <v>1012</v>
      </c>
      <c r="C973" s="32" t="s">
        <v>28</v>
      </c>
      <c r="D973" s="33" t="s">
        <v>39</v>
      </c>
      <c r="E973" s="34">
        <v>3</v>
      </c>
      <c r="F973" s="35">
        <v>4746.5200000000004</v>
      </c>
      <c r="G973" s="36">
        <v>0.51</v>
      </c>
      <c r="H973" s="35">
        <f t="shared" si="32"/>
        <v>14239.560000000001</v>
      </c>
      <c r="I973" s="37">
        <v>45629</v>
      </c>
      <c r="J973" s="33" t="s">
        <v>22</v>
      </c>
      <c r="K973" s="33" t="s">
        <v>23</v>
      </c>
      <c r="L973" s="38">
        <f t="shared" si="33"/>
        <v>6977.3844000000008</v>
      </c>
      <c r="M973" s="38">
        <v>1981.22</v>
      </c>
      <c r="N973" s="24">
        <f>_xlfn.XLOOKUP(Snitch_Fashion_Sales_cleaned!$J973,Table2[City],Table2[City_Key],"not found")</f>
        <v>3</v>
      </c>
      <c r="O973" s="23">
        <f>_xlfn.XLOOKUP(Snitch_Fashion_Sales_cleaned!$D973,Table4[Product_Name],Table4[Product_Key],"not found")</f>
        <v>8</v>
      </c>
      <c r="P973" s="32">
        <f>_xlfn.XLOOKUP(Snitch_Fashion_Sales_cleaned!$I973,Table3[Order_Date],Table3[Date_Key])</f>
        <v>62</v>
      </c>
    </row>
    <row r="974" spans="1:16" x14ac:dyDescent="0.3">
      <c r="A974" s="27">
        <v>1972</v>
      </c>
      <c r="B974" s="25" t="s">
        <v>1013</v>
      </c>
      <c r="C974" s="25" t="s">
        <v>20</v>
      </c>
      <c r="D974" s="26" t="s">
        <v>76</v>
      </c>
      <c r="E974" s="27">
        <v>3</v>
      </c>
      <c r="F974" s="28">
        <v>2229.4899999999998</v>
      </c>
      <c r="G974" s="29">
        <v>0.51</v>
      </c>
      <c r="H974" s="28">
        <f t="shared" si="32"/>
        <v>6688.4699999999993</v>
      </c>
      <c r="I974" s="30">
        <v>45525</v>
      </c>
      <c r="J974" s="26" t="s">
        <v>15</v>
      </c>
      <c r="K974" s="26" t="s">
        <v>16</v>
      </c>
      <c r="L974" s="31">
        <f t="shared" si="33"/>
        <v>3277.3502999999996</v>
      </c>
      <c r="M974" s="31">
        <v>-161.86000000000001</v>
      </c>
      <c r="N974" s="22">
        <f>_xlfn.XLOOKUP(Snitch_Fashion_Sales_cleaned!$J974,Table2[City],Table2[City_Key],"not found")</f>
        <v>1</v>
      </c>
      <c r="O974" s="21">
        <f>_xlfn.XLOOKUP(Snitch_Fashion_Sales_cleaned!$D974,Table4[Product_Name],Table4[Product_Key],"not found")</f>
        <v>16</v>
      </c>
      <c r="P974" s="25">
        <f>_xlfn.XLOOKUP(Snitch_Fashion_Sales_cleaned!$I974,Table3[Order_Date],Table3[Date_Key])</f>
        <v>169</v>
      </c>
    </row>
    <row r="975" spans="1:16" x14ac:dyDescent="0.3">
      <c r="A975" s="34">
        <v>1973</v>
      </c>
      <c r="B975" s="32" t="s">
        <v>1014</v>
      </c>
      <c r="C975" s="32" t="s">
        <v>28</v>
      </c>
      <c r="D975" s="33" t="s">
        <v>137</v>
      </c>
      <c r="E975" s="34">
        <v>3.5</v>
      </c>
      <c r="F975" s="35">
        <v>2338.04</v>
      </c>
      <c r="G975" s="36">
        <v>0.51</v>
      </c>
      <c r="H975" s="35">
        <f t="shared" si="32"/>
        <v>8183.1399999999994</v>
      </c>
      <c r="I975" s="37">
        <v>45745</v>
      </c>
      <c r="J975" s="33" t="s">
        <v>43</v>
      </c>
      <c r="K975" s="33" t="s">
        <v>16</v>
      </c>
      <c r="L975" s="38">
        <f t="shared" si="33"/>
        <v>4009.7385999999997</v>
      </c>
      <c r="M975" s="38">
        <v>838.06</v>
      </c>
      <c r="N975" s="24">
        <f>_xlfn.XLOOKUP(Snitch_Fashion_Sales_cleaned!$J975,Table2[City],Table2[City_Key],"not found")</f>
        <v>6</v>
      </c>
      <c r="O975" s="23">
        <f>_xlfn.XLOOKUP(Snitch_Fashion_Sales_cleaned!$D975,Table4[Product_Name],Table4[Product_Key],"not found")</f>
        <v>24</v>
      </c>
      <c r="P975" s="32">
        <f>_xlfn.XLOOKUP(Snitch_Fashion_Sales_cleaned!$I975,Table3[Order_Date],Table3[Date_Key])</f>
        <v>293</v>
      </c>
    </row>
    <row r="976" spans="1:16" x14ac:dyDescent="0.3">
      <c r="A976" s="27">
        <v>1974</v>
      </c>
      <c r="B976" s="25" t="s">
        <v>1015</v>
      </c>
      <c r="C976" s="25" t="s">
        <v>13</v>
      </c>
      <c r="D976" s="26" t="s">
        <v>98</v>
      </c>
      <c r="E976" s="27">
        <v>5</v>
      </c>
      <c r="F976" s="28">
        <v>3286.66</v>
      </c>
      <c r="G976" s="29">
        <v>0.51</v>
      </c>
      <c r="H976" s="28">
        <f t="shared" si="32"/>
        <v>16433.3</v>
      </c>
      <c r="I976" s="30">
        <v>45647</v>
      </c>
      <c r="J976" s="26" t="s">
        <v>18</v>
      </c>
      <c r="K976" s="26" t="s">
        <v>23</v>
      </c>
      <c r="L976" s="31">
        <f t="shared" si="33"/>
        <v>8052.3169999999991</v>
      </c>
      <c r="M976" s="31">
        <v>1019.91</v>
      </c>
      <c r="N976" s="22">
        <f>_xlfn.XLOOKUP(Snitch_Fashion_Sales_cleaned!$J976,Table2[City],Table2[City_Key],"not found")</f>
        <v>2</v>
      </c>
      <c r="O976" s="21">
        <f>_xlfn.XLOOKUP(Snitch_Fashion_Sales_cleaned!$D976,Table4[Product_Name],Table4[Product_Key],"not found")</f>
        <v>21</v>
      </c>
      <c r="P976" s="25">
        <f>_xlfn.XLOOKUP(Snitch_Fashion_Sales_cleaned!$I976,Table3[Order_Date],Table3[Date_Key])</f>
        <v>5</v>
      </c>
    </row>
    <row r="977" spans="1:16" x14ac:dyDescent="0.3">
      <c r="A977" s="34">
        <v>1975</v>
      </c>
      <c r="B977" s="32" t="s">
        <v>1016</v>
      </c>
      <c r="C977" s="32" t="s">
        <v>31</v>
      </c>
      <c r="D977" s="33" t="s">
        <v>68</v>
      </c>
      <c r="E977" s="34">
        <v>4</v>
      </c>
      <c r="F977" s="35">
        <v>3853.49</v>
      </c>
      <c r="G977" s="36">
        <v>0.51</v>
      </c>
      <c r="H977" s="35">
        <f t="shared" si="32"/>
        <v>15413.96</v>
      </c>
      <c r="I977" s="37">
        <v>45647</v>
      </c>
      <c r="J977" s="33" t="s">
        <v>22</v>
      </c>
      <c r="K977" s="33" t="s">
        <v>23</v>
      </c>
      <c r="L977" s="38">
        <f t="shared" si="33"/>
        <v>7552.8403999999991</v>
      </c>
      <c r="M977" s="38">
        <v>77.2</v>
      </c>
      <c r="N977" s="24">
        <f>_xlfn.XLOOKUP(Snitch_Fashion_Sales_cleaned!$J977,Table2[City],Table2[City_Key],"not found")</f>
        <v>3</v>
      </c>
      <c r="O977" s="23">
        <f>_xlfn.XLOOKUP(Snitch_Fashion_Sales_cleaned!$D977,Table4[Product_Name],Table4[Product_Key],"not found")</f>
        <v>15</v>
      </c>
      <c r="P977" s="32">
        <f>_xlfn.XLOOKUP(Snitch_Fashion_Sales_cleaned!$I977,Table3[Order_Date],Table3[Date_Key])</f>
        <v>5</v>
      </c>
    </row>
    <row r="978" spans="1:16" x14ac:dyDescent="0.3">
      <c r="A978" s="27">
        <v>1976</v>
      </c>
      <c r="B978" s="25" t="s">
        <v>1017</v>
      </c>
      <c r="C978" s="25" t="s">
        <v>13</v>
      </c>
      <c r="D978" s="26" t="s">
        <v>98</v>
      </c>
      <c r="E978" s="27">
        <v>5</v>
      </c>
      <c r="F978" s="28">
        <v>4363.08</v>
      </c>
      <c r="G978" s="29">
        <v>0.51</v>
      </c>
      <c r="H978" s="28">
        <f t="shared" si="32"/>
        <v>21815.4</v>
      </c>
      <c r="I978" s="30">
        <v>45803</v>
      </c>
      <c r="J978" s="26" t="s">
        <v>15</v>
      </c>
      <c r="K978" s="26" t="s">
        <v>16</v>
      </c>
      <c r="L978" s="31">
        <f t="shared" si="33"/>
        <v>10689.546</v>
      </c>
      <c r="M978" s="31">
        <v>-16.09</v>
      </c>
      <c r="N978" s="22">
        <f>_xlfn.XLOOKUP(Snitch_Fashion_Sales_cleaned!$J978,Table2[City],Table2[City_Key],"not found")</f>
        <v>1</v>
      </c>
      <c r="O978" s="21">
        <f>_xlfn.XLOOKUP(Snitch_Fashion_Sales_cleaned!$D978,Table4[Product_Name],Table4[Product_Key],"not found")</f>
        <v>21</v>
      </c>
      <c r="P978" s="25">
        <f>_xlfn.XLOOKUP(Snitch_Fashion_Sales_cleaned!$I978,Table3[Order_Date],Table3[Date_Key])</f>
        <v>129</v>
      </c>
    </row>
    <row r="979" spans="1:16" x14ac:dyDescent="0.3">
      <c r="A979" s="34">
        <v>1977</v>
      </c>
      <c r="B979" s="32" t="s">
        <v>1018</v>
      </c>
      <c r="C979" s="32" t="s">
        <v>31</v>
      </c>
      <c r="D979" s="33" t="s">
        <v>41</v>
      </c>
      <c r="E979" s="34">
        <v>2</v>
      </c>
      <c r="F979" s="35">
        <v>4126.29</v>
      </c>
      <c r="G979" s="36">
        <v>0.51</v>
      </c>
      <c r="H979" s="35">
        <f t="shared" si="32"/>
        <v>8252.58</v>
      </c>
      <c r="I979" s="37">
        <v>45647</v>
      </c>
      <c r="J979" s="33" t="s">
        <v>22</v>
      </c>
      <c r="K979" s="33" t="s">
        <v>23</v>
      </c>
      <c r="L979" s="38">
        <f t="shared" si="33"/>
        <v>4043.7642000000001</v>
      </c>
      <c r="M979" s="38">
        <v>-578.63</v>
      </c>
      <c r="N979" s="24">
        <f>_xlfn.XLOOKUP(Snitch_Fashion_Sales_cleaned!$J979,Table2[City],Table2[City_Key],"not found")</f>
        <v>3</v>
      </c>
      <c r="O979" s="23">
        <f>_xlfn.XLOOKUP(Snitch_Fashion_Sales_cleaned!$D979,Table4[Product_Name],Table4[Product_Key],"not found")</f>
        <v>9</v>
      </c>
      <c r="P979" s="32">
        <f>_xlfn.XLOOKUP(Snitch_Fashion_Sales_cleaned!$I979,Table3[Order_Date],Table3[Date_Key])</f>
        <v>5</v>
      </c>
    </row>
    <row r="980" spans="1:16" x14ac:dyDescent="0.3">
      <c r="A980" s="27">
        <v>1978</v>
      </c>
      <c r="B980" s="25" t="s">
        <v>1019</v>
      </c>
      <c r="C980" s="25" t="s">
        <v>31</v>
      </c>
      <c r="D980" s="26" t="s">
        <v>68</v>
      </c>
      <c r="E980" s="27">
        <v>4</v>
      </c>
      <c r="F980" s="28">
        <v>2765.79</v>
      </c>
      <c r="G980" s="29">
        <v>0.51</v>
      </c>
      <c r="H980" s="28">
        <f t="shared" si="32"/>
        <v>11063.16</v>
      </c>
      <c r="I980" s="30">
        <v>45522</v>
      </c>
      <c r="J980" s="26" t="s">
        <v>22</v>
      </c>
      <c r="K980" s="26" t="s">
        <v>23</v>
      </c>
      <c r="L980" s="31">
        <f t="shared" si="33"/>
        <v>5420.9484000000002</v>
      </c>
      <c r="M980" s="31">
        <v>-120.11</v>
      </c>
      <c r="N980" s="22">
        <f>_xlfn.XLOOKUP(Snitch_Fashion_Sales_cleaned!$J980,Table2[City],Table2[City_Key],"not found")</f>
        <v>3</v>
      </c>
      <c r="O980" s="21">
        <f>_xlfn.XLOOKUP(Snitch_Fashion_Sales_cleaned!$D980,Table4[Product_Name],Table4[Product_Key],"not found")</f>
        <v>15</v>
      </c>
      <c r="P980" s="25">
        <f>_xlfn.XLOOKUP(Snitch_Fashion_Sales_cleaned!$I980,Table3[Order_Date],Table3[Date_Key])</f>
        <v>404</v>
      </c>
    </row>
    <row r="981" spans="1:16" x14ac:dyDescent="0.3">
      <c r="A981" s="34">
        <v>1979</v>
      </c>
      <c r="B981" s="32" t="s">
        <v>1020</v>
      </c>
      <c r="C981" s="32" t="s">
        <v>36</v>
      </c>
      <c r="D981" s="33" t="s">
        <v>87</v>
      </c>
      <c r="E981" s="34">
        <v>4</v>
      </c>
      <c r="F981" s="35">
        <v>4375.7</v>
      </c>
      <c r="G981" s="36">
        <v>0.91</v>
      </c>
      <c r="H981" s="35">
        <f t="shared" si="32"/>
        <v>17502.8</v>
      </c>
      <c r="I981" s="37">
        <v>45821</v>
      </c>
      <c r="J981" s="33" t="s">
        <v>2540</v>
      </c>
      <c r="K981" s="33" t="s">
        <v>23</v>
      </c>
      <c r="L981" s="38">
        <f t="shared" si="33"/>
        <v>1575.2519999999995</v>
      </c>
      <c r="M981" s="38">
        <v>250.46</v>
      </c>
      <c r="N981" s="24">
        <f>_xlfn.XLOOKUP(Snitch_Fashion_Sales_cleaned!$J981,Table2[City],Table2[City_Key],"not found")</f>
        <v>4</v>
      </c>
      <c r="O981" s="23">
        <f>_xlfn.XLOOKUP(Snitch_Fashion_Sales_cleaned!$D981,Table4[Product_Name],Table4[Product_Key],"not found")</f>
        <v>20</v>
      </c>
      <c r="P981" s="32">
        <f>_xlfn.XLOOKUP(Snitch_Fashion_Sales_cleaned!$I981,Table3[Order_Date],Table3[Date_Key])</f>
        <v>273</v>
      </c>
    </row>
    <row r="982" spans="1:16" x14ac:dyDescent="0.3">
      <c r="A982" s="27">
        <v>1980</v>
      </c>
      <c r="B982" s="25" t="s">
        <v>1021</v>
      </c>
      <c r="C982" s="25" t="s">
        <v>28</v>
      </c>
      <c r="D982" s="26" t="s">
        <v>137</v>
      </c>
      <c r="E982" s="27">
        <v>1</v>
      </c>
      <c r="F982" s="28">
        <v>1426.73</v>
      </c>
      <c r="G982" s="29">
        <v>0.51</v>
      </c>
      <c r="H982" s="28">
        <f t="shared" si="32"/>
        <v>1426.73</v>
      </c>
      <c r="I982" s="30">
        <v>45207</v>
      </c>
      <c r="J982" s="26" t="s">
        <v>43</v>
      </c>
      <c r="K982" s="26" t="s">
        <v>16</v>
      </c>
      <c r="L982" s="31">
        <f t="shared" si="33"/>
        <v>699.09770000000003</v>
      </c>
      <c r="M982" s="31">
        <v>174.77442500000001</v>
      </c>
      <c r="N982" s="22">
        <f>_xlfn.XLOOKUP(Snitch_Fashion_Sales_cleaned!$J982,Table2[City],Table2[City_Key],"not found")</f>
        <v>6</v>
      </c>
      <c r="O982" s="21">
        <f>_xlfn.XLOOKUP(Snitch_Fashion_Sales_cleaned!$D982,Table4[Product_Name],Table4[Product_Key],"not found")</f>
        <v>24</v>
      </c>
      <c r="P982" s="25">
        <f>_xlfn.XLOOKUP(Snitch_Fashion_Sales_cleaned!$I982,Table3[Order_Date],Table3[Date_Key])</f>
        <v>311</v>
      </c>
    </row>
    <row r="983" spans="1:16" x14ac:dyDescent="0.3">
      <c r="A983" s="34">
        <v>1981</v>
      </c>
      <c r="B983" s="32" t="s">
        <v>1022</v>
      </c>
      <c r="C983" s="32" t="s">
        <v>36</v>
      </c>
      <c r="D983" s="33" t="s">
        <v>55</v>
      </c>
      <c r="E983" s="34">
        <v>3</v>
      </c>
      <c r="F983" s="35">
        <v>2731.6350000000002</v>
      </c>
      <c r="G983" s="36">
        <v>0.51</v>
      </c>
      <c r="H983" s="35">
        <f t="shared" si="32"/>
        <v>8194.9050000000007</v>
      </c>
      <c r="I983" s="37">
        <v>45647</v>
      </c>
      <c r="J983" s="33" t="s">
        <v>15</v>
      </c>
      <c r="K983" s="33" t="s">
        <v>23</v>
      </c>
      <c r="L983" s="38">
        <f t="shared" si="33"/>
        <v>4015.5034500000002</v>
      </c>
      <c r="M983" s="38">
        <v>1171.6500000000001</v>
      </c>
      <c r="N983" s="24">
        <f>_xlfn.XLOOKUP(Snitch_Fashion_Sales_cleaned!$J983,Table2[City],Table2[City_Key],"not found")</f>
        <v>1</v>
      </c>
      <c r="O983" s="23">
        <f>_xlfn.XLOOKUP(Snitch_Fashion_Sales_cleaned!$D983,Table4[Product_Name],Table4[Product_Key],"not found")</f>
        <v>12</v>
      </c>
      <c r="P983" s="32">
        <f>_xlfn.XLOOKUP(Snitch_Fashion_Sales_cleaned!$I983,Table3[Order_Date],Table3[Date_Key])</f>
        <v>5</v>
      </c>
    </row>
    <row r="984" spans="1:16" x14ac:dyDescent="0.3">
      <c r="A984" s="27">
        <v>1982</v>
      </c>
      <c r="B984" s="25" t="s">
        <v>1023</v>
      </c>
      <c r="C984" s="25" t="s">
        <v>36</v>
      </c>
      <c r="D984" s="26" t="s">
        <v>59</v>
      </c>
      <c r="E984" s="27">
        <v>3</v>
      </c>
      <c r="F984" s="28">
        <v>3701.72</v>
      </c>
      <c r="G984" s="29">
        <v>0.51</v>
      </c>
      <c r="H984" s="28">
        <f t="shared" si="32"/>
        <v>11105.16</v>
      </c>
      <c r="I984" s="30">
        <v>45647</v>
      </c>
      <c r="J984" s="26" t="s">
        <v>18</v>
      </c>
      <c r="K984" s="26" t="s">
        <v>23</v>
      </c>
      <c r="L984" s="31">
        <f t="shared" si="33"/>
        <v>5441.5284000000001</v>
      </c>
      <c r="M984" s="31">
        <v>1936.33</v>
      </c>
      <c r="N984" s="22">
        <f>_xlfn.XLOOKUP(Snitch_Fashion_Sales_cleaned!$J984,Table2[City],Table2[City_Key],"not found")</f>
        <v>2</v>
      </c>
      <c r="O984" s="21">
        <f>_xlfn.XLOOKUP(Snitch_Fashion_Sales_cleaned!$D984,Table4[Product_Name],Table4[Product_Key],"not found")</f>
        <v>13</v>
      </c>
      <c r="P984" s="25">
        <f>_xlfn.XLOOKUP(Snitch_Fashion_Sales_cleaned!$I984,Table3[Order_Date],Table3[Date_Key])</f>
        <v>5</v>
      </c>
    </row>
    <row r="985" spans="1:16" x14ac:dyDescent="0.3">
      <c r="A985" s="34">
        <v>1983</v>
      </c>
      <c r="B985" s="32" t="s">
        <v>1024</v>
      </c>
      <c r="C985" s="32" t="s">
        <v>20</v>
      </c>
      <c r="D985" s="33" t="s">
        <v>76</v>
      </c>
      <c r="E985" s="34">
        <v>3</v>
      </c>
      <c r="F985" s="35">
        <v>2348.2600000000002</v>
      </c>
      <c r="G985" s="36">
        <v>0.51</v>
      </c>
      <c r="H985" s="35">
        <f t="shared" si="32"/>
        <v>7044.7800000000007</v>
      </c>
      <c r="I985" s="37">
        <v>45756</v>
      </c>
      <c r="J985" s="33" t="s">
        <v>2540</v>
      </c>
      <c r="K985" s="33" t="s">
        <v>23</v>
      </c>
      <c r="L985" s="38">
        <f t="shared" si="33"/>
        <v>3451.9422000000004</v>
      </c>
      <c r="M985" s="38">
        <v>358.59</v>
      </c>
      <c r="N985" s="24">
        <f>_xlfn.XLOOKUP(Snitch_Fashion_Sales_cleaned!$J985,Table2[City],Table2[City_Key],"not found")</f>
        <v>4</v>
      </c>
      <c r="O985" s="23">
        <f>_xlfn.XLOOKUP(Snitch_Fashion_Sales_cleaned!$D985,Table4[Product_Name],Table4[Product_Key],"not found")</f>
        <v>16</v>
      </c>
      <c r="P985" s="32">
        <f>_xlfn.XLOOKUP(Snitch_Fashion_Sales_cleaned!$I985,Table3[Order_Date],Table3[Date_Key])</f>
        <v>405</v>
      </c>
    </row>
    <row r="986" spans="1:16" x14ac:dyDescent="0.3">
      <c r="A986" s="27">
        <v>1984</v>
      </c>
      <c r="B986" s="25" t="s">
        <v>1025</v>
      </c>
      <c r="C986" s="25" t="s">
        <v>36</v>
      </c>
      <c r="D986" s="26" t="s">
        <v>55</v>
      </c>
      <c r="E986" s="27">
        <v>3</v>
      </c>
      <c r="F986" s="28">
        <v>2731.6350000000002</v>
      </c>
      <c r="G986" s="29">
        <v>0.51</v>
      </c>
      <c r="H986" s="28">
        <f t="shared" si="32"/>
        <v>8194.9050000000007</v>
      </c>
      <c r="I986" s="30">
        <v>45555</v>
      </c>
      <c r="J986" s="26" t="s">
        <v>2540</v>
      </c>
      <c r="K986" s="26" t="s">
        <v>23</v>
      </c>
      <c r="L986" s="31">
        <f t="shared" si="33"/>
        <v>4015.5034500000002</v>
      </c>
      <c r="M986" s="31">
        <v>881.47</v>
      </c>
      <c r="N986" s="22">
        <f>_xlfn.XLOOKUP(Snitch_Fashion_Sales_cleaned!$J986,Table2[City],Table2[City_Key],"not found")</f>
        <v>4</v>
      </c>
      <c r="O986" s="21">
        <f>_xlfn.XLOOKUP(Snitch_Fashion_Sales_cleaned!$D986,Table4[Product_Name],Table4[Product_Key],"not found")</f>
        <v>12</v>
      </c>
      <c r="P986" s="25">
        <f>_xlfn.XLOOKUP(Snitch_Fashion_Sales_cleaned!$I986,Table3[Order_Date],Table3[Date_Key])</f>
        <v>53</v>
      </c>
    </row>
    <row r="987" spans="1:16" x14ac:dyDescent="0.3">
      <c r="A987" s="34">
        <v>1985</v>
      </c>
      <c r="B987" s="32" t="s">
        <v>1026</v>
      </c>
      <c r="C987" s="32" t="s">
        <v>25</v>
      </c>
      <c r="D987" s="33" t="s">
        <v>82</v>
      </c>
      <c r="E987" s="34">
        <v>3</v>
      </c>
      <c r="F987" s="35">
        <v>1668.18</v>
      </c>
      <c r="G987" s="36">
        <v>0.63</v>
      </c>
      <c r="H987" s="35">
        <f t="shared" si="32"/>
        <v>5004.54</v>
      </c>
      <c r="I987" s="37">
        <v>45638</v>
      </c>
      <c r="J987" s="33" t="s">
        <v>15</v>
      </c>
      <c r="K987" s="33" t="s">
        <v>23</v>
      </c>
      <c r="L987" s="38">
        <f t="shared" si="33"/>
        <v>1851.6797999999999</v>
      </c>
      <c r="M987" s="38">
        <v>-553.53</v>
      </c>
      <c r="N987" s="24">
        <f>_xlfn.XLOOKUP(Snitch_Fashion_Sales_cleaned!$J987,Table2[City],Table2[City_Key],"not found")</f>
        <v>1</v>
      </c>
      <c r="O987" s="23">
        <f>_xlfn.XLOOKUP(Snitch_Fashion_Sales_cleaned!$D987,Table4[Product_Name],Table4[Product_Key],"not found")</f>
        <v>18</v>
      </c>
      <c r="P987" s="32">
        <f>_xlfn.XLOOKUP(Snitch_Fashion_Sales_cleaned!$I987,Table3[Order_Date],Table3[Date_Key])</f>
        <v>192</v>
      </c>
    </row>
    <row r="988" spans="1:16" x14ac:dyDescent="0.3">
      <c r="A988" s="27">
        <v>1986</v>
      </c>
      <c r="B988" s="25" t="s">
        <v>1027</v>
      </c>
      <c r="C988" s="25" t="s">
        <v>36</v>
      </c>
      <c r="D988" s="26" t="s">
        <v>37</v>
      </c>
      <c r="E988" s="27">
        <v>4</v>
      </c>
      <c r="F988" s="28">
        <v>2975.64</v>
      </c>
      <c r="G988" s="29">
        <v>0.06</v>
      </c>
      <c r="H988" s="28">
        <f t="shared" si="32"/>
        <v>11902.56</v>
      </c>
      <c r="I988" s="30">
        <v>45672</v>
      </c>
      <c r="J988" s="26" t="s">
        <v>52</v>
      </c>
      <c r="K988" s="26" t="s">
        <v>23</v>
      </c>
      <c r="L988" s="31">
        <f t="shared" si="33"/>
        <v>11188.406399999998</v>
      </c>
      <c r="M988" s="31">
        <v>2806.51</v>
      </c>
      <c r="N988" s="22">
        <f>_xlfn.XLOOKUP(Snitch_Fashion_Sales_cleaned!$J988,Table2[City],Table2[City_Key],"not found")</f>
        <v>5</v>
      </c>
      <c r="O988" s="21">
        <f>_xlfn.XLOOKUP(Snitch_Fashion_Sales_cleaned!$D988,Table4[Product_Name],Table4[Product_Key],"not found")</f>
        <v>7</v>
      </c>
      <c r="P988" s="25">
        <f>_xlfn.XLOOKUP(Snitch_Fashion_Sales_cleaned!$I988,Table3[Order_Date],Table3[Date_Key])</f>
        <v>48</v>
      </c>
    </row>
    <row r="989" spans="1:16" x14ac:dyDescent="0.3">
      <c r="A989" s="34">
        <v>1987</v>
      </c>
      <c r="B989" s="32" t="s">
        <v>1028</v>
      </c>
      <c r="C989" s="32" t="s">
        <v>28</v>
      </c>
      <c r="D989" s="33" t="s">
        <v>29</v>
      </c>
      <c r="E989" s="34">
        <v>3</v>
      </c>
      <c r="F989" s="35">
        <v>2515.415</v>
      </c>
      <c r="G989" s="36">
        <v>0.8</v>
      </c>
      <c r="H989" s="35">
        <f t="shared" si="32"/>
        <v>7546.2449999999999</v>
      </c>
      <c r="I989" s="37">
        <v>45667</v>
      </c>
      <c r="J989" s="33" t="s">
        <v>52</v>
      </c>
      <c r="K989" s="33" t="s">
        <v>23</v>
      </c>
      <c r="L989" s="38">
        <f t="shared" si="33"/>
        <v>1509.2489999999996</v>
      </c>
      <c r="M989" s="38">
        <v>377.31224999999989</v>
      </c>
      <c r="N989" s="24">
        <f>_xlfn.XLOOKUP(Snitch_Fashion_Sales_cleaned!$J989,Table2[City],Table2[City_Key],"not found")</f>
        <v>5</v>
      </c>
      <c r="O989" s="23">
        <f>_xlfn.XLOOKUP(Snitch_Fashion_Sales_cleaned!$D989,Table4[Product_Name],Table4[Product_Key],"not found")</f>
        <v>4</v>
      </c>
      <c r="P989" s="32">
        <f>_xlfn.XLOOKUP(Snitch_Fashion_Sales_cleaned!$I989,Table3[Order_Date],Table3[Date_Key])</f>
        <v>123</v>
      </c>
    </row>
    <row r="990" spans="1:16" x14ac:dyDescent="0.3">
      <c r="A990" s="27">
        <v>1988</v>
      </c>
      <c r="B990" s="25" t="s">
        <v>1029</v>
      </c>
      <c r="C990" s="25" t="s">
        <v>25</v>
      </c>
      <c r="D990" s="26" t="s">
        <v>82</v>
      </c>
      <c r="E990" s="27">
        <v>3</v>
      </c>
      <c r="F990" s="28">
        <v>2385.5749999999998</v>
      </c>
      <c r="G990" s="29">
        <v>0.51</v>
      </c>
      <c r="H990" s="28">
        <f t="shared" si="32"/>
        <v>7156.7249999999995</v>
      </c>
      <c r="I990" s="30">
        <v>45741</v>
      </c>
      <c r="J990" s="26" t="s">
        <v>2540</v>
      </c>
      <c r="K990" s="26" t="s">
        <v>23</v>
      </c>
      <c r="L990" s="31">
        <f t="shared" si="33"/>
        <v>3506.7952499999997</v>
      </c>
      <c r="M990" s="31">
        <v>-298.07</v>
      </c>
      <c r="N990" s="22">
        <f>_xlfn.XLOOKUP(Snitch_Fashion_Sales_cleaned!$J990,Table2[City],Table2[City_Key],"not found")</f>
        <v>4</v>
      </c>
      <c r="O990" s="21">
        <f>_xlfn.XLOOKUP(Snitch_Fashion_Sales_cleaned!$D990,Table4[Product_Name],Table4[Product_Key],"not found")</f>
        <v>18</v>
      </c>
      <c r="P990" s="25">
        <f>_xlfn.XLOOKUP(Snitch_Fashion_Sales_cleaned!$I990,Table3[Order_Date],Table3[Date_Key])</f>
        <v>157</v>
      </c>
    </row>
    <row r="991" spans="1:16" x14ac:dyDescent="0.3">
      <c r="A991" s="34">
        <v>1989</v>
      </c>
      <c r="B991" s="32" t="s">
        <v>1030</v>
      </c>
      <c r="C991" s="32" t="s">
        <v>31</v>
      </c>
      <c r="D991" s="33" t="s">
        <v>32</v>
      </c>
      <c r="E991" s="34">
        <v>4</v>
      </c>
      <c r="F991" s="35">
        <v>2001.5500000000002</v>
      </c>
      <c r="G991" s="36">
        <v>0.51</v>
      </c>
      <c r="H991" s="35">
        <f t="shared" si="32"/>
        <v>8006.2000000000007</v>
      </c>
      <c r="I991" s="37">
        <v>45740</v>
      </c>
      <c r="J991" s="33" t="s">
        <v>18</v>
      </c>
      <c r="K991" s="33" t="s">
        <v>23</v>
      </c>
      <c r="L991" s="38">
        <f t="shared" si="33"/>
        <v>3923.0380000000005</v>
      </c>
      <c r="M991" s="38">
        <v>2646.08</v>
      </c>
      <c r="N991" s="24">
        <f>_xlfn.XLOOKUP(Snitch_Fashion_Sales_cleaned!$J991,Table2[City],Table2[City_Key],"not found")</f>
        <v>2</v>
      </c>
      <c r="O991" s="23">
        <f>_xlfn.XLOOKUP(Snitch_Fashion_Sales_cleaned!$D991,Table4[Product_Name],Table4[Product_Key],"not found")</f>
        <v>5</v>
      </c>
      <c r="P991" s="32">
        <f>_xlfn.XLOOKUP(Snitch_Fashion_Sales_cleaned!$I991,Table3[Order_Date],Table3[Date_Key])</f>
        <v>160</v>
      </c>
    </row>
    <row r="992" spans="1:16" x14ac:dyDescent="0.3">
      <c r="A992" s="27">
        <v>1990</v>
      </c>
      <c r="B992" s="25" t="s">
        <v>1031</v>
      </c>
      <c r="C992" s="25" t="s">
        <v>13</v>
      </c>
      <c r="D992" s="26" t="s">
        <v>34</v>
      </c>
      <c r="E992" s="27">
        <v>3</v>
      </c>
      <c r="F992" s="28">
        <v>1203.45</v>
      </c>
      <c r="G992" s="29">
        <v>0.51</v>
      </c>
      <c r="H992" s="28">
        <f t="shared" si="32"/>
        <v>3610.3500000000004</v>
      </c>
      <c r="I992" s="30">
        <v>45774</v>
      </c>
      <c r="J992" s="26" t="s">
        <v>15</v>
      </c>
      <c r="K992" s="26" t="s">
        <v>16</v>
      </c>
      <c r="L992" s="31">
        <f t="shared" si="33"/>
        <v>1769.0715000000002</v>
      </c>
      <c r="M992" s="31">
        <v>1184.3599999999999</v>
      </c>
      <c r="N992" s="22">
        <f>_xlfn.XLOOKUP(Snitch_Fashion_Sales_cleaned!$J992,Table2[City],Table2[City_Key],"not found")</f>
        <v>1</v>
      </c>
      <c r="O992" s="21">
        <f>_xlfn.XLOOKUP(Snitch_Fashion_Sales_cleaned!$D992,Table4[Product_Name],Table4[Product_Key],"not found")</f>
        <v>6</v>
      </c>
      <c r="P992" s="25">
        <f>_xlfn.XLOOKUP(Snitch_Fashion_Sales_cleaned!$I992,Table3[Order_Date],Table3[Date_Key])</f>
        <v>267</v>
      </c>
    </row>
    <row r="993" spans="1:16" x14ac:dyDescent="0.3">
      <c r="A993" s="34">
        <v>1991</v>
      </c>
      <c r="B993" s="32" t="s">
        <v>1032</v>
      </c>
      <c r="C993" s="32" t="s">
        <v>20</v>
      </c>
      <c r="D993" s="33" t="s">
        <v>118</v>
      </c>
      <c r="E993" s="34">
        <v>3.5</v>
      </c>
      <c r="F993" s="35">
        <v>2808.46</v>
      </c>
      <c r="G993" s="36">
        <v>0.67</v>
      </c>
      <c r="H993" s="35">
        <f t="shared" si="32"/>
        <v>9829.61</v>
      </c>
      <c r="I993" s="37">
        <v>45647</v>
      </c>
      <c r="J993" s="33" t="s">
        <v>22</v>
      </c>
      <c r="K993" s="33" t="s">
        <v>16</v>
      </c>
      <c r="L993" s="38">
        <f t="shared" si="33"/>
        <v>3243.7712999999999</v>
      </c>
      <c r="M993" s="38">
        <v>1592.37</v>
      </c>
      <c r="N993" s="24">
        <f>_xlfn.XLOOKUP(Snitch_Fashion_Sales_cleaned!$J993,Table2[City],Table2[City_Key],"not found")</f>
        <v>3</v>
      </c>
      <c r="O993" s="23">
        <f>_xlfn.XLOOKUP(Snitch_Fashion_Sales_cleaned!$D993,Table4[Product_Name],Table4[Product_Key],"not found")</f>
        <v>23</v>
      </c>
      <c r="P993" s="32">
        <f>_xlfn.XLOOKUP(Snitch_Fashion_Sales_cleaned!$I993,Table3[Order_Date],Table3[Date_Key])</f>
        <v>5</v>
      </c>
    </row>
    <row r="994" spans="1:16" x14ac:dyDescent="0.3">
      <c r="A994" s="27">
        <v>1992</v>
      </c>
      <c r="B994" s="25" t="s">
        <v>1033</v>
      </c>
      <c r="C994" s="25" t="s">
        <v>31</v>
      </c>
      <c r="D994" s="26" t="s">
        <v>68</v>
      </c>
      <c r="E994" s="27">
        <v>4</v>
      </c>
      <c r="F994" s="28">
        <v>2765.79</v>
      </c>
      <c r="G994" s="29">
        <v>0.72</v>
      </c>
      <c r="H994" s="28">
        <f t="shared" si="32"/>
        <v>11063.16</v>
      </c>
      <c r="I994" s="30">
        <v>45647</v>
      </c>
      <c r="J994" s="26" t="s">
        <v>2540</v>
      </c>
      <c r="K994" s="26" t="s">
        <v>23</v>
      </c>
      <c r="L994" s="31">
        <f t="shared" si="33"/>
        <v>3097.6848000000005</v>
      </c>
      <c r="M994" s="31">
        <v>2416.37</v>
      </c>
      <c r="N994" s="22">
        <f>_xlfn.XLOOKUP(Snitch_Fashion_Sales_cleaned!$J994,Table2[City],Table2[City_Key],"not found")</f>
        <v>4</v>
      </c>
      <c r="O994" s="21">
        <f>_xlfn.XLOOKUP(Snitch_Fashion_Sales_cleaned!$D994,Table4[Product_Name],Table4[Product_Key],"not found")</f>
        <v>15</v>
      </c>
      <c r="P994" s="25">
        <f>_xlfn.XLOOKUP(Snitch_Fashion_Sales_cleaned!$I994,Table3[Order_Date],Table3[Date_Key])</f>
        <v>5</v>
      </c>
    </row>
    <row r="995" spans="1:16" x14ac:dyDescent="0.3">
      <c r="A995" s="34">
        <v>1993</v>
      </c>
      <c r="B995" s="32" t="s">
        <v>1034</v>
      </c>
      <c r="C995" s="32" t="s">
        <v>25</v>
      </c>
      <c r="D995" s="33" t="s">
        <v>82</v>
      </c>
      <c r="E995" s="34">
        <v>3</v>
      </c>
      <c r="F995" s="35">
        <v>2385.5749999999998</v>
      </c>
      <c r="G995" s="36">
        <v>0.51</v>
      </c>
      <c r="H995" s="35">
        <f t="shared" si="32"/>
        <v>7156.7249999999995</v>
      </c>
      <c r="I995" s="37">
        <v>45213</v>
      </c>
      <c r="J995" s="33" t="s">
        <v>43</v>
      </c>
      <c r="K995" s="33" t="s">
        <v>16</v>
      </c>
      <c r="L995" s="38">
        <f t="shared" si="33"/>
        <v>3506.7952499999997</v>
      </c>
      <c r="M995" s="38">
        <v>937.22</v>
      </c>
      <c r="N995" s="24">
        <f>_xlfn.XLOOKUP(Snitch_Fashion_Sales_cleaned!$J995,Table2[City],Table2[City_Key],"not found")</f>
        <v>6</v>
      </c>
      <c r="O995" s="23">
        <f>_xlfn.XLOOKUP(Snitch_Fashion_Sales_cleaned!$D995,Table4[Product_Name],Table4[Product_Key],"not found")</f>
        <v>18</v>
      </c>
      <c r="P995" s="32">
        <f>_xlfn.XLOOKUP(Snitch_Fashion_Sales_cleaned!$I995,Table3[Order_Date],Table3[Date_Key])</f>
        <v>406</v>
      </c>
    </row>
    <row r="996" spans="1:16" x14ac:dyDescent="0.3">
      <c r="A996" s="27">
        <v>1994</v>
      </c>
      <c r="B996" s="25" t="s">
        <v>1035</v>
      </c>
      <c r="C996" s="25" t="s">
        <v>13</v>
      </c>
      <c r="D996" s="26" t="s">
        <v>98</v>
      </c>
      <c r="E996" s="27">
        <v>5</v>
      </c>
      <c r="F996" s="28">
        <v>1010.48</v>
      </c>
      <c r="G996" s="29">
        <v>0.51</v>
      </c>
      <c r="H996" s="28">
        <f t="shared" si="32"/>
        <v>5052.3999999999996</v>
      </c>
      <c r="I996" s="30">
        <v>45499</v>
      </c>
      <c r="J996" s="26" t="s">
        <v>52</v>
      </c>
      <c r="K996" s="26" t="s">
        <v>16</v>
      </c>
      <c r="L996" s="31">
        <f t="shared" si="33"/>
        <v>2475.6759999999999</v>
      </c>
      <c r="M996" s="31">
        <v>2321.5300000000002</v>
      </c>
      <c r="N996" s="22">
        <f>_xlfn.XLOOKUP(Snitch_Fashion_Sales_cleaned!$J996,Table2[City],Table2[City_Key],"not found")</f>
        <v>5</v>
      </c>
      <c r="O996" s="21">
        <f>_xlfn.XLOOKUP(Snitch_Fashion_Sales_cleaned!$D996,Table4[Product_Name],Table4[Product_Key],"not found")</f>
        <v>21</v>
      </c>
      <c r="P996" s="25">
        <f>_xlfn.XLOOKUP(Snitch_Fashion_Sales_cleaned!$I996,Table3[Order_Date],Table3[Date_Key])</f>
        <v>176</v>
      </c>
    </row>
    <row r="997" spans="1:16" x14ac:dyDescent="0.3">
      <c r="A997" s="34">
        <v>1995</v>
      </c>
      <c r="B997" s="32" t="s">
        <v>1036</v>
      </c>
      <c r="C997" s="32" t="s">
        <v>20</v>
      </c>
      <c r="D997" s="33" t="s">
        <v>118</v>
      </c>
      <c r="E997" s="34">
        <v>4</v>
      </c>
      <c r="F997" s="35">
        <v>2752.99</v>
      </c>
      <c r="G997" s="36">
        <v>0.51</v>
      </c>
      <c r="H997" s="35">
        <f t="shared" si="32"/>
        <v>11011.96</v>
      </c>
      <c r="I997" s="37">
        <v>45721</v>
      </c>
      <c r="J997" s="33" t="s">
        <v>15</v>
      </c>
      <c r="K997" s="33" t="s">
        <v>16</v>
      </c>
      <c r="L997" s="38">
        <f t="shared" si="33"/>
        <v>5395.8603999999996</v>
      </c>
      <c r="M997" s="38">
        <v>1815.94</v>
      </c>
      <c r="N997" s="24">
        <f>_xlfn.XLOOKUP(Snitch_Fashion_Sales_cleaned!$J997,Table2[City],Table2[City_Key],"not found")</f>
        <v>1</v>
      </c>
      <c r="O997" s="23">
        <f>_xlfn.XLOOKUP(Snitch_Fashion_Sales_cleaned!$D997,Table4[Product_Name],Table4[Product_Key],"not found")</f>
        <v>23</v>
      </c>
      <c r="P997" s="32">
        <f>_xlfn.XLOOKUP(Snitch_Fashion_Sales_cleaned!$I997,Table3[Order_Date],Table3[Date_Key])</f>
        <v>307</v>
      </c>
    </row>
    <row r="998" spans="1:16" x14ac:dyDescent="0.3">
      <c r="A998" s="27">
        <v>1996</v>
      </c>
      <c r="B998" s="25" t="s">
        <v>1037</v>
      </c>
      <c r="C998" s="25" t="s">
        <v>28</v>
      </c>
      <c r="D998" s="26" t="s">
        <v>116</v>
      </c>
      <c r="E998" s="27">
        <v>4</v>
      </c>
      <c r="F998" s="28">
        <v>2785.79</v>
      </c>
      <c r="G998" s="29">
        <v>0.51</v>
      </c>
      <c r="H998" s="28">
        <f t="shared" si="32"/>
        <v>11143.16</v>
      </c>
      <c r="I998" s="30">
        <v>45777</v>
      </c>
      <c r="J998" s="26" t="s">
        <v>22</v>
      </c>
      <c r="K998" s="26" t="s">
        <v>23</v>
      </c>
      <c r="L998" s="31">
        <f t="shared" si="33"/>
        <v>5460.1484</v>
      </c>
      <c r="M998" s="31">
        <v>1145.05</v>
      </c>
      <c r="N998" s="22">
        <f>_xlfn.XLOOKUP(Snitch_Fashion_Sales_cleaned!$J998,Table2[City],Table2[City_Key],"not found")</f>
        <v>3</v>
      </c>
      <c r="O998" s="21">
        <f>_xlfn.XLOOKUP(Snitch_Fashion_Sales_cleaned!$D998,Table4[Product_Name],Table4[Product_Key],"not found")</f>
        <v>22</v>
      </c>
      <c r="P998" s="25">
        <f>_xlfn.XLOOKUP(Snitch_Fashion_Sales_cleaned!$I998,Table3[Order_Date],Table3[Date_Key])</f>
        <v>282</v>
      </c>
    </row>
    <row r="999" spans="1:16" x14ac:dyDescent="0.3">
      <c r="A999" s="34">
        <v>1997</v>
      </c>
      <c r="B999" s="32" t="s">
        <v>1038</v>
      </c>
      <c r="C999" s="32" t="s">
        <v>20</v>
      </c>
      <c r="D999" s="33" t="s">
        <v>21</v>
      </c>
      <c r="E999" s="34">
        <v>4</v>
      </c>
      <c r="F999" s="35">
        <v>2579.8000000000002</v>
      </c>
      <c r="G999" s="36">
        <v>0.53</v>
      </c>
      <c r="H999" s="35">
        <f t="shared" si="32"/>
        <v>10319.200000000001</v>
      </c>
      <c r="I999" s="37">
        <v>45726</v>
      </c>
      <c r="J999" s="33" t="s">
        <v>15</v>
      </c>
      <c r="K999" s="33" t="s">
        <v>16</v>
      </c>
      <c r="L999" s="38">
        <f t="shared" si="33"/>
        <v>4850.0240000000003</v>
      </c>
      <c r="M999" s="38">
        <v>141.76</v>
      </c>
      <c r="N999" s="24">
        <f>_xlfn.XLOOKUP(Snitch_Fashion_Sales_cleaned!$J999,Table2[City],Table2[City_Key],"not found")</f>
        <v>1</v>
      </c>
      <c r="O999" s="23">
        <f>_xlfn.XLOOKUP(Snitch_Fashion_Sales_cleaned!$D999,Table4[Product_Name],Table4[Product_Key],"not found")</f>
        <v>2</v>
      </c>
      <c r="P999" s="32">
        <f>_xlfn.XLOOKUP(Snitch_Fashion_Sales_cleaned!$I999,Table3[Order_Date],Table3[Date_Key])</f>
        <v>237</v>
      </c>
    </row>
    <row r="1000" spans="1:16" x14ac:dyDescent="0.3">
      <c r="A1000" s="27">
        <v>1998</v>
      </c>
      <c r="B1000" s="25" t="s">
        <v>1039</v>
      </c>
      <c r="C1000" s="25" t="s">
        <v>31</v>
      </c>
      <c r="D1000" s="26" t="s">
        <v>68</v>
      </c>
      <c r="E1000" s="27">
        <v>5</v>
      </c>
      <c r="F1000" s="28">
        <v>2567.59</v>
      </c>
      <c r="G1000" s="29">
        <v>0.51</v>
      </c>
      <c r="H1000" s="28">
        <f t="shared" si="32"/>
        <v>12837.95</v>
      </c>
      <c r="I1000" s="30">
        <v>45203</v>
      </c>
      <c r="J1000" s="26" t="s">
        <v>15</v>
      </c>
      <c r="K1000" s="26" t="s">
        <v>16</v>
      </c>
      <c r="L1000" s="31">
        <f t="shared" si="33"/>
        <v>6290.5955000000004</v>
      </c>
      <c r="M1000" s="31">
        <v>-702.7</v>
      </c>
      <c r="N1000" s="22">
        <f>_xlfn.XLOOKUP(Snitch_Fashion_Sales_cleaned!$J1000,Table2[City],Table2[City_Key],"not found")</f>
        <v>1</v>
      </c>
      <c r="O1000" s="21">
        <f>_xlfn.XLOOKUP(Snitch_Fashion_Sales_cleaned!$D1000,Table4[Product_Name],Table4[Product_Key],"not found")</f>
        <v>15</v>
      </c>
      <c r="P1000" s="25">
        <f>_xlfn.XLOOKUP(Snitch_Fashion_Sales_cleaned!$I1000,Table3[Order_Date],Table3[Date_Key])</f>
        <v>407</v>
      </c>
    </row>
    <row r="1001" spans="1:16" x14ac:dyDescent="0.3">
      <c r="A1001" s="34">
        <v>1999</v>
      </c>
      <c r="B1001" s="32" t="s">
        <v>1040</v>
      </c>
      <c r="C1001" s="32" t="s">
        <v>25</v>
      </c>
      <c r="D1001" s="33" t="s">
        <v>62</v>
      </c>
      <c r="E1001" s="34">
        <v>4</v>
      </c>
      <c r="F1001" s="35">
        <v>2538.0450000000001</v>
      </c>
      <c r="G1001" s="36">
        <v>0.81</v>
      </c>
      <c r="H1001" s="35">
        <f t="shared" si="32"/>
        <v>10152.18</v>
      </c>
      <c r="I1001" s="37">
        <v>45773</v>
      </c>
      <c r="J1001" s="33" t="s">
        <v>52</v>
      </c>
      <c r="K1001" s="33" t="s">
        <v>16</v>
      </c>
      <c r="L1001" s="38">
        <f t="shared" si="33"/>
        <v>1928.9141999999995</v>
      </c>
      <c r="M1001" s="38">
        <v>938.71</v>
      </c>
      <c r="N1001" s="24">
        <f>_xlfn.XLOOKUP(Snitch_Fashion_Sales_cleaned!$J1001,Table2[City],Table2[City_Key],"not found")</f>
        <v>5</v>
      </c>
      <c r="O1001" s="23">
        <f>_xlfn.XLOOKUP(Snitch_Fashion_Sales_cleaned!$D1001,Table4[Product_Name],Table4[Product_Key],"not found")</f>
        <v>14</v>
      </c>
      <c r="P1001" s="32">
        <f>_xlfn.XLOOKUP(Snitch_Fashion_Sales_cleaned!$I1001,Table3[Order_Date],Table3[Date_Key])</f>
        <v>36</v>
      </c>
    </row>
    <row r="1002" spans="1:16" x14ac:dyDescent="0.3">
      <c r="A1002" s="27">
        <v>2000</v>
      </c>
      <c r="B1002" s="25" t="s">
        <v>1041</v>
      </c>
      <c r="C1002" s="25" t="s">
        <v>20</v>
      </c>
      <c r="D1002" s="26" t="s">
        <v>118</v>
      </c>
      <c r="E1002" s="27">
        <v>3.5</v>
      </c>
      <c r="F1002" s="28">
        <v>1966.21</v>
      </c>
      <c r="G1002" s="29">
        <v>0.51</v>
      </c>
      <c r="H1002" s="28">
        <f t="shared" si="32"/>
        <v>6881.7350000000006</v>
      </c>
      <c r="I1002" s="30">
        <v>45520</v>
      </c>
      <c r="J1002" s="26" t="s">
        <v>2540</v>
      </c>
      <c r="K1002" s="26" t="s">
        <v>23</v>
      </c>
      <c r="L1002" s="31">
        <f t="shared" si="33"/>
        <v>3372.05015</v>
      </c>
      <c r="M1002" s="31">
        <v>2035.1</v>
      </c>
      <c r="N1002" s="22">
        <f>_xlfn.XLOOKUP(Snitch_Fashion_Sales_cleaned!$J1002,Table2[City],Table2[City_Key],"not found")</f>
        <v>4</v>
      </c>
      <c r="O1002" s="21">
        <f>_xlfn.XLOOKUP(Snitch_Fashion_Sales_cleaned!$D1002,Table4[Product_Name],Table4[Product_Key],"not found")</f>
        <v>23</v>
      </c>
      <c r="P1002" s="25">
        <f>_xlfn.XLOOKUP(Snitch_Fashion_Sales_cleaned!$I1002,Table3[Order_Date],Table3[Date_Key])</f>
        <v>321</v>
      </c>
    </row>
    <row r="1003" spans="1:16" x14ac:dyDescent="0.3">
      <c r="A1003" s="34">
        <v>2001</v>
      </c>
      <c r="B1003" s="32" t="s">
        <v>1042</v>
      </c>
      <c r="C1003" s="32" t="s">
        <v>36</v>
      </c>
      <c r="D1003" s="33" t="s">
        <v>59</v>
      </c>
      <c r="E1003" s="34">
        <v>1</v>
      </c>
      <c r="F1003" s="35">
        <v>2765.26</v>
      </c>
      <c r="G1003" s="36">
        <v>0.51</v>
      </c>
      <c r="H1003" s="35">
        <f t="shared" si="32"/>
        <v>2765.26</v>
      </c>
      <c r="I1003" s="37">
        <v>45647</v>
      </c>
      <c r="J1003" s="33" t="s">
        <v>22</v>
      </c>
      <c r="K1003" s="33" t="s">
        <v>16</v>
      </c>
      <c r="L1003" s="38">
        <f t="shared" si="33"/>
        <v>1354.9774</v>
      </c>
      <c r="M1003" s="38">
        <v>338.74435</v>
      </c>
      <c r="N1003" s="24">
        <f>_xlfn.XLOOKUP(Snitch_Fashion_Sales_cleaned!$J1003,Table2[City],Table2[City_Key],"not found")</f>
        <v>3</v>
      </c>
      <c r="O1003" s="23">
        <f>_xlfn.XLOOKUP(Snitch_Fashion_Sales_cleaned!$D1003,Table4[Product_Name],Table4[Product_Key],"not found")</f>
        <v>13</v>
      </c>
      <c r="P1003" s="32">
        <f>_xlfn.XLOOKUP(Snitch_Fashion_Sales_cleaned!$I1003,Table3[Order_Date],Table3[Date_Key])</f>
        <v>5</v>
      </c>
    </row>
    <row r="1004" spans="1:16" x14ac:dyDescent="0.3">
      <c r="A1004" s="27">
        <v>2002</v>
      </c>
      <c r="B1004" s="25" t="s">
        <v>1043</v>
      </c>
      <c r="C1004" s="25" t="s">
        <v>31</v>
      </c>
      <c r="D1004" s="26" t="s">
        <v>32</v>
      </c>
      <c r="E1004" s="27">
        <v>4</v>
      </c>
      <c r="F1004" s="28">
        <v>1335.29</v>
      </c>
      <c r="G1004" s="29">
        <v>0.51</v>
      </c>
      <c r="H1004" s="28">
        <f t="shared" si="32"/>
        <v>5341.16</v>
      </c>
      <c r="I1004" s="30">
        <v>45623</v>
      </c>
      <c r="J1004" s="26" t="s">
        <v>18</v>
      </c>
      <c r="K1004" s="26" t="s">
        <v>16</v>
      </c>
      <c r="L1004" s="31">
        <f t="shared" si="33"/>
        <v>2617.1684</v>
      </c>
      <c r="M1004" s="31">
        <v>1372.9</v>
      </c>
      <c r="N1004" s="22">
        <f>_xlfn.XLOOKUP(Snitch_Fashion_Sales_cleaned!$J1004,Table2[City],Table2[City_Key],"not found")</f>
        <v>2</v>
      </c>
      <c r="O1004" s="21">
        <f>_xlfn.XLOOKUP(Snitch_Fashion_Sales_cleaned!$D1004,Table4[Product_Name],Table4[Product_Key],"not found")</f>
        <v>5</v>
      </c>
      <c r="P1004" s="25">
        <f>_xlfn.XLOOKUP(Snitch_Fashion_Sales_cleaned!$I1004,Table3[Order_Date],Table3[Date_Key])</f>
        <v>373</v>
      </c>
    </row>
    <row r="1005" spans="1:16" x14ac:dyDescent="0.3">
      <c r="A1005" s="34">
        <v>2003</v>
      </c>
      <c r="B1005" s="32" t="s">
        <v>1044</v>
      </c>
      <c r="C1005" s="32" t="s">
        <v>20</v>
      </c>
      <c r="D1005" s="33" t="s">
        <v>84</v>
      </c>
      <c r="E1005" s="34">
        <v>3</v>
      </c>
      <c r="F1005" s="35">
        <v>2910.84</v>
      </c>
      <c r="G1005" s="36">
        <v>0.51</v>
      </c>
      <c r="H1005" s="35">
        <f t="shared" si="32"/>
        <v>8732.52</v>
      </c>
      <c r="I1005" s="37">
        <v>45577</v>
      </c>
      <c r="J1005" s="33" t="s">
        <v>18</v>
      </c>
      <c r="K1005" s="33" t="s">
        <v>16</v>
      </c>
      <c r="L1005" s="38">
        <f t="shared" si="33"/>
        <v>4278.9348</v>
      </c>
      <c r="M1005" s="38">
        <v>-304.63</v>
      </c>
      <c r="N1005" s="24">
        <f>_xlfn.XLOOKUP(Snitch_Fashion_Sales_cleaned!$J1005,Table2[City],Table2[City_Key],"not found")</f>
        <v>2</v>
      </c>
      <c r="O1005" s="23">
        <f>_xlfn.XLOOKUP(Snitch_Fashion_Sales_cleaned!$D1005,Table4[Product_Name],Table4[Product_Key],"not found")</f>
        <v>19</v>
      </c>
      <c r="P1005" s="32">
        <f>_xlfn.XLOOKUP(Snitch_Fashion_Sales_cleaned!$I1005,Table3[Order_Date],Table3[Date_Key])</f>
        <v>254</v>
      </c>
    </row>
    <row r="1006" spans="1:16" x14ac:dyDescent="0.3">
      <c r="A1006" s="27">
        <v>2004</v>
      </c>
      <c r="B1006" s="25" t="s">
        <v>1045</v>
      </c>
      <c r="C1006" s="25" t="s">
        <v>20</v>
      </c>
      <c r="D1006" s="26" t="s">
        <v>76</v>
      </c>
      <c r="E1006" s="27">
        <v>3</v>
      </c>
      <c r="F1006" s="28">
        <v>2229.4899999999998</v>
      </c>
      <c r="G1006" s="29">
        <v>0.51</v>
      </c>
      <c r="H1006" s="28">
        <f t="shared" si="32"/>
        <v>6688.4699999999993</v>
      </c>
      <c r="I1006" s="30">
        <v>45605</v>
      </c>
      <c r="J1006" s="26" t="s">
        <v>22</v>
      </c>
      <c r="K1006" s="26" t="s">
        <v>23</v>
      </c>
      <c r="L1006" s="31">
        <f t="shared" si="33"/>
        <v>3277.3502999999996</v>
      </c>
      <c r="M1006" s="31">
        <v>1452.85</v>
      </c>
      <c r="N1006" s="22">
        <f>_xlfn.XLOOKUP(Snitch_Fashion_Sales_cleaned!$J1006,Table2[City],Table2[City_Key],"not found")</f>
        <v>3</v>
      </c>
      <c r="O1006" s="21">
        <f>_xlfn.XLOOKUP(Snitch_Fashion_Sales_cleaned!$D1006,Table4[Product_Name],Table4[Product_Key],"not found")</f>
        <v>16</v>
      </c>
      <c r="P1006" s="25">
        <f>_xlfn.XLOOKUP(Snitch_Fashion_Sales_cleaned!$I1006,Table3[Order_Date],Table3[Date_Key])</f>
        <v>60</v>
      </c>
    </row>
    <row r="1007" spans="1:16" x14ac:dyDescent="0.3">
      <c r="A1007" s="34">
        <v>2005</v>
      </c>
      <c r="B1007" s="32" t="s">
        <v>1046</v>
      </c>
      <c r="C1007" s="32" t="s">
        <v>13</v>
      </c>
      <c r="D1007" s="33" t="s">
        <v>46</v>
      </c>
      <c r="E1007" s="34">
        <v>4</v>
      </c>
      <c r="F1007" s="35">
        <v>2891.64</v>
      </c>
      <c r="G1007" s="36">
        <v>0.51</v>
      </c>
      <c r="H1007" s="35">
        <f t="shared" si="32"/>
        <v>11566.56</v>
      </c>
      <c r="I1007" s="37">
        <v>45559</v>
      </c>
      <c r="J1007" s="33" t="s">
        <v>15</v>
      </c>
      <c r="K1007" s="33" t="s">
        <v>23</v>
      </c>
      <c r="L1007" s="38">
        <f t="shared" si="33"/>
        <v>5667.6143999999995</v>
      </c>
      <c r="M1007" s="38">
        <v>559.6</v>
      </c>
      <c r="N1007" s="24">
        <f>_xlfn.XLOOKUP(Snitch_Fashion_Sales_cleaned!$J1007,Table2[City],Table2[City_Key],"not found")</f>
        <v>1</v>
      </c>
      <c r="O1007" s="23">
        <f>_xlfn.XLOOKUP(Snitch_Fashion_Sales_cleaned!$D1007,Table4[Product_Name],Table4[Product_Key],"not found")</f>
        <v>10</v>
      </c>
      <c r="P1007" s="32">
        <f>_xlfn.XLOOKUP(Snitch_Fashion_Sales_cleaned!$I1007,Table3[Order_Date],Table3[Date_Key])</f>
        <v>323</v>
      </c>
    </row>
    <row r="1008" spans="1:16" x14ac:dyDescent="0.3">
      <c r="A1008" s="27">
        <v>2006</v>
      </c>
      <c r="B1008" s="25" t="s">
        <v>1047</v>
      </c>
      <c r="C1008" s="25" t="s">
        <v>28</v>
      </c>
      <c r="D1008" s="26" t="s">
        <v>137</v>
      </c>
      <c r="E1008" s="27">
        <v>3.5</v>
      </c>
      <c r="F1008" s="28">
        <v>1283.6199999999999</v>
      </c>
      <c r="G1008" s="29">
        <v>0.51</v>
      </c>
      <c r="H1008" s="28">
        <f t="shared" si="32"/>
        <v>4492.67</v>
      </c>
      <c r="I1008" s="30">
        <v>45647</v>
      </c>
      <c r="J1008" s="26" t="s">
        <v>18</v>
      </c>
      <c r="K1008" s="26" t="s">
        <v>16</v>
      </c>
      <c r="L1008" s="31">
        <f t="shared" si="33"/>
        <v>2201.4083000000001</v>
      </c>
      <c r="M1008" s="31">
        <v>541.27</v>
      </c>
      <c r="N1008" s="22">
        <f>_xlfn.XLOOKUP(Snitch_Fashion_Sales_cleaned!$J1008,Table2[City],Table2[City_Key],"not found")</f>
        <v>2</v>
      </c>
      <c r="O1008" s="21">
        <f>_xlfn.XLOOKUP(Snitch_Fashion_Sales_cleaned!$D1008,Table4[Product_Name],Table4[Product_Key],"not found")</f>
        <v>24</v>
      </c>
      <c r="P1008" s="25">
        <f>_xlfn.XLOOKUP(Snitch_Fashion_Sales_cleaned!$I1008,Table3[Order_Date],Table3[Date_Key])</f>
        <v>5</v>
      </c>
    </row>
    <row r="1009" spans="1:16" x14ac:dyDescent="0.3">
      <c r="A1009" s="34">
        <v>2007</v>
      </c>
      <c r="B1009" s="32" t="s">
        <v>1048</v>
      </c>
      <c r="C1009" s="32" t="s">
        <v>20</v>
      </c>
      <c r="D1009" s="33" t="s">
        <v>118</v>
      </c>
      <c r="E1009" s="34">
        <v>3</v>
      </c>
      <c r="F1009" s="35">
        <v>3413.11</v>
      </c>
      <c r="G1009" s="36">
        <v>0.9</v>
      </c>
      <c r="H1009" s="35">
        <f t="shared" si="32"/>
        <v>10239.33</v>
      </c>
      <c r="I1009" s="37">
        <v>45647</v>
      </c>
      <c r="J1009" s="33" t="s">
        <v>52</v>
      </c>
      <c r="K1009" s="33" t="s">
        <v>23</v>
      </c>
      <c r="L1009" s="38">
        <f t="shared" si="33"/>
        <v>1023.9329999999998</v>
      </c>
      <c r="M1009" s="38">
        <v>-440.8</v>
      </c>
      <c r="N1009" s="24">
        <f>_xlfn.XLOOKUP(Snitch_Fashion_Sales_cleaned!$J1009,Table2[City],Table2[City_Key],"not found")</f>
        <v>5</v>
      </c>
      <c r="O1009" s="23">
        <f>_xlfn.XLOOKUP(Snitch_Fashion_Sales_cleaned!$D1009,Table4[Product_Name],Table4[Product_Key],"not found")</f>
        <v>23</v>
      </c>
      <c r="P1009" s="32">
        <f>_xlfn.XLOOKUP(Snitch_Fashion_Sales_cleaned!$I1009,Table3[Order_Date],Table3[Date_Key])</f>
        <v>5</v>
      </c>
    </row>
    <row r="1010" spans="1:16" x14ac:dyDescent="0.3">
      <c r="A1010" s="27">
        <v>2008</v>
      </c>
      <c r="B1010" s="25" t="s">
        <v>1049</v>
      </c>
      <c r="C1010" s="25" t="s">
        <v>36</v>
      </c>
      <c r="D1010" s="26" t="s">
        <v>55</v>
      </c>
      <c r="E1010" s="27">
        <v>3</v>
      </c>
      <c r="F1010" s="28">
        <v>1284.3599999999999</v>
      </c>
      <c r="G1010" s="29">
        <v>0.51</v>
      </c>
      <c r="H1010" s="28">
        <f t="shared" si="32"/>
        <v>3853.08</v>
      </c>
      <c r="I1010" s="30">
        <v>45647</v>
      </c>
      <c r="J1010" s="26" t="s">
        <v>18</v>
      </c>
      <c r="K1010" s="26" t="s">
        <v>16</v>
      </c>
      <c r="L1010" s="31">
        <f t="shared" si="33"/>
        <v>1888.0092</v>
      </c>
      <c r="M1010" s="31">
        <v>108.58</v>
      </c>
      <c r="N1010" s="22">
        <f>_xlfn.XLOOKUP(Snitch_Fashion_Sales_cleaned!$J1010,Table2[City],Table2[City_Key],"not found")</f>
        <v>2</v>
      </c>
      <c r="O1010" s="21">
        <f>_xlfn.XLOOKUP(Snitch_Fashion_Sales_cleaned!$D1010,Table4[Product_Name],Table4[Product_Key],"not found")</f>
        <v>12</v>
      </c>
      <c r="P1010" s="25">
        <f>_xlfn.XLOOKUP(Snitch_Fashion_Sales_cleaned!$I1010,Table3[Order_Date],Table3[Date_Key])</f>
        <v>5</v>
      </c>
    </row>
    <row r="1011" spans="1:16" x14ac:dyDescent="0.3">
      <c r="A1011" s="34">
        <v>2009</v>
      </c>
      <c r="B1011" s="32" t="s">
        <v>1050</v>
      </c>
      <c r="C1011" s="32" t="s">
        <v>13</v>
      </c>
      <c r="D1011" s="33" t="s">
        <v>46</v>
      </c>
      <c r="E1011" s="34">
        <v>4</v>
      </c>
      <c r="F1011" s="35">
        <v>3385.59</v>
      </c>
      <c r="G1011" s="36">
        <v>0.02</v>
      </c>
      <c r="H1011" s="35">
        <f t="shared" si="32"/>
        <v>13542.36</v>
      </c>
      <c r="I1011" s="37">
        <v>45520</v>
      </c>
      <c r="J1011" s="33" t="s">
        <v>2540</v>
      </c>
      <c r="K1011" s="33" t="s">
        <v>23</v>
      </c>
      <c r="L1011" s="38">
        <f t="shared" si="33"/>
        <v>13271.5128</v>
      </c>
      <c r="M1011" s="38">
        <v>-927.71</v>
      </c>
      <c r="N1011" s="24">
        <f>_xlfn.XLOOKUP(Snitch_Fashion_Sales_cleaned!$J1011,Table2[City],Table2[City_Key],"not found")</f>
        <v>4</v>
      </c>
      <c r="O1011" s="23">
        <f>_xlfn.XLOOKUP(Snitch_Fashion_Sales_cleaned!$D1011,Table4[Product_Name],Table4[Product_Key],"not found")</f>
        <v>10</v>
      </c>
      <c r="P1011" s="32">
        <f>_xlfn.XLOOKUP(Snitch_Fashion_Sales_cleaned!$I1011,Table3[Order_Date],Table3[Date_Key])</f>
        <v>321</v>
      </c>
    </row>
    <row r="1012" spans="1:16" x14ac:dyDescent="0.3">
      <c r="A1012" s="27">
        <v>2010</v>
      </c>
      <c r="B1012" s="25" t="s">
        <v>1051</v>
      </c>
      <c r="C1012" s="25" t="s">
        <v>31</v>
      </c>
      <c r="D1012" s="26" t="s">
        <v>78</v>
      </c>
      <c r="E1012" s="27">
        <v>4</v>
      </c>
      <c r="F1012" s="28">
        <v>3630.24</v>
      </c>
      <c r="G1012" s="29">
        <v>0.51</v>
      </c>
      <c r="H1012" s="28">
        <f t="shared" si="32"/>
        <v>14520.96</v>
      </c>
      <c r="I1012" s="30">
        <v>45582</v>
      </c>
      <c r="J1012" s="26" t="s">
        <v>18</v>
      </c>
      <c r="K1012" s="26" t="s">
        <v>23</v>
      </c>
      <c r="L1012" s="31">
        <f t="shared" si="33"/>
        <v>7115.2703999999994</v>
      </c>
      <c r="M1012" s="31">
        <v>-194.42</v>
      </c>
      <c r="N1012" s="22">
        <f>_xlfn.XLOOKUP(Snitch_Fashion_Sales_cleaned!$J1012,Table2[City],Table2[City_Key],"not found")</f>
        <v>2</v>
      </c>
      <c r="O1012" s="21">
        <f>_xlfn.XLOOKUP(Snitch_Fashion_Sales_cleaned!$D1012,Table4[Product_Name],Table4[Product_Key],"not found")</f>
        <v>17</v>
      </c>
      <c r="P1012" s="25">
        <f>_xlfn.XLOOKUP(Snitch_Fashion_Sales_cleaned!$I1012,Table3[Order_Date],Table3[Date_Key])</f>
        <v>96</v>
      </c>
    </row>
    <row r="1013" spans="1:16" x14ac:dyDescent="0.3">
      <c r="A1013" s="34">
        <v>2011</v>
      </c>
      <c r="B1013" s="32" t="s">
        <v>1052</v>
      </c>
      <c r="C1013" s="32" t="s">
        <v>25</v>
      </c>
      <c r="D1013" s="33" t="s">
        <v>62</v>
      </c>
      <c r="E1013" s="34">
        <v>1</v>
      </c>
      <c r="F1013" s="35">
        <v>3989.68</v>
      </c>
      <c r="G1013" s="36">
        <v>0.51</v>
      </c>
      <c r="H1013" s="35">
        <f t="shared" si="32"/>
        <v>3989.68</v>
      </c>
      <c r="I1013" s="37">
        <v>45747</v>
      </c>
      <c r="J1013" s="33" t="s">
        <v>22</v>
      </c>
      <c r="K1013" s="33" t="s">
        <v>16</v>
      </c>
      <c r="L1013" s="38">
        <f t="shared" si="33"/>
        <v>1954.9431999999999</v>
      </c>
      <c r="M1013" s="38">
        <v>999.35</v>
      </c>
      <c r="N1013" s="24">
        <f>_xlfn.XLOOKUP(Snitch_Fashion_Sales_cleaned!$J1013,Table2[City],Table2[City_Key],"not found")</f>
        <v>3</v>
      </c>
      <c r="O1013" s="23">
        <f>_xlfn.XLOOKUP(Snitch_Fashion_Sales_cleaned!$D1013,Table4[Product_Name],Table4[Product_Key],"not found")</f>
        <v>14</v>
      </c>
      <c r="P1013" s="32">
        <f>_xlfn.XLOOKUP(Snitch_Fashion_Sales_cleaned!$I1013,Table3[Order_Date],Table3[Date_Key])</f>
        <v>127</v>
      </c>
    </row>
    <row r="1014" spans="1:16" x14ac:dyDescent="0.3">
      <c r="A1014" s="27">
        <v>2012</v>
      </c>
      <c r="B1014" s="25" t="s">
        <v>1053</v>
      </c>
      <c r="C1014" s="25" t="s">
        <v>31</v>
      </c>
      <c r="D1014" s="26" t="s">
        <v>41</v>
      </c>
      <c r="E1014" s="27">
        <v>3</v>
      </c>
      <c r="F1014" s="28">
        <v>2674.79</v>
      </c>
      <c r="G1014" s="29">
        <v>0.8</v>
      </c>
      <c r="H1014" s="28">
        <f t="shared" si="32"/>
        <v>8024.37</v>
      </c>
      <c r="I1014" s="30">
        <v>45737</v>
      </c>
      <c r="J1014" s="26" t="s">
        <v>18</v>
      </c>
      <c r="K1014" s="26" t="s">
        <v>16</v>
      </c>
      <c r="L1014" s="31">
        <f t="shared" si="33"/>
        <v>1604.8739999999996</v>
      </c>
      <c r="M1014" s="31">
        <v>537.29999999999995</v>
      </c>
      <c r="N1014" s="22">
        <f>_xlfn.XLOOKUP(Snitch_Fashion_Sales_cleaned!$J1014,Table2[City],Table2[City_Key],"not found")</f>
        <v>2</v>
      </c>
      <c r="O1014" s="21">
        <f>_xlfn.XLOOKUP(Snitch_Fashion_Sales_cleaned!$D1014,Table4[Product_Name],Table4[Product_Key],"not found")</f>
        <v>9</v>
      </c>
      <c r="P1014" s="25">
        <f>_xlfn.XLOOKUP(Snitch_Fashion_Sales_cleaned!$I1014,Table3[Order_Date],Table3[Date_Key])</f>
        <v>136</v>
      </c>
    </row>
    <row r="1015" spans="1:16" x14ac:dyDescent="0.3">
      <c r="A1015" s="34">
        <v>2013</v>
      </c>
      <c r="B1015" s="32" t="s">
        <v>1054</v>
      </c>
      <c r="C1015" s="32" t="s">
        <v>25</v>
      </c>
      <c r="D1015" s="33" t="s">
        <v>50</v>
      </c>
      <c r="E1015" s="34">
        <v>4</v>
      </c>
      <c r="F1015" s="35">
        <v>2666.2200000000003</v>
      </c>
      <c r="G1015" s="36">
        <v>0.51</v>
      </c>
      <c r="H1015" s="35">
        <f t="shared" si="32"/>
        <v>10664.880000000001</v>
      </c>
      <c r="I1015" s="37">
        <v>45796</v>
      </c>
      <c r="J1015" s="33" t="s">
        <v>22</v>
      </c>
      <c r="K1015" s="33" t="s">
        <v>16</v>
      </c>
      <c r="L1015" s="38">
        <f t="shared" si="33"/>
        <v>5225.7912000000006</v>
      </c>
      <c r="M1015" s="38">
        <v>644.41999999999996</v>
      </c>
      <c r="N1015" s="24">
        <f>_xlfn.XLOOKUP(Snitch_Fashion_Sales_cleaned!$J1015,Table2[City],Table2[City_Key],"not found")</f>
        <v>3</v>
      </c>
      <c r="O1015" s="23">
        <f>_xlfn.XLOOKUP(Snitch_Fashion_Sales_cleaned!$D1015,Table4[Product_Name],Table4[Product_Key],"not found")</f>
        <v>11</v>
      </c>
      <c r="P1015" s="32">
        <f>_xlfn.XLOOKUP(Snitch_Fashion_Sales_cleaned!$I1015,Table3[Order_Date],Table3[Date_Key])</f>
        <v>343</v>
      </c>
    </row>
    <row r="1016" spans="1:16" x14ac:dyDescent="0.3">
      <c r="A1016" s="27">
        <v>2014</v>
      </c>
      <c r="B1016" s="25" t="s">
        <v>1055</v>
      </c>
      <c r="C1016" s="25" t="s">
        <v>20</v>
      </c>
      <c r="D1016" s="26" t="s">
        <v>118</v>
      </c>
      <c r="E1016" s="27">
        <v>2</v>
      </c>
      <c r="F1016" s="28">
        <v>2752.99</v>
      </c>
      <c r="G1016" s="29">
        <v>0.51</v>
      </c>
      <c r="H1016" s="28">
        <f t="shared" si="32"/>
        <v>5505.98</v>
      </c>
      <c r="I1016" s="30">
        <v>45647</v>
      </c>
      <c r="J1016" s="26" t="s">
        <v>15</v>
      </c>
      <c r="K1016" s="26" t="s">
        <v>23</v>
      </c>
      <c r="L1016" s="31">
        <f t="shared" si="33"/>
        <v>2697.9301999999998</v>
      </c>
      <c r="M1016" s="31">
        <v>763.62</v>
      </c>
      <c r="N1016" s="22">
        <f>_xlfn.XLOOKUP(Snitch_Fashion_Sales_cleaned!$J1016,Table2[City],Table2[City_Key],"not found")</f>
        <v>1</v>
      </c>
      <c r="O1016" s="21">
        <f>_xlfn.XLOOKUP(Snitch_Fashion_Sales_cleaned!$D1016,Table4[Product_Name],Table4[Product_Key],"not found")</f>
        <v>23</v>
      </c>
      <c r="P1016" s="25">
        <f>_xlfn.XLOOKUP(Snitch_Fashion_Sales_cleaned!$I1016,Table3[Order_Date],Table3[Date_Key])</f>
        <v>5</v>
      </c>
    </row>
    <row r="1017" spans="1:16" x14ac:dyDescent="0.3">
      <c r="A1017" s="34">
        <v>2015</v>
      </c>
      <c r="B1017" s="32" t="s">
        <v>1056</v>
      </c>
      <c r="C1017" s="32" t="s">
        <v>36</v>
      </c>
      <c r="D1017" s="33" t="s">
        <v>37</v>
      </c>
      <c r="E1017" s="34">
        <v>4</v>
      </c>
      <c r="F1017" s="35">
        <v>2975.64</v>
      </c>
      <c r="G1017" s="36">
        <v>0.51</v>
      </c>
      <c r="H1017" s="35">
        <f t="shared" si="32"/>
        <v>11902.56</v>
      </c>
      <c r="I1017" s="37">
        <v>45735</v>
      </c>
      <c r="J1017" s="33" t="s">
        <v>15</v>
      </c>
      <c r="K1017" s="33" t="s">
        <v>23</v>
      </c>
      <c r="L1017" s="38">
        <f t="shared" si="33"/>
        <v>5832.2543999999998</v>
      </c>
      <c r="M1017" s="38">
        <v>182.23</v>
      </c>
      <c r="N1017" s="24">
        <f>_xlfn.XLOOKUP(Snitch_Fashion_Sales_cleaned!$J1017,Table2[City],Table2[City_Key],"not found")</f>
        <v>1</v>
      </c>
      <c r="O1017" s="23">
        <f>_xlfn.XLOOKUP(Snitch_Fashion_Sales_cleaned!$D1017,Table4[Product_Name],Table4[Product_Key],"not found")</f>
        <v>7</v>
      </c>
      <c r="P1017" s="32">
        <f>_xlfn.XLOOKUP(Snitch_Fashion_Sales_cleaned!$I1017,Table3[Order_Date],Table3[Date_Key])</f>
        <v>15</v>
      </c>
    </row>
    <row r="1018" spans="1:16" x14ac:dyDescent="0.3">
      <c r="A1018" s="27">
        <v>2016</v>
      </c>
      <c r="B1018" s="25" t="s">
        <v>1057</v>
      </c>
      <c r="C1018" s="25" t="s">
        <v>25</v>
      </c>
      <c r="D1018" s="26" t="s">
        <v>82</v>
      </c>
      <c r="E1018" s="27">
        <v>3</v>
      </c>
      <c r="F1018" s="28">
        <v>1435.85</v>
      </c>
      <c r="G1018" s="29">
        <v>0.51</v>
      </c>
      <c r="H1018" s="28">
        <f t="shared" si="32"/>
        <v>4307.5499999999993</v>
      </c>
      <c r="I1018" s="30">
        <v>45786</v>
      </c>
      <c r="J1018" s="26" t="s">
        <v>52</v>
      </c>
      <c r="K1018" s="26" t="s">
        <v>23</v>
      </c>
      <c r="L1018" s="31">
        <f t="shared" si="33"/>
        <v>2110.6994999999997</v>
      </c>
      <c r="M1018" s="31">
        <v>317.58</v>
      </c>
      <c r="N1018" s="22">
        <f>_xlfn.XLOOKUP(Snitch_Fashion_Sales_cleaned!$J1018,Table2[City],Table2[City_Key],"not found")</f>
        <v>5</v>
      </c>
      <c r="O1018" s="21">
        <f>_xlfn.XLOOKUP(Snitch_Fashion_Sales_cleaned!$D1018,Table4[Product_Name],Table4[Product_Key],"not found")</f>
        <v>18</v>
      </c>
      <c r="P1018" s="25">
        <f>_xlfn.XLOOKUP(Snitch_Fashion_Sales_cleaned!$I1018,Table3[Order_Date],Table3[Date_Key])</f>
        <v>408</v>
      </c>
    </row>
    <row r="1019" spans="1:16" x14ac:dyDescent="0.3">
      <c r="A1019" s="34">
        <v>2017</v>
      </c>
      <c r="B1019" s="32" t="s">
        <v>1058</v>
      </c>
      <c r="C1019" s="32" t="s">
        <v>13</v>
      </c>
      <c r="D1019" s="33" t="s">
        <v>98</v>
      </c>
      <c r="E1019" s="34">
        <v>5</v>
      </c>
      <c r="F1019" s="35">
        <v>3549.93</v>
      </c>
      <c r="G1019" s="36">
        <v>0.51</v>
      </c>
      <c r="H1019" s="35">
        <f t="shared" si="32"/>
        <v>17749.649999999998</v>
      </c>
      <c r="I1019" s="37">
        <v>45647</v>
      </c>
      <c r="J1019" s="33" t="s">
        <v>18</v>
      </c>
      <c r="K1019" s="33" t="s">
        <v>16</v>
      </c>
      <c r="L1019" s="38">
        <f t="shared" si="33"/>
        <v>8697.3284999999996</v>
      </c>
      <c r="M1019" s="38">
        <v>652.09</v>
      </c>
      <c r="N1019" s="24">
        <f>_xlfn.XLOOKUP(Snitch_Fashion_Sales_cleaned!$J1019,Table2[City],Table2[City_Key],"not found")</f>
        <v>2</v>
      </c>
      <c r="O1019" s="23">
        <f>_xlfn.XLOOKUP(Snitch_Fashion_Sales_cleaned!$D1019,Table4[Product_Name],Table4[Product_Key],"not found")</f>
        <v>21</v>
      </c>
      <c r="P1019" s="32">
        <f>_xlfn.XLOOKUP(Snitch_Fashion_Sales_cleaned!$I1019,Table3[Order_Date],Table3[Date_Key])</f>
        <v>5</v>
      </c>
    </row>
    <row r="1020" spans="1:16" x14ac:dyDescent="0.3">
      <c r="A1020" s="27">
        <v>2018</v>
      </c>
      <c r="B1020" s="25" t="s">
        <v>1059</v>
      </c>
      <c r="C1020" s="25" t="s">
        <v>13</v>
      </c>
      <c r="D1020" s="26" t="s">
        <v>98</v>
      </c>
      <c r="E1020" s="27">
        <v>5</v>
      </c>
      <c r="F1020" s="28">
        <v>2750.33</v>
      </c>
      <c r="G1020" s="29">
        <v>0.91</v>
      </c>
      <c r="H1020" s="28">
        <f t="shared" si="32"/>
        <v>13751.65</v>
      </c>
      <c r="I1020" s="30">
        <v>45551</v>
      </c>
      <c r="J1020" s="26" t="s">
        <v>22</v>
      </c>
      <c r="K1020" s="26" t="s">
        <v>16</v>
      </c>
      <c r="L1020" s="31">
        <f t="shared" si="33"/>
        <v>1237.6484999999996</v>
      </c>
      <c r="M1020" s="31">
        <v>-730.39</v>
      </c>
      <c r="N1020" s="22">
        <f>_xlfn.XLOOKUP(Snitch_Fashion_Sales_cleaned!$J1020,Table2[City],Table2[City_Key],"not found")</f>
        <v>3</v>
      </c>
      <c r="O1020" s="21">
        <f>_xlfn.XLOOKUP(Snitch_Fashion_Sales_cleaned!$D1020,Table4[Product_Name],Table4[Product_Key],"not found")</f>
        <v>21</v>
      </c>
      <c r="P1020" s="25">
        <f>_xlfn.XLOOKUP(Snitch_Fashion_Sales_cleaned!$I1020,Table3[Order_Date],Table3[Date_Key])</f>
        <v>270</v>
      </c>
    </row>
    <row r="1021" spans="1:16" x14ac:dyDescent="0.3">
      <c r="A1021" s="34">
        <v>2019</v>
      </c>
      <c r="B1021" s="32" t="s">
        <v>1060</v>
      </c>
      <c r="C1021" s="32" t="s">
        <v>13</v>
      </c>
      <c r="D1021" s="33" t="s">
        <v>46</v>
      </c>
      <c r="E1021" s="34">
        <v>2</v>
      </c>
      <c r="F1021" s="35">
        <v>1797.91</v>
      </c>
      <c r="G1021" s="36">
        <v>0.51</v>
      </c>
      <c r="H1021" s="35">
        <f t="shared" si="32"/>
        <v>3595.82</v>
      </c>
      <c r="I1021" s="37">
        <v>45680</v>
      </c>
      <c r="J1021" s="33" t="s">
        <v>18</v>
      </c>
      <c r="K1021" s="33" t="s">
        <v>16</v>
      </c>
      <c r="L1021" s="38">
        <f t="shared" si="33"/>
        <v>1761.9518</v>
      </c>
      <c r="M1021" s="38">
        <v>440.48795000000001</v>
      </c>
      <c r="N1021" s="24">
        <f>_xlfn.XLOOKUP(Snitch_Fashion_Sales_cleaned!$J1021,Table2[City],Table2[City_Key],"not found")</f>
        <v>2</v>
      </c>
      <c r="O1021" s="23">
        <f>_xlfn.XLOOKUP(Snitch_Fashion_Sales_cleaned!$D1021,Table4[Product_Name],Table4[Product_Key],"not found")</f>
        <v>10</v>
      </c>
      <c r="P1021" s="32">
        <f>_xlfn.XLOOKUP(Snitch_Fashion_Sales_cleaned!$I1021,Table3[Order_Date],Table3[Date_Key])</f>
        <v>94</v>
      </c>
    </row>
    <row r="1022" spans="1:16" x14ac:dyDescent="0.3">
      <c r="A1022" s="27">
        <v>2020</v>
      </c>
      <c r="B1022" s="25" t="s">
        <v>1061</v>
      </c>
      <c r="C1022" s="25" t="s">
        <v>13</v>
      </c>
      <c r="D1022" s="26" t="s">
        <v>46</v>
      </c>
      <c r="E1022" s="27">
        <v>4</v>
      </c>
      <c r="F1022" s="28">
        <v>3954.73</v>
      </c>
      <c r="G1022" s="29">
        <v>0.3</v>
      </c>
      <c r="H1022" s="28">
        <f t="shared" si="32"/>
        <v>15818.92</v>
      </c>
      <c r="I1022" s="30">
        <v>45788</v>
      </c>
      <c r="J1022" s="26" t="s">
        <v>2540</v>
      </c>
      <c r="K1022" s="26" t="s">
        <v>23</v>
      </c>
      <c r="L1022" s="31">
        <f t="shared" si="33"/>
        <v>11073.243999999999</v>
      </c>
      <c r="M1022" s="31">
        <v>-78.22</v>
      </c>
      <c r="N1022" s="22">
        <f>_xlfn.XLOOKUP(Snitch_Fashion_Sales_cleaned!$J1022,Table2[City],Table2[City_Key],"not found")</f>
        <v>4</v>
      </c>
      <c r="O1022" s="21">
        <f>_xlfn.XLOOKUP(Snitch_Fashion_Sales_cleaned!$D1022,Table4[Product_Name],Table4[Product_Key],"not found")</f>
        <v>10</v>
      </c>
      <c r="P1022" s="25">
        <f>_xlfn.XLOOKUP(Snitch_Fashion_Sales_cleaned!$I1022,Table3[Order_Date],Table3[Date_Key])</f>
        <v>196</v>
      </c>
    </row>
    <row r="1023" spans="1:16" x14ac:dyDescent="0.3">
      <c r="A1023" s="34">
        <v>2021</v>
      </c>
      <c r="B1023" s="32" t="s">
        <v>1062</v>
      </c>
      <c r="C1023" s="32" t="s">
        <v>25</v>
      </c>
      <c r="D1023" s="33" t="s">
        <v>50</v>
      </c>
      <c r="E1023" s="34">
        <v>4</v>
      </c>
      <c r="F1023" s="35">
        <v>4178.18</v>
      </c>
      <c r="G1023" s="36">
        <v>0.51</v>
      </c>
      <c r="H1023" s="35">
        <f t="shared" si="32"/>
        <v>16712.72</v>
      </c>
      <c r="I1023" s="37">
        <v>45153</v>
      </c>
      <c r="J1023" s="33" t="s">
        <v>22</v>
      </c>
      <c r="K1023" s="33" t="s">
        <v>23</v>
      </c>
      <c r="L1023" s="38">
        <f t="shared" si="33"/>
        <v>8189.2328000000007</v>
      </c>
      <c r="M1023" s="38">
        <v>2952.52</v>
      </c>
      <c r="N1023" s="24">
        <f>_xlfn.XLOOKUP(Snitch_Fashion_Sales_cleaned!$J1023,Table2[City],Table2[City_Key],"not found")</f>
        <v>3</v>
      </c>
      <c r="O1023" s="23">
        <f>_xlfn.XLOOKUP(Snitch_Fashion_Sales_cleaned!$D1023,Table4[Product_Name],Table4[Product_Key],"not found")</f>
        <v>11</v>
      </c>
      <c r="P1023" s="32">
        <f>_xlfn.XLOOKUP(Snitch_Fashion_Sales_cleaned!$I1023,Table3[Order_Date],Table3[Date_Key])</f>
        <v>260</v>
      </c>
    </row>
    <row r="1024" spans="1:16" x14ac:dyDescent="0.3">
      <c r="A1024" s="27">
        <v>2022</v>
      </c>
      <c r="B1024" s="25" t="s">
        <v>1063</v>
      </c>
      <c r="C1024" s="25" t="s">
        <v>25</v>
      </c>
      <c r="D1024" s="26" t="s">
        <v>26</v>
      </c>
      <c r="E1024" s="27">
        <v>4</v>
      </c>
      <c r="F1024" s="28">
        <v>3094.77</v>
      </c>
      <c r="G1024" s="29">
        <v>0.51</v>
      </c>
      <c r="H1024" s="28">
        <f t="shared" si="32"/>
        <v>12379.08</v>
      </c>
      <c r="I1024" s="30">
        <v>45817</v>
      </c>
      <c r="J1024" s="26" t="s">
        <v>43</v>
      </c>
      <c r="K1024" s="26" t="s">
        <v>23</v>
      </c>
      <c r="L1024" s="31">
        <f t="shared" si="33"/>
        <v>6065.7492000000002</v>
      </c>
      <c r="M1024" s="31">
        <v>2340.79</v>
      </c>
      <c r="N1024" s="22">
        <f>_xlfn.XLOOKUP(Snitch_Fashion_Sales_cleaned!$J1024,Table2[City],Table2[City_Key],"not found")</f>
        <v>6</v>
      </c>
      <c r="O1024" s="21">
        <f>_xlfn.XLOOKUP(Snitch_Fashion_Sales_cleaned!$D1024,Table4[Product_Name],Table4[Product_Key],"not found")</f>
        <v>3</v>
      </c>
      <c r="P1024" s="25">
        <f>_xlfn.XLOOKUP(Snitch_Fashion_Sales_cleaned!$I1024,Table3[Order_Date],Table3[Date_Key])</f>
        <v>143</v>
      </c>
    </row>
    <row r="1025" spans="1:16" x14ac:dyDescent="0.3">
      <c r="A1025" s="34">
        <v>2023</v>
      </c>
      <c r="B1025" s="32" t="s">
        <v>1064</v>
      </c>
      <c r="C1025" s="32" t="s">
        <v>25</v>
      </c>
      <c r="D1025" s="33" t="s">
        <v>82</v>
      </c>
      <c r="E1025" s="34">
        <v>3</v>
      </c>
      <c r="F1025" s="35">
        <v>618.17999999999995</v>
      </c>
      <c r="G1025" s="36">
        <v>0.51</v>
      </c>
      <c r="H1025" s="35">
        <f t="shared" si="32"/>
        <v>1854.54</v>
      </c>
      <c r="I1025" s="37">
        <v>45647</v>
      </c>
      <c r="J1025" s="33" t="s">
        <v>18</v>
      </c>
      <c r="K1025" s="33" t="s">
        <v>16</v>
      </c>
      <c r="L1025" s="38">
        <f t="shared" si="33"/>
        <v>908.72460000000001</v>
      </c>
      <c r="M1025" s="38">
        <v>404.9</v>
      </c>
      <c r="N1025" s="24">
        <f>_xlfn.XLOOKUP(Snitch_Fashion_Sales_cleaned!$J1025,Table2[City],Table2[City_Key],"not found")</f>
        <v>2</v>
      </c>
      <c r="O1025" s="23">
        <f>_xlfn.XLOOKUP(Snitch_Fashion_Sales_cleaned!$D1025,Table4[Product_Name],Table4[Product_Key],"not found")</f>
        <v>18</v>
      </c>
      <c r="P1025" s="32">
        <f>_xlfn.XLOOKUP(Snitch_Fashion_Sales_cleaned!$I1025,Table3[Order_Date],Table3[Date_Key])</f>
        <v>5</v>
      </c>
    </row>
    <row r="1026" spans="1:16" x14ac:dyDescent="0.3">
      <c r="A1026" s="27">
        <v>2024</v>
      </c>
      <c r="B1026" s="25" t="s">
        <v>1065</v>
      </c>
      <c r="C1026" s="25" t="s">
        <v>36</v>
      </c>
      <c r="D1026" s="26" t="s">
        <v>37</v>
      </c>
      <c r="E1026" s="27">
        <v>4</v>
      </c>
      <c r="F1026" s="28">
        <v>4220.2</v>
      </c>
      <c r="G1026" s="29">
        <v>0.51</v>
      </c>
      <c r="H1026" s="28">
        <f t="shared" si="32"/>
        <v>16880.8</v>
      </c>
      <c r="I1026" s="30">
        <v>45274</v>
      </c>
      <c r="J1026" s="26" t="s">
        <v>15</v>
      </c>
      <c r="K1026" s="26" t="s">
        <v>16</v>
      </c>
      <c r="L1026" s="31">
        <f t="shared" si="33"/>
        <v>8271.5919999999987</v>
      </c>
      <c r="M1026" s="31">
        <v>2488.92</v>
      </c>
      <c r="N1026" s="22">
        <f>_xlfn.XLOOKUP(Snitch_Fashion_Sales_cleaned!$J1026,Table2[City],Table2[City_Key],"not found")</f>
        <v>1</v>
      </c>
      <c r="O1026" s="21">
        <f>_xlfn.XLOOKUP(Snitch_Fashion_Sales_cleaned!$D1026,Table4[Product_Name],Table4[Product_Key],"not found")</f>
        <v>7</v>
      </c>
      <c r="P1026" s="25">
        <f>_xlfn.XLOOKUP(Snitch_Fashion_Sales_cleaned!$I1026,Table3[Order_Date],Table3[Date_Key])</f>
        <v>409</v>
      </c>
    </row>
    <row r="1027" spans="1:16" x14ac:dyDescent="0.3">
      <c r="A1027" s="34">
        <v>2025</v>
      </c>
      <c r="B1027" s="32" t="s">
        <v>1066</v>
      </c>
      <c r="C1027" s="32" t="s">
        <v>28</v>
      </c>
      <c r="D1027" s="33" t="s">
        <v>116</v>
      </c>
      <c r="E1027" s="34">
        <v>4</v>
      </c>
      <c r="F1027" s="35">
        <v>2785.79</v>
      </c>
      <c r="G1027" s="36">
        <v>0.51</v>
      </c>
      <c r="H1027" s="35">
        <f t="shared" si="32"/>
        <v>11143.16</v>
      </c>
      <c r="I1027" s="37">
        <v>45750</v>
      </c>
      <c r="J1027" s="33" t="s">
        <v>15</v>
      </c>
      <c r="K1027" s="33" t="s">
        <v>23</v>
      </c>
      <c r="L1027" s="38">
        <f t="shared" si="33"/>
        <v>5460.1484</v>
      </c>
      <c r="M1027" s="38">
        <v>1259.95</v>
      </c>
      <c r="N1027" s="24">
        <f>_xlfn.XLOOKUP(Snitch_Fashion_Sales_cleaned!$J1027,Table2[City],Table2[City_Key],"not found")</f>
        <v>1</v>
      </c>
      <c r="O1027" s="23">
        <f>_xlfn.XLOOKUP(Snitch_Fashion_Sales_cleaned!$D1027,Table4[Product_Name],Table4[Product_Key],"not found")</f>
        <v>22</v>
      </c>
      <c r="P1027" s="32">
        <f>_xlfn.XLOOKUP(Snitch_Fashion_Sales_cleaned!$I1027,Table3[Order_Date],Table3[Date_Key])</f>
        <v>308</v>
      </c>
    </row>
    <row r="1028" spans="1:16" x14ac:dyDescent="0.3">
      <c r="A1028" s="27">
        <v>2026</v>
      </c>
      <c r="B1028" s="25" t="s">
        <v>1067</v>
      </c>
      <c r="C1028" s="25" t="s">
        <v>25</v>
      </c>
      <c r="D1028" s="26" t="s">
        <v>50</v>
      </c>
      <c r="E1028" s="27">
        <v>4</v>
      </c>
      <c r="F1028" s="28">
        <v>2666.2200000000003</v>
      </c>
      <c r="G1028" s="29">
        <v>0.51</v>
      </c>
      <c r="H1028" s="28">
        <f t="shared" si="32"/>
        <v>10664.880000000001</v>
      </c>
      <c r="I1028" s="30">
        <v>45812</v>
      </c>
      <c r="J1028" s="26" t="s">
        <v>18</v>
      </c>
      <c r="K1028" s="26" t="s">
        <v>23</v>
      </c>
      <c r="L1028" s="31">
        <f t="shared" si="33"/>
        <v>5225.7912000000006</v>
      </c>
      <c r="M1028" s="31">
        <v>83.33</v>
      </c>
      <c r="N1028" s="22">
        <f>_xlfn.XLOOKUP(Snitch_Fashion_Sales_cleaned!$J1028,Table2[City],Table2[City_Key],"not found")</f>
        <v>2</v>
      </c>
      <c r="O1028" s="21">
        <f>_xlfn.XLOOKUP(Snitch_Fashion_Sales_cleaned!$D1028,Table4[Product_Name],Table4[Product_Key],"not found")</f>
        <v>11</v>
      </c>
      <c r="P1028" s="25">
        <f>_xlfn.XLOOKUP(Snitch_Fashion_Sales_cleaned!$I1028,Table3[Order_Date],Table3[Date_Key])</f>
        <v>233</v>
      </c>
    </row>
    <row r="1029" spans="1:16" x14ac:dyDescent="0.3">
      <c r="A1029" s="34">
        <v>2027</v>
      </c>
      <c r="B1029" s="32" t="s">
        <v>1068</v>
      </c>
      <c r="C1029" s="32" t="s">
        <v>25</v>
      </c>
      <c r="D1029" s="33" t="s">
        <v>62</v>
      </c>
      <c r="E1029" s="34">
        <v>5</v>
      </c>
      <c r="F1029" s="35">
        <v>2734.95</v>
      </c>
      <c r="G1029" s="36">
        <v>0.17</v>
      </c>
      <c r="H1029" s="35">
        <f t="shared" si="32"/>
        <v>13674.75</v>
      </c>
      <c r="I1029" s="37">
        <v>45661</v>
      </c>
      <c r="J1029" s="33" t="s">
        <v>22</v>
      </c>
      <c r="K1029" s="33" t="s">
        <v>16</v>
      </c>
      <c r="L1029" s="38">
        <f t="shared" si="33"/>
        <v>11350.0425</v>
      </c>
      <c r="M1029" s="38">
        <v>-657.03</v>
      </c>
      <c r="N1029" s="24">
        <f>_xlfn.XLOOKUP(Snitch_Fashion_Sales_cleaned!$J1029,Table2[City],Table2[City_Key],"not found")</f>
        <v>3</v>
      </c>
      <c r="O1029" s="23">
        <f>_xlfn.XLOOKUP(Snitch_Fashion_Sales_cleaned!$D1029,Table4[Product_Name],Table4[Product_Key],"not found")</f>
        <v>14</v>
      </c>
      <c r="P1029" s="32">
        <f>_xlfn.XLOOKUP(Snitch_Fashion_Sales_cleaned!$I1029,Table3[Order_Date],Table3[Date_Key])</f>
        <v>63</v>
      </c>
    </row>
    <row r="1030" spans="1:16" x14ac:dyDescent="0.3">
      <c r="A1030" s="27">
        <v>2028</v>
      </c>
      <c r="B1030" s="25" t="s">
        <v>1069</v>
      </c>
      <c r="C1030" s="25" t="s">
        <v>20</v>
      </c>
      <c r="D1030" s="26" t="s">
        <v>118</v>
      </c>
      <c r="E1030" s="27">
        <v>2</v>
      </c>
      <c r="F1030" s="28">
        <v>2752.99</v>
      </c>
      <c r="G1030" s="29">
        <v>0.51</v>
      </c>
      <c r="H1030" s="28">
        <f t="shared" ref="H1030:H1093" si="34">E1030*F1030</f>
        <v>5505.98</v>
      </c>
      <c r="I1030" s="30">
        <v>45549</v>
      </c>
      <c r="J1030" s="26" t="s">
        <v>2540</v>
      </c>
      <c r="K1030" s="26" t="s">
        <v>23</v>
      </c>
      <c r="L1030" s="31">
        <f t="shared" ref="L1030:L1093" si="35">H1030*(1-G1030)</f>
        <v>2697.9301999999998</v>
      </c>
      <c r="M1030" s="31">
        <v>2393.48</v>
      </c>
      <c r="N1030" s="22">
        <f>_xlfn.XLOOKUP(Snitch_Fashion_Sales_cleaned!$J1030,Table2[City],Table2[City_Key],"not found")</f>
        <v>4</v>
      </c>
      <c r="O1030" s="21">
        <f>_xlfn.XLOOKUP(Snitch_Fashion_Sales_cleaned!$D1030,Table4[Product_Name],Table4[Product_Key],"not found")</f>
        <v>23</v>
      </c>
      <c r="P1030" s="25">
        <f>_xlfn.XLOOKUP(Snitch_Fashion_Sales_cleaned!$I1030,Table3[Order_Date],Table3[Date_Key])</f>
        <v>220</v>
      </c>
    </row>
    <row r="1031" spans="1:16" x14ac:dyDescent="0.3">
      <c r="A1031" s="34">
        <v>2029</v>
      </c>
      <c r="B1031" s="32" t="s">
        <v>1070</v>
      </c>
      <c r="C1031" s="32" t="s">
        <v>20</v>
      </c>
      <c r="D1031" s="33" t="s">
        <v>76</v>
      </c>
      <c r="E1031" s="34">
        <v>6</v>
      </c>
      <c r="F1031" s="35">
        <v>2229.4899999999998</v>
      </c>
      <c r="G1031" s="36">
        <v>0.51</v>
      </c>
      <c r="H1031" s="35">
        <f t="shared" si="34"/>
        <v>13376.939999999999</v>
      </c>
      <c r="I1031" s="37">
        <v>45625</v>
      </c>
      <c r="J1031" s="33" t="s">
        <v>2540</v>
      </c>
      <c r="K1031" s="33" t="s">
        <v>23</v>
      </c>
      <c r="L1031" s="38">
        <f t="shared" si="35"/>
        <v>6554.7005999999992</v>
      </c>
      <c r="M1031" s="38">
        <v>2374.9</v>
      </c>
      <c r="N1031" s="24">
        <f>_xlfn.XLOOKUP(Snitch_Fashion_Sales_cleaned!$J1031,Table2[City],Table2[City_Key],"not found")</f>
        <v>4</v>
      </c>
      <c r="O1031" s="23">
        <f>_xlfn.XLOOKUP(Snitch_Fashion_Sales_cleaned!$D1031,Table4[Product_Name],Table4[Product_Key],"not found")</f>
        <v>16</v>
      </c>
      <c r="P1031" s="32">
        <f>_xlfn.XLOOKUP(Snitch_Fashion_Sales_cleaned!$I1031,Table3[Order_Date],Table3[Date_Key])</f>
        <v>410</v>
      </c>
    </row>
    <row r="1032" spans="1:16" x14ac:dyDescent="0.3">
      <c r="A1032" s="27">
        <v>2030</v>
      </c>
      <c r="B1032" s="25" t="s">
        <v>1071</v>
      </c>
      <c r="C1032" s="25" t="s">
        <v>36</v>
      </c>
      <c r="D1032" s="26" t="s">
        <v>59</v>
      </c>
      <c r="E1032" s="27">
        <v>1</v>
      </c>
      <c r="F1032" s="28">
        <v>1354.69</v>
      </c>
      <c r="G1032" s="29">
        <v>0.51</v>
      </c>
      <c r="H1032" s="28">
        <f t="shared" si="34"/>
        <v>1354.69</v>
      </c>
      <c r="I1032" s="30">
        <v>45637</v>
      </c>
      <c r="J1032" s="26" t="s">
        <v>52</v>
      </c>
      <c r="K1032" s="26" t="s">
        <v>16</v>
      </c>
      <c r="L1032" s="31">
        <f t="shared" si="35"/>
        <v>663.79809999999998</v>
      </c>
      <c r="M1032" s="31">
        <v>-710.56</v>
      </c>
      <c r="N1032" s="22">
        <f>_xlfn.XLOOKUP(Snitch_Fashion_Sales_cleaned!$J1032,Table2[City],Table2[City_Key],"not found")</f>
        <v>5</v>
      </c>
      <c r="O1032" s="21">
        <f>_xlfn.XLOOKUP(Snitch_Fashion_Sales_cleaned!$D1032,Table4[Product_Name],Table4[Product_Key],"not found")</f>
        <v>13</v>
      </c>
      <c r="P1032" s="25">
        <f>_xlfn.XLOOKUP(Snitch_Fashion_Sales_cleaned!$I1032,Table3[Order_Date],Table3[Date_Key])</f>
        <v>289</v>
      </c>
    </row>
    <row r="1033" spans="1:16" x14ac:dyDescent="0.3">
      <c r="A1033" s="34">
        <v>2031</v>
      </c>
      <c r="B1033" s="32" t="s">
        <v>1072</v>
      </c>
      <c r="C1033" s="32" t="s">
        <v>36</v>
      </c>
      <c r="D1033" s="33" t="s">
        <v>55</v>
      </c>
      <c r="E1033" s="34">
        <v>3</v>
      </c>
      <c r="F1033" s="35">
        <v>2731.6350000000002</v>
      </c>
      <c r="G1033" s="36">
        <v>0.51</v>
      </c>
      <c r="H1033" s="35">
        <f t="shared" si="34"/>
        <v>8194.9050000000007</v>
      </c>
      <c r="I1033" s="37">
        <v>45832</v>
      </c>
      <c r="J1033" s="33" t="s">
        <v>15</v>
      </c>
      <c r="K1033" s="33" t="s">
        <v>23</v>
      </c>
      <c r="L1033" s="38">
        <f t="shared" si="35"/>
        <v>4015.5034500000002</v>
      </c>
      <c r="M1033" s="38">
        <v>2655.01</v>
      </c>
      <c r="N1033" s="24">
        <f>_xlfn.XLOOKUP(Snitch_Fashion_Sales_cleaned!$J1033,Table2[City],Table2[City_Key],"not found")</f>
        <v>1</v>
      </c>
      <c r="O1033" s="23">
        <f>_xlfn.XLOOKUP(Snitch_Fashion_Sales_cleaned!$D1033,Table4[Product_Name],Table4[Product_Key],"not found")</f>
        <v>12</v>
      </c>
      <c r="P1033" s="32">
        <f>_xlfn.XLOOKUP(Snitch_Fashion_Sales_cleaned!$I1033,Table3[Order_Date],Table3[Date_Key])</f>
        <v>141</v>
      </c>
    </row>
    <row r="1034" spans="1:16" x14ac:dyDescent="0.3">
      <c r="A1034" s="27">
        <v>2032</v>
      </c>
      <c r="B1034" s="25" t="s">
        <v>1073</v>
      </c>
      <c r="C1034" s="25" t="s">
        <v>28</v>
      </c>
      <c r="D1034" s="26" t="s">
        <v>39</v>
      </c>
      <c r="E1034" s="27">
        <v>3</v>
      </c>
      <c r="F1034" s="28">
        <v>4910.91</v>
      </c>
      <c r="G1034" s="29">
        <v>0.51</v>
      </c>
      <c r="H1034" s="28">
        <f t="shared" si="34"/>
        <v>14732.73</v>
      </c>
      <c r="I1034" s="30">
        <v>45153</v>
      </c>
      <c r="J1034" s="26" t="s">
        <v>52</v>
      </c>
      <c r="K1034" s="26" t="s">
        <v>23</v>
      </c>
      <c r="L1034" s="31">
        <f t="shared" si="35"/>
        <v>7219.0376999999999</v>
      </c>
      <c r="M1034" s="31">
        <v>1419.21</v>
      </c>
      <c r="N1034" s="22">
        <f>_xlfn.XLOOKUP(Snitch_Fashion_Sales_cleaned!$J1034,Table2[City],Table2[City_Key],"not found")</f>
        <v>5</v>
      </c>
      <c r="O1034" s="21">
        <f>_xlfn.XLOOKUP(Snitch_Fashion_Sales_cleaned!$D1034,Table4[Product_Name],Table4[Product_Key],"not found")</f>
        <v>8</v>
      </c>
      <c r="P1034" s="25">
        <f>_xlfn.XLOOKUP(Snitch_Fashion_Sales_cleaned!$I1034,Table3[Order_Date],Table3[Date_Key])</f>
        <v>260</v>
      </c>
    </row>
    <row r="1035" spans="1:16" x14ac:dyDescent="0.3">
      <c r="A1035" s="34">
        <v>2033</v>
      </c>
      <c r="B1035" s="32" t="s">
        <v>1074</v>
      </c>
      <c r="C1035" s="32" t="s">
        <v>36</v>
      </c>
      <c r="D1035" s="33" t="s">
        <v>37</v>
      </c>
      <c r="E1035" s="34">
        <v>6</v>
      </c>
      <c r="F1035" s="35">
        <v>2975.64</v>
      </c>
      <c r="G1035" s="36">
        <v>0.51</v>
      </c>
      <c r="H1035" s="35">
        <f t="shared" si="34"/>
        <v>17853.84</v>
      </c>
      <c r="I1035" s="37">
        <v>45647</v>
      </c>
      <c r="J1035" s="33" t="s">
        <v>52</v>
      </c>
      <c r="K1035" s="33" t="s">
        <v>23</v>
      </c>
      <c r="L1035" s="38">
        <f t="shared" si="35"/>
        <v>8748.3816000000006</v>
      </c>
      <c r="M1035" s="38">
        <v>63.41</v>
      </c>
      <c r="N1035" s="24">
        <f>_xlfn.XLOOKUP(Snitch_Fashion_Sales_cleaned!$J1035,Table2[City],Table2[City_Key],"not found")</f>
        <v>5</v>
      </c>
      <c r="O1035" s="23">
        <f>_xlfn.XLOOKUP(Snitch_Fashion_Sales_cleaned!$D1035,Table4[Product_Name],Table4[Product_Key],"not found")</f>
        <v>7</v>
      </c>
      <c r="P1035" s="32">
        <f>_xlfn.XLOOKUP(Snitch_Fashion_Sales_cleaned!$I1035,Table3[Order_Date],Table3[Date_Key])</f>
        <v>5</v>
      </c>
    </row>
    <row r="1036" spans="1:16" x14ac:dyDescent="0.3">
      <c r="A1036" s="27">
        <v>2034</v>
      </c>
      <c r="B1036" s="25" t="s">
        <v>1075</v>
      </c>
      <c r="C1036" s="25" t="s">
        <v>28</v>
      </c>
      <c r="D1036" s="26" t="s">
        <v>39</v>
      </c>
      <c r="E1036" s="27">
        <v>6</v>
      </c>
      <c r="F1036" s="28">
        <v>3080.12</v>
      </c>
      <c r="G1036" s="29">
        <v>0.26</v>
      </c>
      <c r="H1036" s="28">
        <f t="shared" si="34"/>
        <v>18480.72</v>
      </c>
      <c r="I1036" s="30">
        <v>45831</v>
      </c>
      <c r="J1036" s="26" t="s">
        <v>52</v>
      </c>
      <c r="K1036" s="26" t="s">
        <v>16</v>
      </c>
      <c r="L1036" s="31">
        <f t="shared" si="35"/>
        <v>13675.732800000002</v>
      </c>
      <c r="M1036" s="31">
        <v>-678.89</v>
      </c>
      <c r="N1036" s="22">
        <f>_xlfn.XLOOKUP(Snitch_Fashion_Sales_cleaned!$J1036,Table2[City],Table2[City_Key],"not found")</f>
        <v>5</v>
      </c>
      <c r="O1036" s="21">
        <f>_xlfn.XLOOKUP(Snitch_Fashion_Sales_cleaned!$D1036,Table4[Product_Name],Table4[Product_Key],"not found")</f>
        <v>8</v>
      </c>
      <c r="P1036" s="25">
        <f>_xlfn.XLOOKUP(Snitch_Fashion_Sales_cleaned!$I1036,Table3[Order_Date],Table3[Date_Key])</f>
        <v>281</v>
      </c>
    </row>
    <row r="1037" spans="1:16" x14ac:dyDescent="0.3">
      <c r="A1037" s="34">
        <v>2035</v>
      </c>
      <c r="B1037" s="32" t="s">
        <v>1076</v>
      </c>
      <c r="C1037" s="32" t="s">
        <v>36</v>
      </c>
      <c r="D1037" s="33" t="s">
        <v>55</v>
      </c>
      <c r="E1037" s="34">
        <v>3</v>
      </c>
      <c r="F1037" s="35">
        <v>2516.6</v>
      </c>
      <c r="G1037" s="36">
        <v>0.51</v>
      </c>
      <c r="H1037" s="35">
        <f t="shared" si="34"/>
        <v>7549.7999999999993</v>
      </c>
      <c r="I1037" s="37">
        <v>45769</v>
      </c>
      <c r="J1037" s="33" t="s">
        <v>18</v>
      </c>
      <c r="K1037" s="33" t="s">
        <v>16</v>
      </c>
      <c r="L1037" s="38">
        <f t="shared" si="35"/>
        <v>3699.4019999999996</v>
      </c>
      <c r="M1037" s="38">
        <v>2860.05</v>
      </c>
      <c r="N1037" s="24">
        <f>_xlfn.XLOOKUP(Snitch_Fashion_Sales_cleaned!$J1037,Table2[City],Table2[City_Key],"not found")</f>
        <v>2</v>
      </c>
      <c r="O1037" s="23">
        <f>_xlfn.XLOOKUP(Snitch_Fashion_Sales_cleaned!$D1037,Table4[Product_Name],Table4[Product_Key],"not found")</f>
        <v>12</v>
      </c>
      <c r="P1037" s="32">
        <f>_xlfn.XLOOKUP(Snitch_Fashion_Sales_cleaned!$I1037,Table3[Order_Date],Table3[Date_Key])</f>
        <v>187</v>
      </c>
    </row>
    <row r="1038" spans="1:16" x14ac:dyDescent="0.3">
      <c r="A1038" s="27">
        <v>2036</v>
      </c>
      <c r="B1038" s="25" t="s">
        <v>1077</v>
      </c>
      <c r="C1038" s="25" t="s">
        <v>31</v>
      </c>
      <c r="D1038" s="26" t="s">
        <v>78</v>
      </c>
      <c r="E1038" s="27">
        <v>4</v>
      </c>
      <c r="F1038" s="28">
        <v>2599.75</v>
      </c>
      <c r="G1038" s="29">
        <v>0.72</v>
      </c>
      <c r="H1038" s="28">
        <f t="shared" si="34"/>
        <v>10399</v>
      </c>
      <c r="I1038" s="30">
        <v>45647</v>
      </c>
      <c r="J1038" s="26" t="s">
        <v>18</v>
      </c>
      <c r="K1038" s="26" t="s">
        <v>23</v>
      </c>
      <c r="L1038" s="31">
        <f t="shared" si="35"/>
        <v>2911.7200000000003</v>
      </c>
      <c r="M1038" s="31">
        <v>106.67</v>
      </c>
      <c r="N1038" s="22">
        <f>_xlfn.XLOOKUP(Snitch_Fashion_Sales_cleaned!$J1038,Table2[City],Table2[City_Key],"not found")</f>
        <v>2</v>
      </c>
      <c r="O1038" s="21">
        <f>_xlfn.XLOOKUP(Snitch_Fashion_Sales_cleaned!$D1038,Table4[Product_Name],Table4[Product_Key],"not found")</f>
        <v>17</v>
      </c>
      <c r="P1038" s="25">
        <f>_xlfn.XLOOKUP(Snitch_Fashion_Sales_cleaned!$I1038,Table3[Order_Date],Table3[Date_Key])</f>
        <v>5</v>
      </c>
    </row>
    <row r="1039" spans="1:16" x14ac:dyDescent="0.3">
      <c r="A1039" s="34">
        <v>2037</v>
      </c>
      <c r="B1039" s="32" t="s">
        <v>1078</v>
      </c>
      <c r="C1039" s="32" t="s">
        <v>25</v>
      </c>
      <c r="D1039" s="33" t="s">
        <v>82</v>
      </c>
      <c r="E1039" s="34">
        <v>1</v>
      </c>
      <c r="F1039" s="35">
        <v>1120.52</v>
      </c>
      <c r="G1039" s="36">
        <v>0.51</v>
      </c>
      <c r="H1039" s="35">
        <f t="shared" si="34"/>
        <v>1120.52</v>
      </c>
      <c r="I1039" s="37">
        <v>45849</v>
      </c>
      <c r="J1039" s="33" t="s">
        <v>52</v>
      </c>
      <c r="K1039" s="33" t="s">
        <v>23</v>
      </c>
      <c r="L1039" s="38">
        <f t="shared" si="35"/>
        <v>549.0548</v>
      </c>
      <c r="M1039" s="38">
        <v>-523.32000000000005</v>
      </c>
      <c r="N1039" s="24">
        <f>_xlfn.XLOOKUP(Snitch_Fashion_Sales_cleaned!$J1039,Table2[City],Table2[City_Key],"not found")</f>
        <v>5</v>
      </c>
      <c r="O1039" s="23">
        <f>_xlfn.XLOOKUP(Snitch_Fashion_Sales_cleaned!$D1039,Table4[Product_Name],Table4[Product_Key],"not found")</f>
        <v>18</v>
      </c>
      <c r="P1039" s="32">
        <f>_xlfn.XLOOKUP(Snitch_Fashion_Sales_cleaned!$I1039,Table3[Order_Date],Table3[Date_Key])</f>
        <v>41</v>
      </c>
    </row>
    <row r="1040" spans="1:16" x14ac:dyDescent="0.3">
      <c r="A1040" s="27">
        <v>2038</v>
      </c>
      <c r="B1040" s="25" t="s">
        <v>1079</v>
      </c>
      <c r="C1040" s="25" t="s">
        <v>31</v>
      </c>
      <c r="D1040" s="26" t="s">
        <v>41</v>
      </c>
      <c r="E1040" s="27">
        <v>3</v>
      </c>
      <c r="F1040" s="28">
        <v>3027.66</v>
      </c>
      <c r="G1040" s="29">
        <v>0.51</v>
      </c>
      <c r="H1040" s="28">
        <f t="shared" si="34"/>
        <v>9082.98</v>
      </c>
      <c r="I1040" s="30">
        <v>45367</v>
      </c>
      <c r="J1040" s="26" t="s">
        <v>52</v>
      </c>
      <c r="K1040" s="26" t="s">
        <v>23</v>
      </c>
      <c r="L1040" s="31">
        <f t="shared" si="35"/>
        <v>4450.6601999999993</v>
      </c>
      <c r="M1040" s="31">
        <v>2548.6</v>
      </c>
      <c r="N1040" s="22">
        <f>_xlfn.XLOOKUP(Snitch_Fashion_Sales_cleaned!$J1040,Table2[City],Table2[City_Key],"not found")</f>
        <v>5</v>
      </c>
      <c r="O1040" s="21">
        <f>_xlfn.XLOOKUP(Snitch_Fashion_Sales_cleaned!$D1040,Table4[Product_Name],Table4[Product_Key],"not found")</f>
        <v>9</v>
      </c>
      <c r="P1040" s="25">
        <f>_xlfn.XLOOKUP(Snitch_Fashion_Sales_cleaned!$I1040,Table3[Order_Date],Table3[Date_Key])</f>
        <v>392</v>
      </c>
    </row>
    <row r="1041" spans="1:16" x14ac:dyDescent="0.3">
      <c r="A1041" s="34">
        <v>2039</v>
      </c>
      <c r="B1041" s="32" t="s">
        <v>1080</v>
      </c>
      <c r="C1041" s="32" t="s">
        <v>20</v>
      </c>
      <c r="D1041" s="33" t="s">
        <v>21</v>
      </c>
      <c r="E1041" s="34">
        <v>4</v>
      </c>
      <c r="F1041" s="35">
        <v>1802.43</v>
      </c>
      <c r="G1041" s="36">
        <v>0.51</v>
      </c>
      <c r="H1041" s="35">
        <f t="shared" si="34"/>
        <v>7209.72</v>
      </c>
      <c r="I1041" s="37">
        <v>45647</v>
      </c>
      <c r="J1041" s="33" t="s">
        <v>52</v>
      </c>
      <c r="K1041" s="33" t="s">
        <v>23</v>
      </c>
      <c r="L1041" s="38">
        <f t="shared" si="35"/>
        <v>3532.7628</v>
      </c>
      <c r="M1041" s="38">
        <v>644.27</v>
      </c>
      <c r="N1041" s="24">
        <f>_xlfn.XLOOKUP(Snitch_Fashion_Sales_cleaned!$J1041,Table2[City],Table2[City_Key],"not found")</f>
        <v>5</v>
      </c>
      <c r="O1041" s="23">
        <f>_xlfn.XLOOKUP(Snitch_Fashion_Sales_cleaned!$D1041,Table4[Product_Name],Table4[Product_Key],"not found")</f>
        <v>2</v>
      </c>
      <c r="P1041" s="32">
        <f>_xlfn.XLOOKUP(Snitch_Fashion_Sales_cleaned!$I1041,Table3[Order_Date],Table3[Date_Key])</f>
        <v>5</v>
      </c>
    </row>
    <row r="1042" spans="1:16" x14ac:dyDescent="0.3">
      <c r="A1042" s="27">
        <v>2040</v>
      </c>
      <c r="B1042" s="25" t="s">
        <v>1081</v>
      </c>
      <c r="C1042" s="25" t="s">
        <v>36</v>
      </c>
      <c r="D1042" s="26" t="s">
        <v>87</v>
      </c>
      <c r="E1042" s="27">
        <v>4</v>
      </c>
      <c r="F1042" s="28">
        <v>2889.5349999999999</v>
      </c>
      <c r="G1042" s="29">
        <v>0.34</v>
      </c>
      <c r="H1042" s="28">
        <f t="shared" si="34"/>
        <v>11558.14</v>
      </c>
      <c r="I1042" s="30">
        <v>45531</v>
      </c>
      <c r="J1042" s="26" t="s">
        <v>52</v>
      </c>
      <c r="K1042" s="26" t="s">
        <v>16</v>
      </c>
      <c r="L1042" s="31">
        <f t="shared" si="35"/>
        <v>7628.3723999999984</v>
      </c>
      <c r="M1042" s="31">
        <v>-838.24</v>
      </c>
      <c r="N1042" s="22">
        <f>_xlfn.XLOOKUP(Snitch_Fashion_Sales_cleaned!$J1042,Table2[City],Table2[City_Key],"not found")</f>
        <v>5</v>
      </c>
      <c r="O1042" s="21">
        <f>_xlfn.XLOOKUP(Snitch_Fashion_Sales_cleaned!$D1042,Table4[Product_Name],Table4[Product_Key],"not found")</f>
        <v>20</v>
      </c>
      <c r="P1042" s="25">
        <f>_xlfn.XLOOKUP(Snitch_Fashion_Sales_cleaned!$I1042,Table3[Order_Date],Table3[Date_Key])</f>
        <v>117</v>
      </c>
    </row>
    <row r="1043" spans="1:16" x14ac:dyDescent="0.3">
      <c r="A1043" s="34">
        <v>2041</v>
      </c>
      <c r="B1043" s="32" t="s">
        <v>1082</v>
      </c>
      <c r="C1043" s="32" t="s">
        <v>36</v>
      </c>
      <c r="D1043" s="33" t="s">
        <v>87</v>
      </c>
      <c r="E1043" s="34">
        <v>4</v>
      </c>
      <c r="F1043" s="35">
        <v>854.8</v>
      </c>
      <c r="G1043" s="36">
        <v>0.51</v>
      </c>
      <c r="H1043" s="35">
        <f t="shared" si="34"/>
        <v>3419.2</v>
      </c>
      <c r="I1043" s="37">
        <v>45619</v>
      </c>
      <c r="J1043" s="33" t="s">
        <v>15</v>
      </c>
      <c r="K1043" s="33" t="s">
        <v>16</v>
      </c>
      <c r="L1043" s="38">
        <f t="shared" si="35"/>
        <v>1675.4079999999999</v>
      </c>
      <c r="M1043" s="38">
        <v>400.41</v>
      </c>
      <c r="N1043" s="24">
        <f>_xlfn.XLOOKUP(Snitch_Fashion_Sales_cleaned!$J1043,Table2[City],Table2[City_Key],"not found")</f>
        <v>1</v>
      </c>
      <c r="O1043" s="23">
        <f>_xlfn.XLOOKUP(Snitch_Fashion_Sales_cleaned!$D1043,Table4[Product_Name],Table4[Product_Key],"not found")</f>
        <v>20</v>
      </c>
      <c r="P1043" s="32">
        <f>_xlfn.XLOOKUP(Snitch_Fashion_Sales_cleaned!$I1043,Table3[Order_Date],Table3[Date_Key])</f>
        <v>411</v>
      </c>
    </row>
    <row r="1044" spans="1:16" x14ac:dyDescent="0.3">
      <c r="A1044" s="27">
        <v>2042</v>
      </c>
      <c r="B1044" s="25" t="s">
        <v>1083</v>
      </c>
      <c r="C1044" s="25" t="s">
        <v>31</v>
      </c>
      <c r="D1044" s="26" t="s">
        <v>68</v>
      </c>
      <c r="E1044" s="27">
        <v>3</v>
      </c>
      <c r="F1044" s="28">
        <v>2765.79</v>
      </c>
      <c r="G1044" s="29">
        <v>0.51</v>
      </c>
      <c r="H1044" s="28">
        <f t="shared" si="34"/>
        <v>8297.369999999999</v>
      </c>
      <c r="I1044" s="30">
        <v>45647</v>
      </c>
      <c r="J1044" s="26" t="s">
        <v>22</v>
      </c>
      <c r="K1044" s="26" t="s">
        <v>16</v>
      </c>
      <c r="L1044" s="31">
        <f t="shared" si="35"/>
        <v>4065.7112999999995</v>
      </c>
      <c r="M1044" s="31">
        <v>80.86</v>
      </c>
      <c r="N1044" s="22">
        <f>_xlfn.XLOOKUP(Snitch_Fashion_Sales_cleaned!$J1044,Table2[City],Table2[City_Key],"not found")</f>
        <v>3</v>
      </c>
      <c r="O1044" s="21">
        <f>_xlfn.XLOOKUP(Snitch_Fashion_Sales_cleaned!$D1044,Table4[Product_Name],Table4[Product_Key],"not found")</f>
        <v>15</v>
      </c>
      <c r="P1044" s="25">
        <f>_xlfn.XLOOKUP(Snitch_Fashion_Sales_cleaned!$I1044,Table3[Order_Date],Table3[Date_Key])</f>
        <v>5</v>
      </c>
    </row>
    <row r="1045" spans="1:16" x14ac:dyDescent="0.3">
      <c r="A1045" s="34">
        <v>2043</v>
      </c>
      <c r="B1045" s="32" t="s">
        <v>1084</v>
      </c>
      <c r="C1045" s="32" t="s">
        <v>31</v>
      </c>
      <c r="D1045" s="33" t="s">
        <v>32</v>
      </c>
      <c r="E1045" s="34">
        <v>4</v>
      </c>
      <c r="F1045" s="35">
        <v>2001.5500000000002</v>
      </c>
      <c r="G1045" s="36">
        <v>0.74</v>
      </c>
      <c r="H1045" s="35">
        <f t="shared" si="34"/>
        <v>8006.2000000000007</v>
      </c>
      <c r="I1045" s="37">
        <v>45801</v>
      </c>
      <c r="J1045" s="33" t="s">
        <v>2540</v>
      </c>
      <c r="K1045" s="33" t="s">
        <v>16</v>
      </c>
      <c r="L1045" s="38">
        <f t="shared" si="35"/>
        <v>2081.6120000000001</v>
      </c>
      <c r="M1045" s="38">
        <v>647.80999999999995</v>
      </c>
      <c r="N1045" s="24">
        <f>_xlfn.XLOOKUP(Snitch_Fashion_Sales_cleaned!$J1045,Table2[City],Table2[City_Key],"not found")</f>
        <v>4</v>
      </c>
      <c r="O1045" s="23">
        <f>_xlfn.XLOOKUP(Snitch_Fashion_Sales_cleaned!$D1045,Table4[Product_Name],Table4[Product_Key],"not found")</f>
        <v>5</v>
      </c>
      <c r="P1045" s="32">
        <f>_xlfn.XLOOKUP(Snitch_Fashion_Sales_cleaned!$I1045,Table3[Order_Date],Table3[Date_Key])</f>
        <v>252</v>
      </c>
    </row>
    <row r="1046" spans="1:16" x14ac:dyDescent="0.3">
      <c r="A1046" s="27">
        <v>2044</v>
      </c>
      <c r="B1046" s="25" t="s">
        <v>1085</v>
      </c>
      <c r="C1046" s="25" t="s">
        <v>28</v>
      </c>
      <c r="D1046" s="26" t="s">
        <v>29</v>
      </c>
      <c r="E1046" s="27">
        <v>3</v>
      </c>
      <c r="F1046" s="28">
        <v>2912.48</v>
      </c>
      <c r="G1046" s="29">
        <v>0.39</v>
      </c>
      <c r="H1046" s="28">
        <f t="shared" si="34"/>
        <v>8737.44</v>
      </c>
      <c r="I1046" s="30">
        <v>45786</v>
      </c>
      <c r="J1046" s="26" t="s">
        <v>22</v>
      </c>
      <c r="K1046" s="26" t="s">
        <v>16</v>
      </c>
      <c r="L1046" s="31">
        <f t="shared" si="35"/>
        <v>5329.8384000000005</v>
      </c>
      <c r="M1046" s="31">
        <v>565.53</v>
      </c>
      <c r="N1046" s="22">
        <f>_xlfn.XLOOKUP(Snitch_Fashion_Sales_cleaned!$J1046,Table2[City],Table2[City_Key],"not found")</f>
        <v>3</v>
      </c>
      <c r="O1046" s="21">
        <f>_xlfn.XLOOKUP(Snitch_Fashion_Sales_cleaned!$D1046,Table4[Product_Name],Table4[Product_Key],"not found")</f>
        <v>4</v>
      </c>
      <c r="P1046" s="25">
        <f>_xlfn.XLOOKUP(Snitch_Fashion_Sales_cleaned!$I1046,Table3[Order_Date],Table3[Date_Key])</f>
        <v>408</v>
      </c>
    </row>
    <row r="1047" spans="1:16" x14ac:dyDescent="0.3">
      <c r="A1047" s="34">
        <v>2045</v>
      </c>
      <c r="B1047" s="32" t="s">
        <v>1086</v>
      </c>
      <c r="C1047" s="32" t="s">
        <v>20</v>
      </c>
      <c r="D1047" s="33" t="s">
        <v>21</v>
      </c>
      <c r="E1047" s="34">
        <v>4</v>
      </c>
      <c r="F1047" s="35">
        <v>473.68</v>
      </c>
      <c r="G1047" s="36">
        <v>0.51</v>
      </c>
      <c r="H1047" s="35">
        <f t="shared" si="34"/>
        <v>1894.72</v>
      </c>
      <c r="I1047" s="37">
        <v>45647</v>
      </c>
      <c r="J1047" s="33" t="s">
        <v>52</v>
      </c>
      <c r="K1047" s="33" t="s">
        <v>16</v>
      </c>
      <c r="L1047" s="38">
        <f t="shared" si="35"/>
        <v>928.41279999999995</v>
      </c>
      <c r="M1047" s="38">
        <v>-108.72</v>
      </c>
      <c r="N1047" s="24">
        <f>_xlfn.XLOOKUP(Snitch_Fashion_Sales_cleaned!$J1047,Table2[City],Table2[City_Key],"not found")</f>
        <v>5</v>
      </c>
      <c r="O1047" s="23">
        <f>_xlfn.XLOOKUP(Snitch_Fashion_Sales_cleaned!$D1047,Table4[Product_Name],Table4[Product_Key],"not found")</f>
        <v>2</v>
      </c>
      <c r="P1047" s="32">
        <f>_xlfn.XLOOKUP(Snitch_Fashion_Sales_cleaned!$I1047,Table3[Order_Date],Table3[Date_Key])</f>
        <v>5</v>
      </c>
    </row>
    <row r="1048" spans="1:16" x14ac:dyDescent="0.3">
      <c r="A1048" s="27">
        <v>2046</v>
      </c>
      <c r="B1048" s="25" t="s">
        <v>1087</v>
      </c>
      <c r="C1048" s="25" t="s">
        <v>28</v>
      </c>
      <c r="D1048" s="26" t="s">
        <v>116</v>
      </c>
      <c r="E1048" s="27">
        <v>6</v>
      </c>
      <c r="F1048" s="28">
        <v>2785.79</v>
      </c>
      <c r="G1048" s="29">
        <v>0.6</v>
      </c>
      <c r="H1048" s="28">
        <f t="shared" si="34"/>
        <v>16714.739999999998</v>
      </c>
      <c r="I1048" s="30">
        <v>45242</v>
      </c>
      <c r="J1048" s="26" t="s">
        <v>22</v>
      </c>
      <c r="K1048" s="26" t="s">
        <v>16</v>
      </c>
      <c r="L1048" s="31">
        <f t="shared" si="35"/>
        <v>6685.8959999999997</v>
      </c>
      <c r="M1048" s="31">
        <v>1657.74</v>
      </c>
      <c r="N1048" s="22">
        <f>_xlfn.XLOOKUP(Snitch_Fashion_Sales_cleaned!$J1048,Table2[City],Table2[City_Key],"not found")</f>
        <v>3</v>
      </c>
      <c r="O1048" s="21">
        <f>_xlfn.XLOOKUP(Snitch_Fashion_Sales_cleaned!$D1048,Table4[Product_Name],Table4[Product_Key],"not found")</f>
        <v>22</v>
      </c>
      <c r="P1048" s="25">
        <f>_xlfn.XLOOKUP(Snitch_Fashion_Sales_cleaned!$I1048,Table3[Order_Date],Table3[Date_Key])</f>
        <v>412</v>
      </c>
    </row>
    <row r="1049" spans="1:16" x14ac:dyDescent="0.3">
      <c r="A1049" s="34">
        <v>2047</v>
      </c>
      <c r="B1049" s="32" t="s">
        <v>1088</v>
      </c>
      <c r="C1049" s="32" t="s">
        <v>13</v>
      </c>
      <c r="D1049" s="33" t="s">
        <v>34</v>
      </c>
      <c r="E1049" s="34">
        <v>3</v>
      </c>
      <c r="F1049" s="35">
        <v>3008.6549999999997</v>
      </c>
      <c r="G1049" s="36">
        <v>0.51</v>
      </c>
      <c r="H1049" s="35">
        <f t="shared" si="34"/>
        <v>9025.9650000000001</v>
      </c>
      <c r="I1049" s="37">
        <v>45767</v>
      </c>
      <c r="J1049" s="33" t="s">
        <v>22</v>
      </c>
      <c r="K1049" s="33" t="s">
        <v>16</v>
      </c>
      <c r="L1049" s="38">
        <f t="shared" si="35"/>
        <v>4422.7228500000001</v>
      </c>
      <c r="M1049" s="38">
        <v>238.33</v>
      </c>
      <c r="N1049" s="24">
        <f>_xlfn.XLOOKUP(Snitch_Fashion_Sales_cleaned!$J1049,Table2[City],Table2[City_Key],"not found")</f>
        <v>3</v>
      </c>
      <c r="O1049" s="23">
        <f>_xlfn.XLOOKUP(Snitch_Fashion_Sales_cleaned!$D1049,Table4[Product_Name],Table4[Product_Key],"not found")</f>
        <v>6</v>
      </c>
      <c r="P1049" s="32">
        <f>_xlfn.XLOOKUP(Snitch_Fashion_Sales_cleaned!$I1049,Table3[Order_Date],Table3[Date_Key])</f>
        <v>413</v>
      </c>
    </row>
    <row r="1050" spans="1:16" x14ac:dyDescent="0.3">
      <c r="A1050" s="27">
        <v>2048</v>
      </c>
      <c r="B1050" s="25" t="s">
        <v>1089</v>
      </c>
      <c r="C1050" s="25" t="s">
        <v>25</v>
      </c>
      <c r="D1050" s="26" t="s">
        <v>62</v>
      </c>
      <c r="E1050" s="27">
        <v>4</v>
      </c>
      <c r="F1050" s="28">
        <v>1469.13</v>
      </c>
      <c r="G1050" s="29">
        <v>0.11</v>
      </c>
      <c r="H1050" s="28">
        <f t="shared" si="34"/>
        <v>5876.52</v>
      </c>
      <c r="I1050" s="30">
        <v>45569</v>
      </c>
      <c r="J1050" s="26" t="s">
        <v>18</v>
      </c>
      <c r="K1050" s="26" t="s">
        <v>16</v>
      </c>
      <c r="L1050" s="31">
        <f t="shared" si="35"/>
        <v>5230.1028000000006</v>
      </c>
      <c r="M1050" s="31">
        <v>665.1</v>
      </c>
      <c r="N1050" s="22">
        <f>_xlfn.XLOOKUP(Snitch_Fashion_Sales_cleaned!$J1050,Table2[City],Table2[City_Key],"not found")</f>
        <v>2</v>
      </c>
      <c r="O1050" s="21">
        <f>_xlfn.XLOOKUP(Snitch_Fashion_Sales_cleaned!$D1050,Table4[Product_Name],Table4[Product_Key],"not found")</f>
        <v>14</v>
      </c>
      <c r="P1050" s="25">
        <f>_xlfn.XLOOKUP(Snitch_Fashion_Sales_cleaned!$I1050,Table3[Order_Date],Table3[Date_Key])</f>
        <v>108</v>
      </c>
    </row>
    <row r="1051" spans="1:16" x14ac:dyDescent="0.3">
      <c r="A1051" s="34">
        <v>2049</v>
      </c>
      <c r="B1051" s="32" t="s">
        <v>1090</v>
      </c>
      <c r="C1051" s="32" t="s">
        <v>25</v>
      </c>
      <c r="D1051" s="33" t="s">
        <v>26</v>
      </c>
      <c r="E1051" s="34">
        <v>4</v>
      </c>
      <c r="F1051" s="35">
        <v>2462.92</v>
      </c>
      <c r="G1051" s="36">
        <v>0.51</v>
      </c>
      <c r="H1051" s="35">
        <f t="shared" si="34"/>
        <v>9851.68</v>
      </c>
      <c r="I1051" s="37">
        <v>45647</v>
      </c>
      <c r="J1051" s="33" t="s">
        <v>15</v>
      </c>
      <c r="K1051" s="33" t="s">
        <v>23</v>
      </c>
      <c r="L1051" s="38">
        <f t="shared" si="35"/>
        <v>4827.3231999999998</v>
      </c>
      <c r="M1051" s="38">
        <v>825.06</v>
      </c>
      <c r="N1051" s="24">
        <f>_xlfn.XLOOKUP(Snitch_Fashion_Sales_cleaned!$J1051,Table2[City],Table2[City_Key],"not found")</f>
        <v>1</v>
      </c>
      <c r="O1051" s="23">
        <f>_xlfn.XLOOKUP(Snitch_Fashion_Sales_cleaned!$D1051,Table4[Product_Name],Table4[Product_Key],"not found")</f>
        <v>3</v>
      </c>
      <c r="P1051" s="32">
        <f>_xlfn.XLOOKUP(Snitch_Fashion_Sales_cleaned!$I1051,Table3[Order_Date],Table3[Date_Key])</f>
        <v>5</v>
      </c>
    </row>
    <row r="1052" spans="1:16" x14ac:dyDescent="0.3">
      <c r="A1052" s="27">
        <v>2050</v>
      </c>
      <c r="B1052" s="25" t="s">
        <v>1091</v>
      </c>
      <c r="C1052" s="25" t="s">
        <v>31</v>
      </c>
      <c r="D1052" s="26" t="s">
        <v>41</v>
      </c>
      <c r="E1052" s="27">
        <v>1</v>
      </c>
      <c r="F1052" s="28">
        <v>4234.28</v>
      </c>
      <c r="G1052" s="29">
        <v>0.51</v>
      </c>
      <c r="H1052" s="28">
        <f t="shared" si="34"/>
        <v>4234.28</v>
      </c>
      <c r="I1052" s="30">
        <v>45457</v>
      </c>
      <c r="J1052" s="26" t="s">
        <v>22</v>
      </c>
      <c r="K1052" s="26" t="s">
        <v>23</v>
      </c>
      <c r="L1052" s="31">
        <f t="shared" si="35"/>
        <v>2074.7972</v>
      </c>
      <c r="M1052" s="31">
        <v>518.69929999999999</v>
      </c>
      <c r="N1052" s="22">
        <f>_xlfn.XLOOKUP(Snitch_Fashion_Sales_cleaned!$J1052,Table2[City],Table2[City_Key],"not found")</f>
        <v>3</v>
      </c>
      <c r="O1052" s="21">
        <f>_xlfn.XLOOKUP(Snitch_Fashion_Sales_cleaned!$D1052,Table4[Product_Name],Table4[Product_Key],"not found")</f>
        <v>9</v>
      </c>
      <c r="P1052" s="25">
        <f>_xlfn.XLOOKUP(Snitch_Fashion_Sales_cleaned!$I1052,Table3[Order_Date],Table3[Date_Key])</f>
        <v>414</v>
      </c>
    </row>
    <row r="1053" spans="1:16" x14ac:dyDescent="0.3">
      <c r="A1053" s="34">
        <v>2051</v>
      </c>
      <c r="B1053" s="32" t="s">
        <v>1092</v>
      </c>
      <c r="C1053" s="32" t="s">
        <v>28</v>
      </c>
      <c r="D1053" s="33" t="s">
        <v>39</v>
      </c>
      <c r="E1053" s="34">
        <v>2</v>
      </c>
      <c r="F1053" s="35">
        <v>1234.27</v>
      </c>
      <c r="G1053" s="36">
        <v>0.51</v>
      </c>
      <c r="H1053" s="35">
        <f t="shared" si="34"/>
        <v>2468.54</v>
      </c>
      <c r="I1053" s="37">
        <v>45716</v>
      </c>
      <c r="J1053" s="33" t="s">
        <v>43</v>
      </c>
      <c r="K1053" s="33" t="s">
        <v>23</v>
      </c>
      <c r="L1053" s="38">
        <f t="shared" si="35"/>
        <v>1209.5845999999999</v>
      </c>
      <c r="M1053" s="38">
        <v>-911.71</v>
      </c>
      <c r="N1053" s="24">
        <f>_xlfn.XLOOKUP(Snitch_Fashion_Sales_cleaned!$J1053,Table2[City],Table2[City_Key],"not found")</f>
        <v>6</v>
      </c>
      <c r="O1053" s="23">
        <f>_xlfn.XLOOKUP(Snitch_Fashion_Sales_cleaned!$D1053,Table4[Product_Name],Table4[Product_Key],"not found")</f>
        <v>8</v>
      </c>
      <c r="P1053" s="32">
        <f>_xlfn.XLOOKUP(Snitch_Fashion_Sales_cleaned!$I1053,Table3[Order_Date],Table3[Date_Key])</f>
        <v>415</v>
      </c>
    </row>
    <row r="1054" spans="1:16" x14ac:dyDescent="0.3">
      <c r="A1054" s="27">
        <v>2052</v>
      </c>
      <c r="B1054" s="25" t="s">
        <v>1093</v>
      </c>
      <c r="C1054" s="25" t="s">
        <v>36</v>
      </c>
      <c r="D1054" s="26" t="s">
        <v>55</v>
      </c>
      <c r="E1054" s="27">
        <v>3</v>
      </c>
      <c r="F1054" s="28">
        <v>4971.74</v>
      </c>
      <c r="G1054" s="29">
        <v>0.51</v>
      </c>
      <c r="H1054" s="28">
        <f t="shared" si="34"/>
        <v>14915.22</v>
      </c>
      <c r="I1054" s="30">
        <v>45443</v>
      </c>
      <c r="J1054" s="26" t="s">
        <v>2540</v>
      </c>
      <c r="K1054" s="26" t="s">
        <v>23</v>
      </c>
      <c r="L1054" s="31">
        <f t="shared" si="35"/>
        <v>7308.4577999999992</v>
      </c>
      <c r="M1054" s="31">
        <v>1386.13</v>
      </c>
      <c r="N1054" s="22">
        <f>_xlfn.XLOOKUP(Snitch_Fashion_Sales_cleaned!$J1054,Table2[City],Table2[City_Key],"not found")</f>
        <v>4</v>
      </c>
      <c r="O1054" s="21">
        <f>_xlfn.XLOOKUP(Snitch_Fashion_Sales_cleaned!$D1054,Table4[Product_Name],Table4[Product_Key],"not found")</f>
        <v>12</v>
      </c>
      <c r="P1054" s="25">
        <f>_xlfn.XLOOKUP(Snitch_Fashion_Sales_cleaned!$I1054,Table3[Order_Date],Table3[Date_Key])</f>
        <v>416</v>
      </c>
    </row>
    <row r="1055" spans="1:16" x14ac:dyDescent="0.3">
      <c r="A1055" s="34">
        <v>2053</v>
      </c>
      <c r="B1055" s="32" t="s">
        <v>1094</v>
      </c>
      <c r="C1055" s="32" t="s">
        <v>28</v>
      </c>
      <c r="D1055" s="33" t="s">
        <v>29</v>
      </c>
      <c r="E1055" s="34">
        <v>3</v>
      </c>
      <c r="F1055" s="35">
        <v>2515.415</v>
      </c>
      <c r="G1055" s="36">
        <v>0.51</v>
      </c>
      <c r="H1055" s="35">
        <f t="shared" si="34"/>
        <v>7546.2449999999999</v>
      </c>
      <c r="I1055" s="37">
        <v>45501</v>
      </c>
      <c r="J1055" s="33" t="s">
        <v>43</v>
      </c>
      <c r="K1055" s="33" t="s">
        <v>23</v>
      </c>
      <c r="L1055" s="38">
        <f t="shared" si="35"/>
        <v>3697.66005</v>
      </c>
      <c r="M1055" s="38">
        <v>-940.51</v>
      </c>
      <c r="N1055" s="24">
        <f>_xlfn.XLOOKUP(Snitch_Fashion_Sales_cleaned!$J1055,Table2[City],Table2[City_Key],"not found")</f>
        <v>6</v>
      </c>
      <c r="O1055" s="23">
        <f>_xlfn.XLOOKUP(Snitch_Fashion_Sales_cleaned!$D1055,Table4[Product_Name],Table4[Product_Key],"not found")</f>
        <v>4</v>
      </c>
      <c r="P1055" s="32">
        <f>_xlfn.XLOOKUP(Snitch_Fashion_Sales_cleaned!$I1055,Table3[Order_Date],Table3[Date_Key])</f>
        <v>417</v>
      </c>
    </row>
    <row r="1056" spans="1:16" x14ac:dyDescent="0.3">
      <c r="A1056" s="27">
        <v>2054</v>
      </c>
      <c r="B1056" s="25" t="s">
        <v>1095</v>
      </c>
      <c r="C1056" s="25" t="s">
        <v>13</v>
      </c>
      <c r="D1056" s="26" t="s">
        <v>34</v>
      </c>
      <c r="E1056" s="27">
        <v>1</v>
      </c>
      <c r="F1056" s="28">
        <v>1254.77</v>
      </c>
      <c r="G1056" s="29">
        <v>0.62</v>
      </c>
      <c r="H1056" s="28">
        <f t="shared" si="34"/>
        <v>1254.77</v>
      </c>
      <c r="I1056" s="30">
        <v>45647</v>
      </c>
      <c r="J1056" s="26" t="s">
        <v>52</v>
      </c>
      <c r="K1056" s="26" t="s">
        <v>23</v>
      </c>
      <c r="L1056" s="31">
        <f t="shared" si="35"/>
        <v>476.81259999999997</v>
      </c>
      <c r="M1056" s="31">
        <v>119.20314999999999</v>
      </c>
      <c r="N1056" s="22">
        <f>_xlfn.XLOOKUP(Snitch_Fashion_Sales_cleaned!$J1056,Table2[City],Table2[City_Key],"not found")</f>
        <v>5</v>
      </c>
      <c r="O1056" s="21">
        <f>_xlfn.XLOOKUP(Snitch_Fashion_Sales_cleaned!$D1056,Table4[Product_Name],Table4[Product_Key],"not found")</f>
        <v>6</v>
      </c>
      <c r="P1056" s="25">
        <f>_xlfn.XLOOKUP(Snitch_Fashion_Sales_cleaned!$I1056,Table3[Order_Date],Table3[Date_Key])</f>
        <v>5</v>
      </c>
    </row>
    <row r="1057" spans="1:16" x14ac:dyDescent="0.3">
      <c r="A1057" s="34">
        <v>2055</v>
      </c>
      <c r="B1057" s="32" t="s">
        <v>1096</v>
      </c>
      <c r="C1057" s="32" t="s">
        <v>13</v>
      </c>
      <c r="D1057" s="33" t="s">
        <v>14</v>
      </c>
      <c r="E1057" s="34">
        <v>4</v>
      </c>
      <c r="F1057" s="35">
        <v>677.9</v>
      </c>
      <c r="G1057" s="36">
        <v>0.15</v>
      </c>
      <c r="H1057" s="35">
        <f t="shared" si="34"/>
        <v>2711.6</v>
      </c>
      <c r="I1057" s="37">
        <v>45647</v>
      </c>
      <c r="J1057" s="33" t="s">
        <v>52</v>
      </c>
      <c r="K1057" s="33" t="s">
        <v>23</v>
      </c>
      <c r="L1057" s="38">
        <f t="shared" si="35"/>
        <v>2304.8599999999997</v>
      </c>
      <c r="M1057" s="38">
        <v>-503.02</v>
      </c>
      <c r="N1057" s="24">
        <f>_xlfn.XLOOKUP(Snitch_Fashion_Sales_cleaned!$J1057,Table2[City],Table2[City_Key],"not found")</f>
        <v>5</v>
      </c>
      <c r="O1057" s="23">
        <f>_xlfn.XLOOKUP(Snitch_Fashion_Sales_cleaned!$D1057,Table4[Product_Name],Table4[Product_Key],"not found")</f>
        <v>1</v>
      </c>
      <c r="P1057" s="32">
        <f>_xlfn.XLOOKUP(Snitch_Fashion_Sales_cleaned!$I1057,Table3[Order_Date],Table3[Date_Key])</f>
        <v>5</v>
      </c>
    </row>
    <row r="1058" spans="1:16" x14ac:dyDescent="0.3">
      <c r="A1058" s="27">
        <v>2056</v>
      </c>
      <c r="B1058" s="25" t="s">
        <v>1097</v>
      </c>
      <c r="C1058" s="25" t="s">
        <v>36</v>
      </c>
      <c r="D1058" s="26" t="s">
        <v>59</v>
      </c>
      <c r="E1058" s="27">
        <v>3</v>
      </c>
      <c r="F1058" s="28">
        <v>2765.26</v>
      </c>
      <c r="G1058" s="29">
        <v>0.7</v>
      </c>
      <c r="H1058" s="28">
        <f t="shared" si="34"/>
        <v>8295.7800000000007</v>
      </c>
      <c r="I1058" s="30">
        <v>45184</v>
      </c>
      <c r="J1058" s="26" t="s">
        <v>18</v>
      </c>
      <c r="K1058" s="26" t="s">
        <v>23</v>
      </c>
      <c r="L1058" s="31">
        <f t="shared" si="35"/>
        <v>2488.7340000000004</v>
      </c>
      <c r="M1058" s="31">
        <v>622.18350000000009</v>
      </c>
      <c r="N1058" s="22">
        <f>_xlfn.XLOOKUP(Snitch_Fashion_Sales_cleaned!$J1058,Table2[City],Table2[City_Key],"not found")</f>
        <v>2</v>
      </c>
      <c r="O1058" s="21">
        <f>_xlfn.XLOOKUP(Snitch_Fashion_Sales_cleaned!$D1058,Table4[Product_Name],Table4[Product_Key],"not found")</f>
        <v>13</v>
      </c>
      <c r="P1058" s="25">
        <f>_xlfn.XLOOKUP(Snitch_Fashion_Sales_cleaned!$I1058,Table3[Order_Date],Table3[Date_Key])</f>
        <v>380</v>
      </c>
    </row>
    <row r="1059" spans="1:16" x14ac:dyDescent="0.3">
      <c r="A1059" s="34">
        <v>2057</v>
      </c>
      <c r="B1059" s="32" t="s">
        <v>1098</v>
      </c>
      <c r="C1059" s="32" t="s">
        <v>13</v>
      </c>
      <c r="D1059" s="33" t="s">
        <v>98</v>
      </c>
      <c r="E1059" s="34">
        <v>5</v>
      </c>
      <c r="F1059" s="35">
        <v>2750.33</v>
      </c>
      <c r="G1059" s="36">
        <v>0.51</v>
      </c>
      <c r="H1059" s="35">
        <f t="shared" si="34"/>
        <v>13751.65</v>
      </c>
      <c r="I1059" s="37">
        <v>45596</v>
      </c>
      <c r="J1059" s="33" t="s">
        <v>22</v>
      </c>
      <c r="K1059" s="33" t="s">
        <v>23</v>
      </c>
      <c r="L1059" s="38">
        <f t="shared" si="35"/>
        <v>6738.3085000000001</v>
      </c>
      <c r="M1059" s="38">
        <v>17.96</v>
      </c>
      <c r="N1059" s="24">
        <f>_xlfn.XLOOKUP(Snitch_Fashion_Sales_cleaned!$J1059,Table2[City],Table2[City_Key],"not found")</f>
        <v>3</v>
      </c>
      <c r="O1059" s="23">
        <f>_xlfn.XLOOKUP(Snitch_Fashion_Sales_cleaned!$D1059,Table4[Product_Name],Table4[Product_Key],"not found")</f>
        <v>21</v>
      </c>
      <c r="P1059" s="32">
        <f>_xlfn.XLOOKUP(Snitch_Fashion_Sales_cleaned!$I1059,Table3[Order_Date],Table3[Date_Key])</f>
        <v>226</v>
      </c>
    </row>
    <row r="1060" spans="1:16" x14ac:dyDescent="0.3">
      <c r="A1060" s="27">
        <v>2058</v>
      </c>
      <c r="B1060" s="25" t="s">
        <v>1099</v>
      </c>
      <c r="C1060" s="25" t="s">
        <v>31</v>
      </c>
      <c r="D1060" s="26" t="s">
        <v>68</v>
      </c>
      <c r="E1060" s="27">
        <v>6</v>
      </c>
      <c r="F1060" s="28">
        <v>2765.79</v>
      </c>
      <c r="G1060" s="29">
        <v>0.51</v>
      </c>
      <c r="H1060" s="28">
        <f t="shared" si="34"/>
        <v>16594.739999999998</v>
      </c>
      <c r="I1060" s="30">
        <v>45573</v>
      </c>
      <c r="J1060" s="26" t="s">
        <v>18</v>
      </c>
      <c r="K1060" s="26" t="s">
        <v>23</v>
      </c>
      <c r="L1060" s="31">
        <f t="shared" si="35"/>
        <v>8131.422599999999</v>
      </c>
      <c r="M1060" s="31">
        <v>-248.49</v>
      </c>
      <c r="N1060" s="22">
        <f>_xlfn.XLOOKUP(Snitch_Fashion_Sales_cleaned!$J1060,Table2[City],Table2[City_Key],"not found")</f>
        <v>2</v>
      </c>
      <c r="O1060" s="21">
        <f>_xlfn.XLOOKUP(Snitch_Fashion_Sales_cleaned!$D1060,Table4[Product_Name],Table4[Product_Key],"not found")</f>
        <v>15</v>
      </c>
      <c r="P1060" s="25">
        <f>_xlfn.XLOOKUP(Snitch_Fashion_Sales_cleaned!$I1060,Table3[Order_Date],Table3[Date_Key])</f>
        <v>364</v>
      </c>
    </row>
    <row r="1061" spans="1:16" x14ac:dyDescent="0.3">
      <c r="A1061" s="34">
        <v>2059</v>
      </c>
      <c r="B1061" s="32" t="s">
        <v>1100</v>
      </c>
      <c r="C1061" s="32" t="s">
        <v>28</v>
      </c>
      <c r="D1061" s="33" t="s">
        <v>39</v>
      </c>
      <c r="E1061" s="34">
        <v>3</v>
      </c>
      <c r="F1061" s="35">
        <v>1193.03</v>
      </c>
      <c r="G1061" s="36">
        <v>0.51</v>
      </c>
      <c r="H1061" s="35">
        <f t="shared" si="34"/>
        <v>3579.09</v>
      </c>
      <c r="I1061" s="37">
        <v>45723</v>
      </c>
      <c r="J1061" s="33" t="s">
        <v>22</v>
      </c>
      <c r="K1061" s="33" t="s">
        <v>23</v>
      </c>
      <c r="L1061" s="38">
        <f t="shared" si="35"/>
        <v>1753.7541000000001</v>
      </c>
      <c r="M1061" s="38">
        <v>-876.83</v>
      </c>
      <c r="N1061" s="24">
        <f>_xlfn.XLOOKUP(Snitch_Fashion_Sales_cleaned!$J1061,Table2[City],Table2[City_Key],"not found")</f>
        <v>3</v>
      </c>
      <c r="O1061" s="23">
        <f>_xlfn.XLOOKUP(Snitch_Fashion_Sales_cleaned!$D1061,Table4[Product_Name],Table4[Product_Key],"not found")</f>
        <v>8</v>
      </c>
      <c r="P1061" s="32">
        <f>_xlfn.XLOOKUP(Snitch_Fashion_Sales_cleaned!$I1061,Table3[Order_Date],Table3[Date_Key])</f>
        <v>28</v>
      </c>
    </row>
    <row r="1062" spans="1:16" x14ac:dyDescent="0.3">
      <c r="A1062" s="27">
        <v>2060</v>
      </c>
      <c r="B1062" s="25" t="s">
        <v>1101</v>
      </c>
      <c r="C1062" s="25" t="s">
        <v>31</v>
      </c>
      <c r="D1062" s="26" t="s">
        <v>41</v>
      </c>
      <c r="E1062" s="27">
        <v>3</v>
      </c>
      <c r="F1062" s="28">
        <v>3725.58</v>
      </c>
      <c r="G1062" s="29">
        <v>0.51</v>
      </c>
      <c r="H1062" s="28">
        <f t="shared" si="34"/>
        <v>11176.74</v>
      </c>
      <c r="I1062" s="30">
        <v>45581</v>
      </c>
      <c r="J1062" s="26" t="s">
        <v>43</v>
      </c>
      <c r="K1062" s="26" t="s">
        <v>23</v>
      </c>
      <c r="L1062" s="31">
        <f t="shared" si="35"/>
        <v>5476.6026000000002</v>
      </c>
      <c r="M1062" s="31">
        <v>2544.5500000000002</v>
      </c>
      <c r="N1062" s="22">
        <f>_xlfn.XLOOKUP(Snitch_Fashion_Sales_cleaned!$J1062,Table2[City],Table2[City_Key],"not found")</f>
        <v>6</v>
      </c>
      <c r="O1062" s="21">
        <f>_xlfn.XLOOKUP(Snitch_Fashion_Sales_cleaned!$D1062,Table4[Product_Name],Table4[Product_Key],"not found")</f>
        <v>9</v>
      </c>
      <c r="P1062" s="25">
        <f>_xlfn.XLOOKUP(Snitch_Fashion_Sales_cleaned!$I1062,Table3[Order_Date],Table3[Date_Key])</f>
        <v>34</v>
      </c>
    </row>
    <row r="1063" spans="1:16" x14ac:dyDescent="0.3">
      <c r="A1063" s="34">
        <v>2061</v>
      </c>
      <c r="B1063" s="32" t="s">
        <v>1102</v>
      </c>
      <c r="C1063" s="32" t="s">
        <v>25</v>
      </c>
      <c r="D1063" s="33" t="s">
        <v>82</v>
      </c>
      <c r="E1063" s="34">
        <v>3</v>
      </c>
      <c r="F1063" s="35">
        <v>2077.8200000000002</v>
      </c>
      <c r="G1063" s="36">
        <v>0.51</v>
      </c>
      <c r="H1063" s="35">
        <f t="shared" si="34"/>
        <v>6233.4600000000009</v>
      </c>
      <c r="I1063" s="37">
        <v>45722</v>
      </c>
      <c r="J1063" s="33" t="s">
        <v>43</v>
      </c>
      <c r="K1063" s="33" t="s">
        <v>23</v>
      </c>
      <c r="L1063" s="38">
        <f t="shared" si="35"/>
        <v>3054.3954000000003</v>
      </c>
      <c r="M1063" s="38">
        <v>2769.01</v>
      </c>
      <c r="N1063" s="24">
        <f>_xlfn.XLOOKUP(Snitch_Fashion_Sales_cleaned!$J1063,Table2[City],Table2[City_Key],"not found")</f>
        <v>6</v>
      </c>
      <c r="O1063" s="23">
        <f>_xlfn.XLOOKUP(Snitch_Fashion_Sales_cleaned!$D1063,Table4[Product_Name],Table4[Product_Key],"not found")</f>
        <v>18</v>
      </c>
      <c r="P1063" s="32">
        <f>_xlfn.XLOOKUP(Snitch_Fashion_Sales_cleaned!$I1063,Table3[Order_Date],Table3[Date_Key])</f>
        <v>358</v>
      </c>
    </row>
    <row r="1064" spans="1:16" x14ac:dyDescent="0.3">
      <c r="A1064" s="27">
        <v>2062</v>
      </c>
      <c r="B1064" s="25" t="s">
        <v>1103</v>
      </c>
      <c r="C1064" s="25" t="s">
        <v>36</v>
      </c>
      <c r="D1064" s="26" t="s">
        <v>37</v>
      </c>
      <c r="E1064" s="27">
        <v>4</v>
      </c>
      <c r="F1064" s="28">
        <v>2975.64</v>
      </c>
      <c r="G1064" s="29">
        <v>0.51</v>
      </c>
      <c r="H1064" s="28">
        <f t="shared" si="34"/>
        <v>11902.56</v>
      </c>
      <c r="I1064" s="30">
        <v>45502</v>
      </c>
      <c r="J1064" s="26" t="s">
        <v>52</v>
      </c>
      <c r="K1064" s="26" t="s">
        <v>23</v>
      </c>
      <c r="L1064" s="31">
        <f t="shared" si="35"/>
        <v>5832.2543999999998</v>
      </c>
      <c r="M1064" s="31">
        <v>-644.20000000000005</v>
      </c>
      <c r="N1064" s="22">
        <f>_xlfn.XLOOKUP(Snitch_Fashion_Sales_cleaned!$J1064,Table2[City],Table2[City_Key],"not found")</f>
        <v>5</v>
      </c>
      <c r="O1064" s="21">
        <f>_xlfn.XLOOKUP(Snitch_Fashion_Sales_cleaned!$D1064,Table4[Product_Name],Table4[Product_Key],"not found")</f>
        <v>7</v>
      </c>
      <c r="P1064" s="25">
        <f>_xlfn.XLOOKUP(Snitch_Fashion_Sales_cleaned!$I1064,Table3[Order_Date],Table3[Date_Key])</f>
        <v>338</v>
      </c>
    </row>
    <row r="1065" spans="1:16" x14ac:dyDescent="0.3">
      <c r="A1065" s="34">
        <v>2063</v>
      </c>
      <c r="B1065" s="32" t="s">
        <v>1104</v>
      </c>
      <c r="C1065" s="32" t="s">
        <v>31</v>
      </c>
      <c r="D1065" s="33" t="s">
        <v>41</v>
      </c>
      <c r="E1065" s="34">
        <v>5</v>
      </c>
      <c r="F1065" s="35">
        <v>3027.66</v>
      </c>
      <c r="G1065" s="36">
        <v>0.51</v>
      </c>
      <c r="H1065" s="35">
        <f t="shared" si="34"/>
        <v>15138.3</v>
      </c>
      <c r="I1065" s="37">
        <v>45587</v>
      </c>
      <c r="J1065" s="33" t="s">
        <v>43</v>
      </c>
      <c r="K1065" s="33" t="s">
        <v>23</v>
      </c>
      <c r="L1065" s="38">
        <f t="shared" si="35"/>
        <v>7417.7669999999998</v>
      </c>
      <c r="M1065" s="38">
        <v>2549.09</v>
      </c>
      <c r="N1065" s="24">
        <f>_xlfn.XLOOKUP(Snitch_Fashion_Sales_cleaned!$J1065,Table2[City],Table2[City_Key],"not found")</f>
        <v>6</v>
      </c>
      <c r="O1065" s="23">
        <f>_xlfn.XLOOKUP(Snitch_Fashion_Sales_cleaned!$D1065,Table4[Product_Name],Table4[Product_Key],"not found")</f>
        <v>9</v>
      </c>
      <c r="P1065" s="32">
        <f>_xlfn.XLOOKUP(Snitch_Fashion_Sales_cleaned!$I1065,Table3[Order_Date],Table3[Date_Key])</f>
        <v>14</v>
      </c>
    </row>
    <row r="1066" spans="1:16" x14ac:dyDescent="0.3">
      <c r="A1066" s="27">
        <v>2064</v>
      </c>
      <c r="B1066" s="25" t="s">
        <v>1105</v>
      </c>
      <c r="C1066" s="25" t="s">
        <v>28</v>
      </c>
      <c r="D1066" s="26" t="s">
        <v>39</v>
      </c>
      <c r="E1066" s="27">
        <v>3</v>
      </c>
      <c r="F1066" s="28">
        <v>702.86</v>
      </c>
      <c r="G1066" s="29">
        <v>0.51</v>
      </c>
      <c r="H1066" s="28">
        <f t="shared" si="34"/>
        <v>2108.58</v>
      </c>
      <c r="I1066" s="30">
        <v>45596</v>
      </c>
      <c r="J1066" s="26" t="s">
        <v>43</v>
      </c>
      <c r="K1066" s="26" t="s">
        <v>16</v>
      </c>
      <c r="L1066" s="31">
        <f t="shared" si="35"/>
        <v>1033.2041999999999</v>
      </c>
      <c r="M1066" s="31">
        <v>577.70000000000005</v>
      </c>
      <c r="N1066" s="22">
        <f>_xlfn.XLOOKUP(Snitch_Fashion_Sales_cleaned!$J1066,Table2[City],Table2[City_Key],"not found")</f>
        <v>6</v>
      </c>
      <c r="O1066" s="21">
        <f>_xlfn.XLOOKUP(Snitch_Fashion_Sales_cleaned!$D1066,Table4[Product_Name],Table4[Product_Key],"not found")</f>
        <v>8</v>
      </c>
      <c r="P1066" s="25">
        <f>_xlfn.XLOOKUP(Snitch_Fashion_Sales_cleaned!$I1066,Table3[Order_Date],Table3[Date_Key])</f>
        <v>226</v>
      </c>
    </row>
    <row r="1067" spans="1:16" x14ac:dyDescent="0.3">
      <c r="A1067" s="34">
        <v>2065</v>
      </c>
      <c r="B1067" s="32" t="s">
        <v>1106</v>
      </c>
      <c r="C1067" s="32" t="s">
        <v>31</v>
      </c>
      <c r="D1067" s="33" t="s">
        <v>32</v>
      </c>
      <c r="E1067" s="34">
        <v>4</v>
      </c>
      <c r="F1067" s="35">
        <v>3590.4</v>
      </c>
      <c r="G1067" s="36">
        <v>0.51</v>
      </c>
      <c r="H1067" s="35">
        <f t="shared" si="34"/>
        <v>14361.6</v>
      </c>
      <c r="I1067" s="37">
        <v>45526</v>
      </c>
      <c r="J1067" s="33" t="s">
        <v>2540</v>
      </c>
      <c r="K1067" s="33" t="s">
        <v>23</v>
      </c>
      <c r="L1067" s="38">
        <f t="shared" si="35"/>
        <v>7037.1840000000002</v>
      </c>
      <c r="M1067" s="38">
        <v>-86.57</v>
      </c>
      <c r="N1067" s="24">
        <f>_xlfn.XLOOKUP(Snitch_Fashion_Sales_cleaned!$J1067,Table2[City],Table2[City_Key],"not found")</f>
        <v>4</v>
      </c>
      <c r="O1067" s="23">
        <f>_xlfn.XLOOKUP(Snitch_Fashion_Sales_cleaned!$D1067,Table4[Product_Name],Table4[Product_Key],"not found")</f>
        <v>5</v>
      </c>
      <c r="P1067" s="32">
        <f>_xlfn.XLOOKUP(Snitch_Fashion_Sales_cleaned!$I1067,Table3[Order_Date],Table3[Date_Key])</f>
        <v>10</v>
      </c>
    </row>
    <row r="1068" spans="1:16" x14ac:dyDescent="0.3">
      <c r="A1068" s="27">
        <v>2066</v>
      </c>
      <c r="B1068" s="25" t="s">
        <v>1107</v>
      </c>
      <c r="C1068" s="25" t="s">
        <v>13</v>
      </c>
      <c r="D1068" s="26" t="s">
        <v>46</v>
      </c>
      <c r="E1068" s="27">
        <v>4</v>
      </c>
      <c r="F1068" s="28">
        <v>2891.64</v>
      </c>
      <c r="G1068" s="29">
        <v>0.51</v>
      </c>
      <c r="H1068" s="28">
        <f t="shared" si="34"/>
        <v>11566.56</v>
      </c>
      <c r="I1068" s="30">
        <v>45647</v>
      </c>
      <c r="J1068" s="26" t="s">
        <v>22</v>
      </c>
      <c r="K1068" s="26" t="s">
        <v>16</v>
      </c>
      <c r="L1068" s="31">
        <f t="shared" si="35"/>
        <v>5667.6143999999995</v>
      </c>
      <c r="M1068" s="31">
        <v>2532.65</v>
      </c>
      <c r="N1068" s="22">
        <f>_xlfn.XLOOKUP(Snitch_Fashion_Sales_cleaned!$J1068,Table2[City],Table2[City_Key],"not found")</f>
        <v>3</v>
      </c>
      <c r="O1068" s="21">
        <f>_xlfn.XLOOKUP(Snitch_Fashion_Sales_cleaned!$D1068,Table4[Product_Name],Table4[Product_Key],"not found")</f>
        <v>10</v>
      </c>
      <c r="P1068" s="25">
        <f>_xlfn.XLOOKUP(Snitch_Fashion_Sales_cleaned!$I1068,Table3[Order_Date],Table3[Date_Key])</f>
        <v>5</v>
      </c>
    </row>
    <row r="1069" spans="1:16" x14ac:dyDescent="0.3">
      <c r="A1069" s="34">
        <v>2067</v>
      </c>
      <c r="B1069" s="32" t="s">
        <v>555</v>
      </c>
      <c r="C1069" s="32" t="s">
        <v>36</v>
      </c>
      <c r="D1069" s="33" t="s">
        <v>59</v>
      </c>
      <c r="E1069" s="34">
        <v>3</v>
      </c>
      <c r="F1069" s="35">
        <v>2975.33</v>
      </c>
      <c r="G1069" s="36">
        <v>0.51</v>
      </c>
      <c r="H1069" s="35">
        <f t="shared" si="34"/>
        <v>8925.99</v>
      </c>
      <c r="I1069" s="37">
        <v>45749</v>
      </c>
      <c r="J1069" s="33" t="s">
        <v>52</v>
      </c>
      <c r="K1069" s="33" t="s">
        <v>23</v>
      </c>
      <c r="L1069" s="38">
        <f t="shared" si="35"/>
        <v>4373.7350999999999</v>
      </c>
      <c r="M1069" s="38">
        <v>1035.45</v>
      </c>
      <c r="N1069" s="24">
        <f>_xlfn.XLOOKUP(Snitch_Fashion_Sales_cleaned!$J1069,Table2[City],Table2[City_Key],"not found")</f>
        <v>5</v>
      </c>
      <c r="O1069" s="23">
        <f>_xlfn.XLOOKUP(Snitch_Fashion_Sales_cleaned!$D1069,Table4[Product_Name],Table4[Product_Key],"not found")</f>
        <v>13</v>
      </c>
      <c r="P1069" s="32">
        <f>_xlfn.XLOOKUP(Snitch_Fashion_Sales_cleaned!$I1069,Table3[Order_Date],Table3[Date_Key])</f>
        <v>153</v>
      </c>
    </row>
    <row r="1070" spans="1:16" x14ac:dyDescent="0.3">
      <c r="A1070" s="27">
        <v>2068</v>
      </c>
      <c r="B1070" s="25" t="s">
        <v>1108</v>
      </c>
      <c r="C1070" s="25" t="s">
        <v>25</v>
      </c>
      <c r="D1070" s="26" t="s">
        <v>62</v>
      </c>
      <c r="E1070" s="27">
        <v>4</v>
      </c>
      <c r="F1070" s="28">
        <v>2538.0450000000001</v>
      </c>
      <c r="G1070" s="29">
        <v>1</v>
      </c>
      <c r="H1070" s="28">
        <f t="shared" si="34"/>
        <v>10152.18</v>
      </c>
      <c r="I1070" s="30">
        <v>45295</v>
      </c>
      <c r="J1070" s="26" t="s">
        <v>15</v>
      </c>
      <c r="K1070" s="26" t="s">
        <v>23</v>
      </c>
      <c r="L1070" s="31">
        <f t="shared" si="35"/>
        <v>0</v>
      </c>
      <c r="M1070" s="31">
        <v>0</v>
      </c>
      <c r="N1070" s="22">
        <f>_xlfn.XLOOKUP(Snitch_Fashion_Sales_cleaned!$J1070,Table2[City],Table2[City_Key],"not found")</f>
        <v>1</v>
      </c>
      <c r="O1070" s="21">
        <f>_xlfn.XLOOKUP(Snitch_Fashion_Sales_cleaned!$D1070,Table4[Product_Name],Table4[Product_Key],"not found")</f>
        <v>14</v>
      </c>
      <c r="P1070" s="25">
        <f>_xlfn.XLOOKUP(Snitch_Fashion_Sales_cleaned!$I1070,Table3[Order_Date],Table3[Date_Key])</f>
        <v>418</v>
      </c>
    </row>
    <row r="1071" spans="1:16" x14ac:dyDescent="0.3">
      <c r="A1071" s="34">
        <v>2069</v>
      </c>
      <c r="B1071" s="32" t="s">
        <v>1109</v>
      </c>
      <c r="C1071" s="32" t="s">
        <v>31</v>
      </c>
      <c r="D1071" s="33" t="s">
        <v>78</v>
      </c>
      <c r="E1071" s="34">
        <v>4</v>
      </c>
      <c r="F1071" s="35">
        <v>3266.05</v>
      </c>
      <c r="G1071" s="36">
        <v>0.51</v>
      </c>
      <c r="H1071" s="35">
        <f t="shared" si="34"/>
        <v>13064.2</v>
      </c>
      <c r="I1071" s="37">
        <v>45500</v>
      </c>
      <c r="J1071" s="33" t="s">
        <v>22</v>
      </c>
      <c r="K1071" s="33" t="s">
        <v>16</v>
      </c>
      <c r="L1071" s="38">
        <f t="shared" si="35"/>
        <v>6401.4580000000005</v>
      </c>
      <c r="M1071" s="38">
        <v>1188.8900000000001</v>
      </c>
      <c r="N1071" s="24">
        <f>_xlfn.XLOOKUP(Snitch_Fashion_Sales_cleaned!$J1071,Table2[City],Table2[City_Key],"not found")</f>
        <v>3</v>
      </c>
      <c r="O1071" s="23">
        <f>_xlfn.XLOOKUP(Snitch_Fashion_Sales_cleaned!$D1071,Table4[Product_Name],Table4[Product_Key],"not found")</f>
        <v>17</v>
      </c>
      <c r="P1071" s="32">
        <f>_xlfn.XLOOKUP(Snitch_Fashion_Sales_cleaned!$I1071,Table3[Order_Date],Table3[Date_Key])</f>
        <v>216</v>
      </c>
    </row>
    <row r="1072" spans="1:16" x14ac:dyDescent="0.3">
      <c r="A1072" s="27">
        <v>2070</v>
      </c>
      <c r="B1072" s="25" t="s">
        <v>1110</v>
      </c>
      <c r="C1072" s="25" t="s">
        <v>28</v>
      </c>
      <c r="D1072" s="26" t="s">
        <v>39</v>
      </c>
      <c r="E1072" s="27">
        <v>3</v>
      </c>
      <c r="F1072" s="28">
        <v>2577.6350000000002</v>
      </c>
      <c r="G1072" s="29">
        <v>0.51</v>
      </c>
      <c r="H1072" s="28">
        <f t="shared" si="34"/>
        <v>7732.9050000000007</v>
      </c>
      <c r="I1072" s="30">
        <v>45726</v>
      </c>
      <c r="J1072" s="26" t="s">
        <v>22</v>
      </c>
      <c r="K1072" s="26" t="s">
        <v>23</v>
      </c>
      <c r="L1072" s="31">
        <f t="shared" si="35"/>
        <v>3789.12345</v>
      </c>
      <c r="M1072" s="31">
        <v>614.38</v>
      </c>
      <c r="N1072" s="22">
        <f>_xlfn.XLOOKUP(Snitch_Fashion_Sales_cleaned!$J1072,Table2[City],Table2[City_Key],"not found")</f>
        <v>3</v>
      </c>
      <c r="O1072" s="21">
        <f>_xlfn.XLOOKUP(Snitch_Fashion_Sales_cleaned!$D1072,Table4[Product_Name],Table4[Product_Key],"not found")</f>
        <v>8</v>
      </c>
      <c r="P1072" s="25">
        <f>_xlfn.XLOOKUP(Snitch_Fashion_Sales_cleaned!$I1072,Table3[Order_Date],Table3[Date_Key])</f>
        <v>237</v>
      </c>
    </row>
    <row r="1073" spans="1:16" x14ac:dyDescent="0.3">
      <c r="A1073" s="34">
        <v>2071</v>
      </c>
      <c r="B1073" s="32" t="s">
        <v>1111</v>
      </c>
      <c r="C1073" s="32" t="s">
        <v>25</v>
      </c>
      <c r="D1073" s="33" t="s">
        <v>62</v>
      </c>
      <c r="E1073" s="34">
        <v>4</v>
      </c>
      <c r="F1073" s="35">
        <v>2538.0450000000001</v>
      </c>
      <c r="G1073" s="36">
        <v>0.98</v>
      </c>
      <c r="H1073" s="35">
        <f t="shared" si="34"/>
        <v>10152.18</v>
      </c>
      <c r="I1073" s="37">
        <v>45834</v>
      </c>
      <c r="J1073" s="33" t="s">
        <v>22</v>
      </c>
      <c r="K1073" s="33" t="s">
        <v>16</v>
      </c>
      <c r="L1073" s="38">
        <f t="shared" si="35"/>
        <v>203.0436000000002</v>
      </c>
      <c r="M1073" s="38">
        <v>50.760900000000049</v>
      </c>
      <c r="N1073" s="24">
        <f>_xlfn.XLOOKUP(Snitch_Fashion_Sales_cleaned!$J1073,Table2[City],Table2[City_Key],"not found")</f>
        <v>3</v>
      </c>
      <c r="O1073" s="23">
        <f>_xlfn.XLOOKUP(Snitch_Fashion_Sales_cleaned!$D1073,Table4[Product_Name],Table4[Product_Key],"not found")</f>
        <v>14</v>
      </c>
      <c r="P1073" s="32">
        <f>_xlfn.XLOOKUP(Snitch_Fashion_Sales_cleaned!$I1073,Table3[Order_Date],Table3[Date_Key])</f>
        <v>75</v>
      </c>
    </row>
    <row r="1074" spans="1:16" x14ac:dyDescent="0.3">
      <c r="A1074" s="27">
        <v>2072</v>
      </c>
      <c r="B1074" s="25" t="s">
        <v>1112</v>
      </c>
      <c r="C1074" s="25" t="s">
        <v>36</v>
      </c>
      <c r="D1074" s="26" t="s">
        <v>37</v>
      </c>
      <c r="E1074" s="27">
        <v>4</v>
      </c>
      <c r="F1074" s="28">
        <v>2975.64</v>
      </c>
      <c r="G1074" s="29">
        <v>0.51</v>
      </c>
      <c r="H1074" s="28">
        <f t="shared" si="34"/>
        <v>11902.56</v>
      </c>
      <c r="I1074" s="30">
        <v>45778</v>
      </c>
      <c r="J1074" s="26" t="s">
        <v>52</v>
      </c>
      <c r="K1074" s="26" t="s">
        <v>23</v>
      </c>
      <c r="L1074" s="31">
        <f t="shared" si="35"/>
        <v>5832.2543999999998</v>
      </c>
      <c r="M1074" s="31">
        <v>-670.22</v>
      </c>
      <c r="N1074" s="22">
        <f>_xlfn.XLOOKUP(Snitch_Fashion_Sales_cleaned!$J1074,Table2[City],Table2[City_Key],"not found")</f>
        <v>5</v>
      </c>
      <c r="O1074" s="21">
        <f>_xlfn.XLOOKUP(Snitch_Fashion_Sales_cleaned!$D1074,Table4[Product_Name],Table4[Product_Key],"not found")</f>
        <v>7</v>
      </c>
      <c r="P1074" s="25">
        <f>_xlfn.XLOOKUP(Snitch_Fashion_Sales_cleaned!$I1074,Table3[Order_Date],Table3[Date_Key])</f>
        <v>78</v>
      </c>
    </row>
    <row r="1075" spans="1:16" x14ac:dyDescent="0.3">
      <c r="A1075" s="34">
        <v>2073</v>
      </c>
      <c r="B1075" s="32" t="s">
        <v>1113</v>
      </c>
      <c r="C1075" s="32" t="s">
        <v>25</v>
      </c>
      <c r="D1075" s="33" t="s">
        <v>62</v>
      </c>
      <c r="E1075" s="34">
        <v>3</v>
      </c>
      <c r="F1075" s="35">
        <v>1596.02</v>
      </c>
      <c r="G1075" s="36">
        <v>0.51</v>
      </c>
      <c r="H1075" s="35">
        <f t="shared" si="34"/>
        <v>4788.0599999999995</v>
      </c>
      <c r="I1075" s="37">
        <v>45647</v>
      </c>
      <c r="J1075" s="33" t="s">
        <v>18</v>
      </c>
      <c r="K1075" s="33" t="s">
        <v>16</v>
      </c>
      <c r="L1075" s="38">
        <f t="shared" si="35"/>
        <v>2346.1493999999998</v>
      </c>
      <c r="M1075" s="38">
        <v>-217.87</v>
      </c>
      <c r="N1075" s="24">
        <f>_xlfn.XLOOKUP(Snitch_Fashion_Sales_cleaned!$J1075,Table2[City],Table2[City_Key],"not found")</f>
        <v>2</v>
      </c>
      <c r="O1075" s="23">
        <f>_xlfn.XLOOKUP(Snitch_Fashion_Sales_cleaned!$D1075,Table4[Product_Name],Table4[Product_Key],"not found")</f>
        <v>14</v>
      </c>
      <c r="P1075" s="32">
        <f>_xlfn.XLOOKUP(Snitch_Fashion_Sales_cleaned!$I1075,Table3[Order_Date],Table3[Date_Key])</f>
        <v>5</v>
      </c>
    </row>
    <row r="1076" spans="1:16" x14ac:dyDescent="0.3">
      <c r="A1076" s="27">
        <v>2074</v>
      </c>
      <c r="B1076" s="25" t="s">
        <v>1114</v>
      </c>
      <c r="C1076" s="25" t="s">
        <v>28</v>
      </c>
      <c r="D1076" s="26" t="s">
        <v>137</v>
      </c>
      <c r="E1076" s="27">
        <v>4</v>
      </c>
      <c r="F1076" s="28">
        <v>2338.04</v>
      </c>
      <c r="G1076" s="29">
        <v>0.51</v>
      </c>
      <c r="H1076" s="28">
        <f t="shared" si="34"/>
        <v>9352.16</v>
      </c>
      <c r="I1076" s="30">
        <v>45573</v>
      </c>
      <c r="J1076" s="26" t="s">
        <v>2540</v>
      </c>
      <c r="K1076" s="26" t="s">
        <v>16</v>
      </c>
      <c r="L1076" s="31">
        <f t="shared" si="35"/>
        <v>4582.5583999999999</v>
      </c>
      <c r="M1076" s="31">
        <v>2628.09</v>
      </c>
      <c r="N1076" s="22">
        <f>_xlfn.XLOOKUP(Snitch_Fashion_Sales_cleaned!$J1076,Table2[City],Table2[City_Key],"not found")</f>
        <v>4</v>
      </c>
      <c r="O1076" s="21">
        <f>_xlfn.XLOOKUP(Snitch_Fashion_Sales_cleaned!$D1076,Table4[Product_Name],Table4[Product_Key],"not found")</f>
        <v>24</v>
      </c>
      <c r="P1076" s="25">
        <f>_xlfn.XLOOKUP(Snitch_Fashion_Sales_cleaned!$I1076,Table3[Order_Date],Table3[Date_Key])</f>
        <v>364</v>
      </c>
    </row>
    <row r="1077" spans="1:16" x14ac:dyDescent="0.3">
      <c r="A1077" s="34">
        <v>2075</v>
      </c>
      <c r="B1077" s="32" t="s">
        <v>1115</v>
      </c>
      <c r="C1077" s="32" t="s">
        <v>20</v>
      </c>
      <c r="D1077" s="33" t="s">
        <v>21</v>
      </c>
      <c r="E1077" s="34">
        <v>4</v>
      </c>
      <c r="F1077" s="35">
        <v>2579.8000000000002</v>
      </c>
      <c r="G1077" s="36">
        <v>0.51</v>
      </c>
      <c r="H1077" s="35">
        <f t="shared" si="34"/>
        <v>10319.200000000001</v>
      </c>
      <c r="I1077" s="37">
        <v>45647</v>
      </c>
      <c r="J1077" s="33" t="s">
        <v>2540</v>
      </c>
      <c r="K1077" s="33" t="s">
        <v>23</v>
      </c>
      <c r="L1077" s="38">
        <f t="shared" si="35"/>
        <v>5056.4080000000004</v>
      </c>
      <c r="M1077" s="38">
        <v>1501.9</v>
      </c>
      <c r="N1077" s="24">
        <f>_xlfn.XLOOKUP(Snitch_Fashion_Sales_cleaned!$J1077,Table2[City],Table2[City_Key],"not found")</f>
        <v>4</v>
      </c>
      <c r="O1077" s="23">
        <f>_xlfn.XLOOKUP(Snitch_Fashion_Sales_cleaned!$D1077,Table4[Product_Name],Table4[Product_Key],"not found")</f>
        <v>2</v>
      </c>
      <c r="P1077" s="32">
        <f>_xlfn.XLOOKUP(Snitch_Fashion_Sales_cleaned!$I1077,Table3[Order_Date],Table3[Date_Key])</f>
        <v>5</v>
      </c>
    </row>
    <row r="1078" spans="1:16" x14ac:dyDescent="0.3">
      <c r="A1078" s="27">
        <v>2076</v>
      </c>
      <c r="B1078" s="25" t="s">
        <v>1116</v>
      </c>
      <c r="C1078" s="25" t="s">
        <v>25</v>
      </c>
      <c r="D1078" s="26" t="s">
        <v>50</v>
      </c>
      <c r="E1078" s="27">
        <v>4</v>
      </c>
      <c r="F1078" s="28">
        <v>1151.07</v>
      </c>
      <c r="G1078" s="29">
        <v>0.51</v>
      </c>
      <c r="H1078" s="28">
        <f t="shared" si="34"/>
        <v>4604.28</v>
      </c>
      <c r="I1078" s="30">
        <v>45798</v>
      </c>
      <c r="J1078" s="26" t="s">
        <v>2540</v>
      </c>
      <c r="K1078" s="26" t="s">
        <v>23</v>
      </c>
      <c r="L1078" s="31">
        <f t="shared" si="35"/>
        <v>2256.0971999999997</v>
      </c>
      <c r="M1078" s="31">
        <v>854.02</v>
      </c>
      <c r="N1078" s="22">
        <f>_xlfn.XLOOKUP(Snitch_Fashion_Sales_cleaned!$J1078,Table2[City],Table2[City_Key],"not found")</f>
        <v>4</v>
      </c>
      <c r="O1078" s="21">
        <f>_xlfn.XLOOKUP(Snitch_Fashion_Sales_cleaned!$D1078,Table4[Product_Name],Table4[Product_Key],"not found")</f>
        <v>11</v>
      </c>
      <c r="P1078" s="25">
        <f>_xlfn.XLOOKUP(Snitch_Fashion_Sales_cleaned!$I1078,Table3[Order_Date],Table3[Date_Key])</f>
        <v>419</v>
      </c>
    </row>
    <row r="1079" spans="1:16" x14ac:dyDescent="0.3">
      <c r="A1079" s="34">
        <v>2077</v>
      </c>
      <c r="B1079" s="32" t="s">
        <v>1117</v>
      </c>
      <c r="C1079" s="32" t="s">
        <v>31</v>
      </c>
      <c r="D1079" s="33" t="s">
        <v>41</v>
      </c>
      <c r="E1079" s="34">
        <v>3</v>
      </c>
      <c r="F1079" s="35">
        <v>3027.66</v>
      </c>
      <c r="G1079" s="36">
        <v>0.51</v>
      </c>
      <c r="H1079" s="35">
        <f t="shared" si="34"/>
        <v>9082.98</v>
      </c>
      <c r="I1079" s="37">
        <v>45647</v>
      </c>
      <c r="J1079" s="33" t="s">
        <v>43</v>
      </c>
      <c r="K1079" s="33" t="s">
        <v>16</v>
      </c>
      <c r="L1079" s="38">
        <f t="shared" si="35"/>
        <v>4450.6601999999993</v>
      </c>
      <c r="M1079" s="38">
        <v>1082.3599999999999</v>
      </c>
      <c r="N1079" s="24">
        <f>_xlfn.XLOOKUP(Snitch_Fashion_Sales_cleaned!$J1079,Table2[City],Table2[City_Key],"not found")</f>
        <v>6</v>
      </c>
      <c r="O1079" s="23">
        <f>_xlfn.XLOOKUP(Snitch_Fashion_Sales_cleaned!$D1079,Table4[Product_Name],Table4[Product_Key],"not found")</f>
        <v>9</v>
      </c>
      <c r="P1079" s="32">
        <f>_xlfn.XLOOKUP(Snitch_Fashion_Sales_cleaned!$I1079,Table3[Order_Date],Table3[Date_Key])</f>
        <v>5</v>
      </c>
    </row>
    <row r="1080" spans="1:16" x14ac:dyDescent="0.3">
      <c r="A1080" s="27">
        <v>2078</v>
      </c>
      <c r="B1080" s="25" t="s">
        <v>1118</v>
      </c>
      <c r="C1080" s="25" t="s">
        <v>31</v>
      </c>
      <c r="D1080" s="26" t="s">
        <v>68</v>
      </c>
      <c r="E1080" s="27">
        <v>4</v>
      </c>
      <c r="F1080" s="28">
        <v>1760.85</v>
      </c>
      <c r="G1080" s="29">
        <v>0.51</v>
      </c>
      <c r="H1080" s="28">
        <f t="shared" si="34"/>
        <v>7043.4</v>
      </c>
      <c r="I1080" s="30">
        <v>45808</v>
      </c>
      <c r="J1080" s="26" t="s">
        <v>43</v>
      </c>
      <c r="K1080" s="26" t="s">
        <v>23</v>
      </c>
      <c r="L1080" s="31">
        <f t="shared" si="35"/>
        <v>3451.2659999999996</v>
      </c>
      <c r="M1080" s="31">
        <v>-542.71</v>
      </c>
      <c r="N1080" s="22">
        <f>_xlfn.XLOOKUP(Snitch_Fashion_Sales_cleaned!$J1080,Table2[City],Table2[City_Key],"not found")</f>
        <v>6</v>
      </c>
      <c r="O1080" s="21">
        <f>_xlfn.XLOOKUP(Snitch_Fashion_Sales_cleaned!$D1080,Table4[Product_Name],Table4[Product_Key],"not found")</f>
        <v>15</v>
      </c>
      <c r="P1080" s="25">
        <f>_xlfn.XLOOKUP(Snitch_Fashion_Sales_cleaned!$I1080,Table3[Order_Date],Table3[Date_Key])</f>
        <v>306</v>
      </c>
    </row>
    <row r="1081" spans="1:16" x14ac:dyDescent="0.3">
      <c r="A1081" s="34">
        <v>2079</v>
      </c>
      <c r="B1081" s="32" t="s">
        <v>1119</v>
      </c>
      <c r="C1081" s="32" t="s">
        <v>28</v>
      </c>
      <c r="D1081" s="33" t="s">
        <v>29</v>
      </c>
      <c r="E1081" s="34">
        <v>2</v>
      </c>
      <c r="F1081" s="35">
        <v>2778.14</v>
      </c>
      <c r="G1081" s="36">
        <v>0.51</v>
      </c>
      <c r="H1081" s="35">
        <f t="shared" si="34"/>
        <v>5556.28</v>
      </c>
      <c r="I1081" s="37">
        <v>45647</v>
      </c>
      <c r="J1081" s="33" t="s">
        <v>18</v>
      </c>
      <c r="K1081" s="33" t="s">
        <v>23</v>
      </c>
      <c r="L1081" s="38">
        <f t="shared" si="35"/>
        <v>2722.5771999999997</v>
      </c>
      <c r="M1081" s="38">
        <v>516.66</v>
      </c>
      <c r="N1081" s="24">
        <f>_xlfn.XLOOKUP(Snitch_Fashion_Sales_cleaned!$J1081,Table2[City],Table2[City_Key],"not found")</f>
        <v>2</v>
      </c>
      <c r="O1081" s="23">
        <f>_xlfn.XLOOKUP(Snitch_Fashion_Sales_cleaned!$D1081,Table4[Product_Name],Table4[Product_Key],"not found")</f>
        <v>4</v>
      </c>
      <c r="P1081" s="32">
        <f>_xlfn.XLOOKUP(Snitch_Fashion_Sales_cleaned!$I1081,Table3[Order_Date],Table3[Date_Key])</f>
        <v>5</v>
      </c>
    </row>
    <row r="1082" spans="1:16" x14ac:dyDescent="0.3">
      <c r="A1082" s="27">
        <v>2080</v>
      </c>
      <c r="B1082" s="25" t="s">
        <v>1120</v>
      </c>
      <c r="C1082" s="25" t="s">
        <v>28</v>
      </c>
      <c r="D1082" s="26" t="s">
        <v>116</v>
      </c>
      <c r="E1082" s="27">
        <v>3</v>
      </c>
      <c r="F1082" s="28">
        <v>4672.3500000000004</v>
      </c>
      <c r="G1082" s="29">
        <v>0.51</v>
      </c>
      <c r="H1082" s="28">
        <f t="shared" si="34"/>
        <v>14017.050000000001</v>
      </c>
      <c r="I1082" s="30">
        <v>45647</v>
      </c>
      <c r="J1082" s="26" t="s">
        <v>15</v>
      </c>
      <c r="K1082" s="26" t="s">
        <v>23</v>
      </c>
      <c r="L1082" s="31">
        <f t="shared" si="35"/>
        <v>6868.3545000000004</v>
      </c>
      <c r="M1082" s="31">
        <v>991.5</v>
      </c>
      <c r="N1082" s="22">
        <f>_xlfn.XLOOKUP(Snitch_Fashion_Sales_cleaned!$J1082,Table2[City],Table2[City_Key],"not found")</f>
        <v>1</v>
      </c>
      <c r="O1082" s="21">
        <f>_xlfn.XLOOKUP(Snitch_Fashion_Sales_cleaned!$D1082,Table4[Product_Name],Table4[Product_Key],"not found")</f>
        <v>22</v>
      </c>
      <c r="P1082" s="25">
        <f>_xlfn.XLOOKUP(Snitch_Fashion_Sales_cleaned!$I1082,Table3[Order_Date],Table3[Date_Key])</f>
        <v>5</v>
      </c>
    </row>
    <row r="1083" spans="1:16" x14ac:dyDescent="0.3">
      <c r="A1083" s="34">
        <v>2081</v>
      </c>
      <c r="B1083" s="32" t="s">
        <v>1121</v>
      </c>
      <c r="C1083" s="32" t="s">
        <v>31</v>
      </c>
      <c r="D1083" s="33" t="s">
        <v>32</v>
      </c>
      <c r="E1083" s="34">
        <v>4</v>
      </c>
      <c r="F1083" s="35">
        <v>2809.88</v>
      </c>
      <c r="G1083" s="36">
        <v>0.51</v>
      </c>
      <c r="H1083" s="35">
        <f t="shared" si="34"/>
        <v>11239.52</v>
      </c>
      <c r="I1083" s="37">
        <v>45850</v>
      </c>
      <c r="J1083" s="33" t="s">
        <v>18</v>
      </c>
      <c r="K1083" s="33" t="s">
        <v>23</v>
      </c>
      <c r="L1083" s="38">
        <f t="shared" si="35"/>
        <v>5507.3648000000003</v>
      </c>
      <c r="M1083" s="38">
        <v>1063.07</v>
      </c>
      <c r="N1083" s="24">
        <f>_xlfn.XLOOKUP(Snitch_Fashion_Sales_cleaned!$J1083,Table2[City],Table2[City_Key],"not found")</f>
        <v>2</v>
      </c>
      <c r="O1083" s="23">
        <f>_xlfn.XLOOKUP(Snitch_Fashion_Sales_cleaned!$D1083,Table4[Product_Name],Table4[Product_Key],"not found")</f>
        <v>5</v>
      </c>
      <c r="P1083" s="32">
        <f>_xlfn.XLOOKUP(Snitch_Fashion_Sales_cleaned!$I1083,Table3[Order_Date],Table3[Date_Key])</f>
        <v>335</v>
      </c>
    </row>
    <row r="1084" spans="1:16" x14ac:dyDescent="0.3">
      <c r="A1084" s="27">
        <v>2082</v>
      </c>
      <c r="B1084" s="25" t="s">
        <v>1122</v>
      </c>
      <c r="C1084" s="25" t="s">
        <v>20</v>
      </c>
      <c r="D1084" s="26" t="s">
        <v>118</v>
      </c>
      <c r="E1084" s="27">
        <v>5</v>
      </c>
      <c r="F1084" s="28">
        <v>2752.99</v>
      </c>
      <c r="G1084" s="29">
        <v>0.51</v>
      </c>
      <c r="H1084" s="28">
        <f t="shared" si="34"/>
        <v>13764.949999999999</v>
      </c>
      <c r="I1084" s="30">
        <v>45411</v>
      </c>
      <c r="J1084" s="26" t="s">
        <v>22</v>
      </c>
      <c r="K1084" s="26" t="s">
        <v>23</v>
      </c>
      <c r="L1084" s="31">
        <f t="shared" si="35"/>
        <v>6744.825499999999</v>
      </c>
      <c r="M1084" s="31">
        <v>-208.43</v>
      </c>
      <c r="N1084" s="22">
        <f>_xlfn.XLOOKUP(Snitch_Fashion_Sales_cleaned!$J1084,Table2[City],Table2[City_Key],"not found")</f>
        <v>3</v>
      </c>
      <c r="O1084" s="21">
        <f>_xlfn.XLOOKUP(Snitch_Fashion_Sales_cleaned!$D1084,Table4[Product_Name],Table4[Product_Key],"not found")</f>
        <v>23</v>
      </c>
      <c r="P1084" s="25">
        <f>_xlfn.XLOOKUP(Snitch_Fashion_Sales_cleaned!$I1084,Table3[Order_Date],Table3[Date_Key])</f>
        <v>420</v>
      </c>
    </row>
    <row r="1085" spans="1:16" x14ac:dyDescent="0.3">
      <c r="A1085" s="34">
        <v>2083</v>
      </c>
      <c r="B1085" s="32" t="s">
        <v>1123</v>
      </c>
      <c r="C1085" s="32" t="s">
        <v>25</v>
      </c>
      <c r="D1085" s="33" t="s">
        <v>62</v>
      </c>
      <c r="E1085" s="34">
        <v>4</v>
      </c>
      <c r="F1085" s="35">
        <v>2105.7399999999998</v>
      </c>
      <c r="G1085" s="36">
        <v>0.34</v>
      </c>
      <c r="H1085" s="35">
        <f t="shared" si="34"/>
        <v>8422.9599999999991</v>
      </c>
      <c r="I1085" s="37">
        <v>45710</v>
      </c>
      <c r="J1085" s="33" t="s">
        <v>15</v>
      </c>
      <c r="K1085" s="33" t="s">
        <v>16</v>
      </c>
      <c r="L1085" s="38">
        <f t="shared" si="35"/>
        <v>5559.1535999999987</v>
      </c>
      <c r="M1085" s="38">
        <v>-907.84</v>
      </c>
      <c r="N1085" s="24">
        <f>_xlfn.XLOOKUP(Snitch_Fashion_Sales_cleaned!$J1085,Table2[City],Table2[City_Key],"not found")</f>
        <v>1</v>
      </c>
      <c r="O1085" s="23">
        <f>_xlfn.XLOOKUP(Snitch_Fashion_Sales_cleaned!$D1085,Table4[Product_Name],Table4[Product_Key],"not found")</f>
        <v>14</v>
      </c>
      <c r="P1085" s="32">
        <f>_xlfn.XLOOKUP(Snitch_Fashion_Sales_cleaned!$I1085,Table3[Order_Date],Table3[Date_Key])</f>
        <v>59</v>
      </c>
    </row>
    <row r="1086" spans="1:16" x14ac:dyDescent="0.3">
      <c r="A1086" s="27">
        <v>2084</v>
      </c>
      <c r="B1086" s="25" t="s">
        <v>1124</v>
      </c>
      <c r="C1086" s="25" t="s">
        <v>20</v>
      </c>
      <c r="D1086" s="26" t="s">
        <v>21</v>
      </c>
      <c r="E1086" s="27">
        <v>6</v>
      </c>
      <c r="F1086" s="28">
        <v>4068.82</v>
      </c>
      <c r="G1086" s="29">
        <v>0.51</v>
      </c>
      <c r="H1086" s="28">
        <f t="shared" si="34"/>
        <v>24412.920000000002</v>
      </c>
      <c r="I1086" s="30">
        <v>45750</v>
      </c>
      <c r="J1086" s="26" t="s">
        <v>18</v>
      </c>
      <c r="K1086" s="26" t="s">
        <v>23</v>
      </c>
      <c r="L1086" s="31">
        <f t="shared" si="35"/>
        <v>11962.330800000002</v>
      </c>
      <c r="M1086" s="31">
        <v>719.55</v>
      </c>
      <c r="N1086" s="22">
        <f>_xlfn.XLOOKUP(Snitch_Fashion_Sales_cleaned!$J1086,Table2[City],Table2[City_Key],"not found")</f>
        <v>2</v>
      </c>
      <c r="O1086" s="21">
        <f>_xlfn.XLOOKUP(Snitch_Fashion_Sales_cleaned!$D1086,Table4[Product_Name],Table4[Product_Key],"not found")</f>
        <v>2</v>
      </c>
      <c r="P1086" s="25">
        <f>_xlfn.XLOOKUP(Snitch_Fashion_Sales_cleaned!$I1086,Table3[Order_Date],Table3[Date_Key])</f>
        <v>308</v>
      </c>
    </row>
    <row r="1087" spans="1:16" x14ac:dyDescent="0.3">
      <c r="A1087" s="34">
        <v>2085</v>
      </c>
      <c r="B1087" s="32" t="s">
        <v>1125</v>
      </c>
      <c r="C1087" s="32" t="s">
        <v>20</v>
      </c>
      <c r="D1087" s="33" t="s">
        <v>84</v>
      </c>
      <c r="E1087" s="34">
        <v>3</v>
      </c>
      <c r="F1087" s="35">
        <v>2537.59</v>
      </c>
      <c r="G1087" s="36">
        <v>0.51</v>
      </c>
      <c r="H1087" s="35">
        <f t="shared" si="34"/>
        <v>7612.77</v>
      </c>
      <c r="I1087" s="37">
        <v>45554</v>
      </c>
      <c r="J1087" s="33" t="s">
        <v>52</v>
      </c>
      <c r="K1087" s="33" t="s">
        <v>23</v>
      </c>
      <c r="L1087" s="38">
        <f t="shared" si="35"/>
        <v>3730.2573000000002</v>
      </c>
      <c r="M1087" s="38">
        <v>212.87</v>
      </c>
      <c r="N1087" s="24">
        <f>_xlfn.XLOOKUP(Snitch_Fashion_Sales_cleaned!$J1087,Table2[City],Table2[City_Key],"not found")</f>
        <v>5</v>
      </c>
      <c r="O1087" s="23">
        <f>_xlfn.XLOOKUP(Snitch_Fashion_Sales_cleaned!$D1087,Table4[Product_Name],Table4[Product_Key],"not found")</f>
        <v>19</v>
      </c>
      <c r="P1087" s="32">
        <f>_xlfn.XLOOKUP(Snitch_Fashion_Sales_cleaned!$I1087,Table3[Order_Date],Table3[Date_Key])</f>
        <v>421</v>
      </c>
    </row>
    <row r="1088" spans="1:16" x14ac:dyDescent="0.3">
      <c r="A1088" s="27">
        <v>1015</v>
      </c>
      <c r="B1088" s="25" t="s">
        <v>1126</v>
      </c>
      <c r="C1088" s="25" t="s">
        <v>31</v>
      </c>
      <c r="D1088" s="26" t="s">
        <v>68</v>
      </c>
      <c r="E1088" s="27">
        <v>4</v>
      </c>
      <c r="F1088" s="28">
        <v>2765.79</v>
      </c>
      <c r="G1088" s="29">
        <v>0.51</v>
      </c>
      <c r="H1088" s="28">
        <f t="shared" si="34"/>
        <v>11063.16</v>
      </c>
      <c r="I1088" s="30">
        <v>45647</v>
      </c>
      <c r="J1088" s="26" t="s">
        <v>43</v>
      </c>
      <c r="K1088" s="26" t="s">
        <v>16</v>
      </c>
      <c r="L1088" s="31">
        <f t="shared" si="35"/>
        <v>5420.9484000000002</v>
      </c>
      <c r="M1088" s="31">
        <v>2811.88</v>
      </c>
      <c r="N1088" s="22">
        <f>_xlfn.XLOOKUP(Snitch_Fashion_Sales_cleaned!$J1088,Table2[City],Table2[City_Key],"not found")</f>
        <v>6</v>
      </c>
      <c r="O1088" s="21">
        <f>_xlfn.XLOOKUP(Snitch_Fashion_Sales_cleaned!$D1088,Table4[Product_Name],Table4[Product_Key],"not found")</f>
        <v>15</v>
      </c>
      <c r="P1088" s="25">
        <f>_xlfn.XLOOKUP(Snitch_Fashion_Sales_cleaned!$I1088,Table3[Order_Date],Table3[Date_Key])</f>
        <v>5</v>
      </c>
    </row>
    <row r="1089" spans="1:16" x14ac:dyDescent="0.3">
      <c r="A1089" s="34">
        <v>2087</v>
      </c>
      <c r="B1089" s="32" t="s">
        <v>1127</v>
      </c>
      <c r="C1089" s="32" t="s">
        <v>36</v>
      </c>
      <c r="D1089" s="33" t="s">
        <v>59</v>
      </c>
      <c r="E1089" s="34">
        <v>3</v>
      </c>
      <c r="F1089" s="35">
        <v>2610.84</v>
      </c>
      <c r="G1089" s="36">
        <v>0.51</v>
      </c>
      <c r="H1089" s="35">
        <f t="shared" si="34"/>
        <v>7832.52</v>
      </c>
      <c r="I1089" s="37">
        <v>45501</v>
      </c>
      <c r="J1089" s="33" t="s">
        <v>2540</v>
      </c>
      <c r="K1089" s="33" t="s">
        <v>16</v>
      </c>
      <c r="L1089" s="38">
        <f t="shared" si="35"/>
        <v>3837.9348</v>
      </c>
      <c r="M1089" s="38">
        <v>-904.51</v>
      </c>
      <c r="N1089" s="24">
        <f>_xlfn.XLOOKUP(Snitch_Fashion_Sales_cleaned!$J1089,Table2[City],Table2[City_Key],"not found")</f>
        <v>4</v>
      </c>
      <c r="O1089" s="23">
        <f>_xlfn.XLOOKUP(Snitch_Fashion_Sales_cleaned!$D1089,Table4[Product_Name],Table4[Product_Key],"not found")</f>
        <v>13</v>
      </c>
      <c r="P1089" s="32">
        <f>_xlfn.XLOOKUP(Snitch_Fashion_Sales_cleaned!$I1089,Table3[Order_Date],Table3[Date_Key])</f>
        <v>417</v>
      </c>
    </row>
    <row r="1090" spans="1:16" x14ac:dyDescent="0.3">
      <c r="A1090" s="27">
        <v>2088</v>
      </c>
      <c r="B1090" s="25" t="s">
        <v>1128</v>
      </c>
      <c r="C1090" s="25" t="s">
        <v>25</v>
      </c>
      <c r="D1090" s="26" t="s">
        <v>50</v>
      </c>
      <c r="E1090" s="27">
        <v>4</v>
      </c>
      <c r="F1090" s="28">
        <v>2666.2200000000003</v>
      </c>
      <c r="G1090" s="29">
        <v>0.51</v>
      </c>
      <c r="H1090" s="28">
        <f t="shared" si="34"/>
        <v>10664.880000000001</v>
      </c>
      <c r="I1090" s="30">
        <v>45670</v>
      </c>
      <c r="J1090" s="26" t="s">
        <v>22</v>
      </c>
      <c r="K1090" s="26" t="s">
        <v>16</v>
      </c>
      <c r="L1090" s="31">
        <f t="shared" si="35"/>
        <v>5225.7912000000006</v>
      </c>
      <c r="M1090" s="31">
        <v>1353.01</v>
      </c>
      <c r="N1090" s="22">
        <f>_xlfn.XLOOKUP(Snitch_Fashion_Sales_cleaned!$J1090,Table2[City],Table2[City_Key],"not found")</f>
        <v>3</v>
      </c>
      <c r="O1090" s="21">
        <f>_xlfn.XLOOKUP(Snitch_Fashion_Sales_cleaned!$D1090,Table4[Product_Name],Table4[Product_Key],"not found")</f>
        <v>11</v>
      </c>
      <c r="P1090" s="25">
        <f>_xlfn.XLOOKUP(Snitch_Fashion_Sales_cleaned!$I1090,Table3[Order_Date],Table3[Date_Key])</f>
        <v>396</v>
      </c>
    </row>
    <row r="1091" spans="1:16" x14ac:dyDescent="0.3">
      <c r="A1091" s="34">
        <v>2089</v>
      </c>
      <c r="B1091" s="32" t="s">
        <v>1129</v>
      </c>
      <c r="C1091" s="32" t="s">
        <v>28</v>
      </c>
      <c r="D1091" s="33" t="s">
        <v>137</v>
      </c>
      <c r="E1091" s="34">
        <v>3.5</v>
      </c>
      <c r="F1091" s="35">
        <v>1571.58</v>
      </c>
      <c r="G1091" s="36">
        <v>0.51</v>
      </c>
      <c r="H1091" s="35">
        <f t="shared" si="34"/>
        <v>5500.53</v>
      </c>
      <c r="I1091" s="37">
        <v>45192</v>
      </c>
      <c r="J1091" s="33" t="s">
        <v>52</v>
      </c>
      <c r="K1091" s="33" t="s">
        <v>23</v>
      </c>
      <c r="L1091" s="38">
        <f t="shared" si="35"/>
        <v>2695.2596999999996</v>
      </c>
      <c r="M1091" s="38">
        <v>1195.3399999999999</v>
      </c>
      <c r="N1091" s="24">
        <f>_xlfn.XLOOKUP(Snitch_Fashion_Sales_cleaned!$J1091,Table2[City],Table2[City_Key],"not found")</f>
        <v>5</v>
      </c>
      <c r="O1091" s="23">
        <f>_xlfn.XLOOKUP(Snitch_Fashion_Sales_cleaned!$D1091,Table4[Product_Name],Table4[Product_Key],"not found")</f>
        <v>24</v>
      </c>
      <c r="P1091" s="32">
        <f>_xlfn.XLOOKUP(Snitch_Fashion_Sales_cleaned!$I1091,Table3[Order_Date],Table3[Date_Key])</f>
        <v>422</v>
      </c>
    </row>
    <row r="1092" spans="1:16" x14ac:dyDescent="0.3">
      <c r="A1092" s="27">
        <v>2090</v>
      </c>
      <c r="B1092" s="25" t="s">
        <v>1130</v>
      </c>
      <c r="C1092" s="25" t="s">
        <v>28</v>
      </c>
      <c r="D1092" s="26" t="s">
        <v>137</v>
      </c>
      <c r="E1092" s="27">
        <v>3.5</v>
      </c>
      <c r="F1092" s="28">
        <v>940.71</v>
      </c>
      <c r="G1092" s="29">
        <v>0.51</v>
      </c>
      <c r="H1092" s="28">
        <f t="shared" si="34"/>
        <v>3292.4850000000001</v>
      </c>
      <c r="I1092" s="30">
        <v>45736</v>
      </c>
      <c r="J1092" s="26" t="s">
        <v>15</v>
      </c>
      <c r="K1092" s="26" t="s">
        <v>23</v>
      </c>
      <c r="L1092" s="31">
        <f t="shared" si="35"/>
        <v>1613.31765</v>
      </c>
      <c r="M1092" s="31">
        <v>1317.26</v>
      </c>
      <c r="N1092" s="22">
        <f>_xlfn.XLOOKUP(Snitch_Fashion_Sales_cleaned!$J1092,Table2[City],Table2[City_Key],"not found")</f>
        <v>1</v>
      </c>
      <c r="O1092" s="21">
        <f>_xlfn.XLOOKUP(Snitch_Fashion_Sales_cleaned!$D1092,Table4[Product_Name],Table4[Product_Key],"not found")</f>
        <v>24</v>
      </c>
      <c r="P1092" s="25">
        <f>_xlfn.XLOOKUP(Snitch_Fashion_Sales_cleaned!$I1092,Table3[Order_Date],Table3[Date_Key])</f>
        <v>423</v>
      </c>
    </row>
    <row r="1093" spans="1:16" x14ac:dyDescent="0.3">
      <c r="A1093" s="34">
        <v>2091</v>
      </c>
      <c r="B1093" s="32" t="s">
        <v>1131</v>
      </c>
      <c r="C1093" s="32" t="s">
        <v>36</v>
      </c>
      <c r="D1093" s="33" t="s">
        <v>37</v>
      </c>
      <c r="E1093" s="34">
        <v>4</v>
      </c>
      <c r="F1093" s="35">
        <v>1323.61</v>
      </c>
      <c r="G1093" s="36">
        <v>0.51</v>
      </c>
      <c r="H1093" s="35">
        <f t="shared" si="34"/>
        <v>5294.44</v>
      </c>
      <c r="I1093" s="37">
        <v>45781</v>
      </c>
      <c r="J1093" s="33" t="s">
        <v>15</v>
      </c>
      <c r="K1093" s="33" t="s">
        <v>16</v>
      </c>
      <c r="L1093" s="38">
        <f t="shared" si="35"/>
        <v>2594.2755999999999</v>
      </c>
      <c r="M1093" s="38">
        <v>-63.42</v>
      </c>
      <c r="N1093" s="24">
        <f>_xlfn.XLOOKUP(Snitch_Fashion_Sales_cleaned!$J1093,Table2[City],Table2[City_Key],"not found")</f>
        <v>1</v>
      </c>
      <c r="O1093" s="23">
        <f>_xlfn.XLOOKUP(Snitch_Fashion_Sales_cleaned!$D1093,Table4[Product_Name],Table4[Product_Key],"not found")</f>
        <v>7</v>
      </c>
      <c r="P1093" s="32">
        <f>_xlfn.XLOOKUP(Snitch_Fashion_Sales_cleaned!$I1093,Table3[Order_Date],Table3[Date_Key])</f>
        <v>277</v>
      </c>
    </row>
    <row r="1094" spans="1:16" x14ac:dyDescent="0.3">
      <c r="A1094" s="27">
        <v>2092</v>
      </c>
      <c r="B1094" s="25" t="s">
        <v>1132</v>
      </c>
      <c r="C1094" s="25" t="s">
        <v>25</v>
      </c>
      <c r="D1094" s="26" t="s">
        <v>82</v>
      </c>
      <c r="E1094" s="27">
        <v>3</v>
      </c>
      <c r="F1094" s="28">
        <v>4459.2</v>
      </c>
      <c r="G1094" s="29">
        <v>0.51</v>
      </c>
      <c r="H1094" s="28">
        <f t="shared" ref="H1094:H1157" si="36">E1094*F1094</f>
        <v>13377.599999999999</v>
      </c>
      <c r="I1094" s="30">
        <v>45739</v>
      </c>
      <c r="J1094" s="26" t="s">
        <v>15</v>
      </c>
      <c r="K1094" s="26" t="s">
        <v>23</v>
      </c>
      <c r="L1094" s="31">
        <f t="shared" ref="L1094:L1157" si="37">H1094*(1-G1094)</f>
        <v>6555.0239999999994</v>
      </c>
      <c r="M1094" s="31">
        <v>1008.2</v>
      </c>
      <c r="N1094" s="22">
        <f>_xlfn.XLOOKUP(Snitch_Fashion_Sales_cleaned!$J1094,Table2[City],Table2[City_Key],"not found")</f>
        <v>1</v>
      </c>
      <c r="O1094" s="21">
        <f>_xlfn.XLOOKUP(Snitch_Fashion_Sales_cleaned!$D1094,Table4[Product_Name],Table4[Product_Key],"not found")</f>
        <v>18</v>
      </c>
      <c r="P1094" s="25">
        <f>_xlfn.XLOOKUP(Snitch_Fashion_Sales_cleaned!$I1094,Table3[Order_Date],Table3[Date_Key])</f>
        <v>124</v>
      </c>
    </row>
    <row r="1095" spans="1:16" x14ac:dyDescent="0.3">
      <c r="A1095" s="34">
        <v>2093</v>
      </c>
      <c r="B1095" s="32" t="s">
        <v>1133</v>
      </c>
      <c r="C1095" s="32" t="s">
        <v>31</v>
      </c>
      <c r="D1095" s="33" t="s">
        <v>68</v>
      </c>
      <c r="E1095" s="34">
        <v>4</v>
      </c>
      <c r="F1095" s="35">
        <v>3163.95</v>
      </c>
      <c r="G1095" s="36">
        <v>0.51</v>
      </c>
      <c r="H1095" s="35">
        <f t="shared" si="36"/>
        <v>12655.8</v>
      </c>
      <c r="I1095" s="37">
        <v>45677</v>
      </c>
      <c r="J1095" s="33" t="s">
        <v>22</v>
      </c>
      <c r="K1095" s="33" t="s">
        <v>23</v>
      </c>
      <c r="L1095" s="38">
        <f t="shared" si="37"/>
        <v>6201.3419999999996</v>
      </c>
      <c r="M1095" s="38">
        <v>1267.01</v>
      </c>
      <c r="N1095" s="24">
        <f>_xlfn.XLOOKUP(Snitch_Fashion_Sales_cleaned!$J1095,Table2[City],Table2[City_Key],"not found")</f>
        <v>3</v>
      </c>
      <c r="O1095" s="23">
        <f>_xlfn.XLOOKUP(Snitch_Fashion_Sales_cleaned!$D1095,Table4[Product_Name],Table4[Product_Key],"not found")</f>
        <v>15</v>
      </c>
      <c r="P1095" s="32">
        <f>_xlfn.XLOOKUP(Snitch_Fashion_Sales_cleaned!$I1095,Table3[Order_Date],Table3[Date_Key])</f>
        <v>424</v>
      </c>
    </row>
    <row r="1096" spans="1:16" x14ac:dyDescent="0.3">
      <c r="A1096" s="27">
        <v>2094</v>
      </c>
      <c r="B1096" s="25" t="s">
        <v>1134</v>
      </c>
      <c r="C1096" s="25" t="s">
        <v>36</v>
      </c>
      <c r="D1096" s="26" t="s">
        <v>87</v>
      </c>
      <c r="E1096" s="27">
        <v>5</v>
      </c>
      <c r="F1096" s="28">
        <v>2889.5349999999999</v>
      </c>
      <c r="G1096" s="29">
        <v>0.51</v>
      </c>
      <c r="H1096" s="28">
        <f t="shared" si="36"/>
        <v>14447.674999999999</v>
      </c>
      <c r="I1096" s="30">
        <v>45647</v>
      </c>
      <c r="J1096" s="26" t="s">
        <v>22</v>
      </c>
      <c r="K1096" s="26" t="s">
        <v>16</v>
      </c>
      <c r="L1096" s="31">
        <f t="shared" si="37"/>
        <v>7079.3607499999998</v>
      </c>
      <c r="M1096" s="31">
        <v>-769.25</v>
      </c>
      <c r="N1096" s="22">
        <f>_xlfn.XLOOKUP(Snitch_Fashion_Sales_cleaned!$J1096,Table2[City],Table2[City_Key],"not found")</f>
        <v>3</v>
      </c>
      <c r="O1096" s="21">
        <f>_xlfn.XLOOKUP(Snitch_Fashion_Sales_cleaned!$D1096,Table4[Product_Name],Table4[Product_Key],"not found")</f>
        <v>20</v>
      </c>
      <c r="P1096" s="25">
        <f>_xlfn.XLOOKUP(Snitch_Fashion_Sales_cleaned!$I1096,Table3[Order_Date],Table3[Date_Key])</f>
        <v>5</v>
      </c>
    </row>
    <row r="1097" spans="1:16" x14ac:dyDescent="0.3">
      <c r="A1097" s="34">
        <v>2095</v>
      </c>
      <c r="B1097" s="32" t="s">
        <v>1135</v>
      </c>
      <c r="C1097" s="32" t="s">
        <v>31</v>
      </c>
      <c r="D1097" s="33" t="s">
        <v>68</v>
      </c>
      <c r="E1097" s="34">
        <v>4</v>
      </c>
      <c r="F1097" s="35">
        <v>3809.95</v>
      </c>
      <c r="G1097" s="36">
        <v>0.51</v>
      </c>
      <c r="H1097" s="35">
        <f t="shared" si="36"/>
        <v>15239.8</v>
      </c>
      <c r="I1097" s="37">
        <v>45572</v>
      </c>
      <c r="J1097" s="33" t="s">
        <v>2540</v>
      </c>
      <c r="K1097" s="33" t="s">
        <v>23</v>
      </c>
      <c r="L1097" s="38">
        <f t="shared" si="37"/>
        <v>7467.5019999999995</v>
      </c>
      <c r="M1097" s="38">
        <v>1252.0999999999999</v>
      </c>
      <c r="N1097" s="24">
        <f>_xlfn.XLOOKUP(Snitch_Fashion_Sales_cleaned!$J1097,Table2[City],Table2[City_Key],"not found")</f>
        <v>4</v>
      </c>
      <c r="O1097" s="23">
        <f>_xlfn.XLOOKUP(Snitch_Fashion_Sales_cleaned!$D1097,Table4[Product_Name],Table4[Product_Key],"not found")</f>
        <v>15</v>
      </c>
      <c r="P1097" s="32">
        <f>_xlfn.XLOOKUP(Snitch_Fashion_Sales_cleaned!$I1097,Table3[Order_Date],Table3[Date_Key])</f>
        <v>425</v>
      </c>
    </row>
    <row r="1098" spans="1:16" x14ac:dyDescent="0.3">
      <c r="A1098" s="27">
        <v>2096</v>
      </c>
      <c r="B1098" s="25" t="s">
        <v>1136</v>
      </c>
      <c r="C1098" s="25" t="s">
        <v>13</v>
      </c>
      <c r="D1098" s="26" t="s">
        <v>98</v>
      </c>
      <c r="E1098" s="27">
        <v>5</v>
      </c>
      <c r="F1098" s="28">
        <v>3906.15</v>
      </c>
      <c r="G1098" s="29">
        <v>0.51</v>
      </c>
      <c r="H1098" s="28">
        <f t="shared" si="36"/>
        <v>19530.75</v>
      </c>
      <c r="I1098" s="30">
        <v>45647</v>
      </c>
      <c r="J1098" s="26" t="s">
        <v>2540</v>
      </c>
      <c r="K1098" s="26" t="s">
        <v>23</v>
      </c>
      <c r="L1098" s="31">
        <f t="shared" si="37"/>
        <v>9570.0674999999992</v>
      </c>
      <c r="M1098" s="31">
        <v>2500.02</v>
      </c>
      <c r="N1098" s="22">
        <f>_xlfn.XLOOKUP(Snitch_Fashion_Sales_cleaned!$J1098,Table2[City],Table2[City_Key],"not found")</f>
        <v>4</v>
      </c>
      <c r="O1098" s="21">
        <f>_xlfn.XLOOKUP(Snitch_Fashion_Sales_cleaned!$D1098,Table4[Product_Name],Table4[Product_Key],"not found")</f>
        <v>21</v>
      </c>
      <c r="P1098" s="25">
        <f>_xlfn.XLOOKUP(Snitch_Fashion_Sales_cleaned!$I1098,Table3[Order_Date],Table3[Date_Key])</f>
        <v>5</v>
      </c>
    </row>
    <row r="1099" spans="1:16" x14ac:dyDescent="0.3">
      <c r="A1099" s="34">
        <v>2097</v>
      </c>
      <c r="B1099" s="32" t="s">
        <v>1137</v>
      </c>
      <c r="C1099" s="32" t="s">
        <v>31</v>
      </c>
      <c r="D1099" s="33" t="s">
        <v>68</v>
      </c>
      <c r="E1099" s="34">
        <v>3</v>
      </c>
      <c r="F1099" s="35">
        <v>2765.79</v>
      </c>
      <c r="G1099" s="36">
        <v>0.64</v>
      </c>
      <c r="H1099" s="35">
        <f t="shared" si="36"/>
        <v>8297.369999999999</v>
      </c>
      <c r="I1099" s="37">
        <v>45756</v>
      </c>
      <c r="J1099" s="33" t="s">
        <v>22</v>
      </c>
      <c r="K1099" s="33" t="s">
        <v>16</v>
      </c>
      <c r="L1099" s="38">
        <f t="shared" si="37"/>
        <v>2987.0531999999994</v>
      </c>
      <c r="M1099" s="38">
        <v>2870.13</v>
      </c>
      <c r="N1099" s="24">
        <f>_xlfn.XLOOKUP(Snitch_Fashion_Sales_cleaned!$J1099,Table2[City],Table2[City_Key],"not found")</f>
        <v>3</v>
      </c>
      <c r="O1099" s="23">
        <f>_xlfn.XLOOKUP(Snitch_Fashion_Sales_cleaned!$D1099,Table4[Product_Name],Table4[Product_Key],"not found")</f>
        <v>15</v>
      </c>
      <c r="P1099" s="32">
        <f>_xlfn.XLOOKUP(Snitch_Fashion_Sales_cleaned!$I1099,Table3[Order_Date],Table3[Date_Key])</f>
        <v>405</v>
      </c>
    </row>
    <row r="1100" spans="1:16" x14ac:dyDescent="0.3">
      <c r="A1100" s="27">
        <v>2098</v>
      </c>
      <c r="B1100" s="25" t="s">
        <v>1138</v>
      </c>
      <c r="C1100" s="25" t="s">
        <v>20</v>
      </c>
      <c r="D1100" s="26" t="s">
        <v>76</v>
      </c>
      <c r="E1100" s="27">
        <v>3</v>
      </c>
      <c r="F1100" s="28">
        <v>431.18</v>
      </c>
      <c r="G1100" s="29">
        <v>0.51</v>
      </c>
      <c r="H1100" s="28">
        <f t="shared" si="36"/>
        <v>1293.54</v>
      </c>
      <c r="I1100" s="30">
        <v>45708</v>
      </c>
      <c r="J1100" s="26" t="s">
        <v>43</v>
      </c>
      <c r="K1100" s="26" t="s">
        <v>23</v>
      </c>
      <c r="L1100" s="31">
        <f t="shared" si="37"/>
        <v>633.83460000000002</v>
      </c>
      <c r="M1100" s="31">
        <v>-183.75</v>
      </c>
      <c r="N1100" s="22">
        <f>_xlfn.XLOOKUP(Snitch_Fashion_Sales_cleaned!$J1100,Table2[City],Table2[City_Key],"not found")</f>
        <v>6</v>
      </c>
      <c r="O1100" s="21">
        <f>_xlfn.XLOOKUP(Snitch_Fashion_Sales_cleaned!$D1100,Table4[Product_Name],Table4[Product_Key],"not found")</f>
        <v>16</v>
      </c>
      <c r="P1100" s="25">
        <f>_xlfn.XLOOKUP(Snitch_Fashion_Sales_cleaned!$I1100,Table3[Order_Date],Table3[Date_Key])</f>
        <v>258</v>
      </c>
    </row>
    <row r="1101" spans="1:16" x14ac:dyDescent="0.3">
      <c r="A1101" s="34">
        <v>2099</v>
      </c>
      <c r="B1101" s="32" t="s">
        <v>1139</v>
      </c>
      <c r="C1101" s="32" t="s">
        <v>31</v>
      </c>
      <c r="D1101" s="33" t="s">
        <v>32</v>
      </c>
      <c r="E1101" s="34">
        <v>4</v>
      </c>
      <c r="F1101" s="35">
        <v>1806.81</v>
      </c>
      <c r="G1101" s="36">
        <v>0.51</v>
      </c>
      <c r="H1101" s="35">
        <f t="shared" si="36"/>
        <v>7227.24</v>
      </c>
      <c r="I1101" s="37">
        <v>45581</v>
      </c>
      <c r="J1101" s="33" t="s">
        <v>18</v>
      </c>
      <c r="K1101" s="33" t="s">
        <v>23</v>
      </c>
      <c r="L1101" s="38">
        <f t="shared" si="37"/>
        <v>3541.3475999999996</v>
      </c>
      <c r="M1101" s="38">
        <v>591.13</v>
      </c>
      <c r="N1101" s="24">
        <f>_xlfn.XLOOKUP(Snitch_Fashion_Sales_cleaned!$J1101,Table2[City],Table2[City_Key],"not found")</f>
        <v>2</v>
      </c>
      <c r="O1101" s="23">
        <f>_xlfn.XLOOKUP(Snitch_Fashion_Sales_cleaned!$D1101,Table4[Product_Name],Table4[Product_Key],"not found")</f>
        <v>5</v>
      </c>
      <c r="P1101" s="32">
        <f>_xlfn.XLOOKUP(Snitch_Fashion_Sales_cleaned!$I1101,Table3[Order_Date],Table3[Date_Key])</f>
        <v>34</v>
      </c>
    </row>
    <row r="1102" spans="1:16" x14ac:dyDescent="0.3">
      <c r="A1102" s="27">
        <v>2100</v>
      </c>
      <c r="B1102" s="25" t="s">
        <v>1140</v>
      </c>
      <c r="C1102" s="25" t="s">
        <v>25</v>
      </c>
      <c r="D1102" s="26" t="s">
        <v>62</v>
      </c>
      <c r="E1102" s="27">
        <v>4</v>
      </c>
      <c r="F1102" s="28">
        <v>1528.94</v>
      </c>
      <c r="G1102" s="29">
        <v>0.67</v>
      </c>
      <c r="H1102" s="28">
        <f t="shared" si="36"/>
        <v>6115.76</v>
      </c>
      <c r="I1102" s="30">
        <v>45683</v>
      </c>
      <c r="J1102" s="26" t="s">
        <v>15</v>
      </c>
      <c r="K1102" s="26" t="s">
        <v>23</v>
      </c>
      <c r="L1102" s="31">
        <f t="shared" si="37"/>
        <v>2018.2007999999998</v>
      </c>
      <c r="M1102" s="31">
        <v>504.55019999999996</v>
      </c>
      <c r="N1102" s="22">
        <f>_xlfn.XLOOKUP(Snitch_Fashion_Sales_cleaned!$J1102,Table2[City],Table2[City_Key],"not found")</f>
        <v>1</v>
      </c>
      <c r="O1102" s="21">
        <f>_xlfn.XLOOKUP(Snitch_Fashion_Sales_cleaned!$D1102,Table4[Product_Name],Table4[Product_Key],"not found")</f>
        <v>14</v>
      </c>
      <c r="P1102" s="25">
        <f>_xlfn.XLOOKUP(Snitch_Fashion_Sales_cleaned!$I1102,Table3[Order_Date],Table3[Date_Key])</f>
        <v>370</v>
      </c>
    </row>
    <row r="1103" spans="1:16" x14ac:dyDescent="0.3">
      <c r="A1103" s="34">
        <v>2101</v>
      </c>
      <c r="B1103" s="32" t="s">
        <v>1141</v>
      </c>
      <c r="C1103" s="32" t="s">
        <v>13</v>
      </c>
      <c r="D1103" s="33" t="s">
        <v>34</v>
      </c>
      <c r="E1103" s="34">
        <v>3</v>
      </c>
      <c r="F1103" s="35">
        <v>1020.85</v>
      </c>
      <c r="G1103" s="36">
        <v>0.51</v>
      </c>
      <c r="H1103" s="35">
        <f t="shared" si="36"/>
        <v>3062.55</v>
      </c>
      <c r="I1103" s="37">
        <v>45465</v>
      </c>
      <c r="J1103" s="33" t="s">
        <v>18</v>
      </c>
      <c r="K1103" s="33" t="s">
        <v>23</v>
      </c>
      <c r="L1103" s="38">
        <f t="shared" si="37"/>
        <v>1500.6495</v>
      </c>
      <c r="M1103" s="38">
        <v>-881.4</v>
      </c>
      <c r="N1103" s="24">
        <f>_xlfn.XLOOKUP(Snitch_Fashion_Sales_cleaned!$J1103,Table2[City],Table2[City_Key],"not found")</f>
        <v>2</v>
      </c>
      <c r="O1103" s="23">
        <f>_xlfn.XLOOKUP(Snitch_Fashion_Sales_cleaned!$D1103,Table4[Product_Name],Table4[Product_Key],"not found")</f>
        <v>6</v>
      </c>
      <c r="P1103" s="32">
        <f>_xlfn.XLOOKUP(Snitch_Fashion_Sales_cleaned!$I1103,Table3[Order_Date],Table3[Date_Key])</f>
        <v>146</v>
      </c>
    </row>
    <row r="1104" spans="1:16" x14ac:dyDescent="0.3">
      <c r="A1104" s="27">
        <v>2102</v>
      </c>
      <c r="B1104" s="25" t="s">
        <v>1142</v>
      </c>
      <c r="C1104" s="25" t="s">
        <v>36</v>
      </c>
      <c r="D1104" s="26" t="s">
        <v>55</v>
      </c>
      <c r="E1104" s="27">
        <v>3</v>
      </c>
      <c r="F1104" s="28">
        <v>2581.29</v>
      </c>
      <c r="G1104" s="29">
        <v>0.51</v>
      </c>
      <c r="H1104" s="28">
        <f t="shared" si="36"/>
        <v>7743.87</v>
      </c>
      <c r="I1104" s="30">
        <v>45617</v>
      </c>
      <c r="J1104" s="26" t="s">
        <v>52</v>
      </c>
      <c r="K1104" s="26" t="s">
        <v>23</v>
      </c>
      <c r="L1104" s="31">
        <f t="shared" si="37"/>
        <v>3794.4962999999998</v>
      </c>
      <c r="M1104" s="31">
        <v>2300.14</v>
      </c>
      <c r="N1104" s="22">
        <f>_xlfn.XLOOKUP(Snitch_Fashion_Sales_cleaned!$J1104,Table2[City],Table2[City_Key],"not found")</f>
        <v>5</v>
      </c>
      <c r="O1104" s="21">
        <f>_xlfn.XLOOKUP(Snitch_Fashion_Sales_cleaned!$D1104,Table4[Product_Name],Table4[Product_Key],"not found")</f>
        <v>12</v>
      </c>
      <c r="P1104" s="25">
        <f>_xlfn.XLOOKUP(Snitch_Fashion_Sales_cleaned!$I1104,Table3[Order_Date],Table3[Date_Key])</f>
        <v>199</v>
      </c>
    </row>
    <row r="1105" spans="1:16" x14ac:dyDescent="0.3">
      <c r="A1105" s="34">
        <v>2103</v>
      </c>
      <c r="B1105" s="32" t="s">
        <v>1143</v>
      </c>
      <c r="C1105" s="32" t="s">
        <v>13</v>
      </c>
      <c r="D1105" s="33" t="s">
        <v>14</v>
      </c>
      <c r="E1105" s="34">
        <v>3</v>
      </c>
      <c r="F1105" s="35">
        <v>2366.6149999999998</v>
      </c>
      <c r="G1105" s="36">
        <v>0.56000000000000005</v>
      </c>
      <c r="H1105" s="35">
        <f t="shared" si="36"/>
        <v>7099.8449999999993</v>
      </c>
      <c r="I1105" s="37">
        <v>45647</v>
      </c>
      <c r="J1105" s="33" t="s">
        <v>18</v>
      </c>
      <c r="K1105" s="33" t="s">
        <v>23</v>
      </c>
      <c r="L1105" s="38">
        <f t="shared" si="37"/>
        <v>3123.9317999999994</v>
      </c>
      <c r="M1105" s="38">
        <v>-244.29</v>
      </c>
      <c r="N1105" s="24">
        <f>_xlfn.XLOOKUP(Snitch_Fashion_Sales_cleaned!$J1105,Table2[City],Table2[City_Key],"not found")</f>
        <v>2</v>
      </c>
      <c r="O1105" s="23">
        <f>_xlfn.XLOOKUP(Snitch_Fashion_Sales_cleaned!$D1105,Table4[Product_Name],Table4[Product_Key],"not found")</f>
        <v>1</v>
      </c>
      <c r="P1105" s="32">
        <f>_xlfn.XLOOKUP(Snitch_Fashion_Sales_cleaned!$I1105,Table3[Order_Date],Table3[Date_Key])</f>
        <v>5</v>
      </c>
    </row>
    <row r="1106" spans="1:16" x14ac:dyDescent="0.3">
      <c r="A1106" s="27">
        <v>2104</v>
      </c>
      <c r="B1106" s="25" t="s">
        <v>1144</v>
      </c>
      <c r="C1106" s="25" t="s">
        <v>31</v>
      </c>
      <c r="D1106" s="26" t="s">
        <v>78</v>
      </c>
      <c r="E1106" s="27">
        <v>4</v>
      </c>
      <c r="F1106" s="28">
        <v>2211.06</v>
      </c>
      <c r="G1106" s="29">
        <v>0.26</v>
      </c>
      <c r="H1106" s="28">
        <f t="shared" si="36"/>
        <v>8844.24</v>
      </c>
      <c r="I1106" s="30">
        <v>45837</v>
      </c>
      <c r="J1106" s="26" t="s">
        <v>52</v>
      </c>
      <c r="K1106" s="26" t="s">
        <v>23</v>
      </c>
      <c r="L1106" s="31">
        <f t="shared" si="37"/>
        <v>6544.7375999999995</v>
      </c>
      <c r="M1106" s="31">
        <v>2143.54</v>
      </c>
      <c r="N1106" s="22">
        <f>_xlfn.XLOOKUP(Snitch_Fashion_Sales_cleaned!$J1106,Table2[City],Table2[City_Key],"not found")</f>
        <v>5</v>
      </c>
      <c r="O1106" s="21">
        <f>_xlfn.XLOOKUP(Snitch_Fashion_Sales_cleaned!$D1106,Table4[Product_Name],Table4[Product_Key],"not found")</f>
        <v>17</v>
      </c>
      <c r="P1106" s="25">
        <f>_xlfn.XLOOKUP(Snitch_Fashion_Sales_cleaned!$I1106,Table3[Order_Date],Table3[Date_Key])</f>
        <v>163</v>
      </c>
    </row>
    <row r="1107" spans="1:16" x14ac:dyDescent="0.3">
      <c r="A1107" s="34">
        <v>2105</v>
      </c>
      <c r="B1107" s="32" t="s">
        <v>1145</v>
      </c>
      <c r="C1107" s="32" t="s">
        <v>25</v>
      </c>
      <c r="D1107" s="33" t="s">
        <v>62</v>
      </c>
      <c r="E1107" s="34">
        <v>4</v>
      </c>
      <c r="F1107" s="35">
        <v>3643.63</v>
      </c>
      <c r="G1107" s="36">
        <v>0.19</v>
      </c>
      <c r="H1107" s="35">
        <f t="shared" si="36"/>
        <v>14574.52</v>
      </c>
      <c r="I1107" s="37">
        <v>45754</v>
      </c>
      <c r="J1107" s="33" t="s">
        <v>22</v>
      </c>
      <c r="K1107" s="33" t="s">
        <v>16</v>
      </c>
      <c r="L1107" s="38">
        <f t="shared" si="37"/>
        <v>11805.361200000001</v>
      </c>
      <c r="M1107" s="38">
        <v>375.4</v>
      </c>
      <c r="N1107" s="24">
        <f>_xlfn.XLOOKUP(Snitch_Fashion_Sales_cleaned!$J1107,Table2[City],Table2[City_Key],"not found")</f>
        <v>3</v>
      </c>
      <c r="O1107" s="23">
        <f>_xlfn.XLOOKUP(Snitch_Fashion_Sales_cleaned!$D1107,Table4[Product_Name],Table4[Product_Key],"not found")</f>
        <v>14</v>
      </c>
      <c r="P1107" s="32">
        <f>_xlfn.XLOOKUP(Snitch_Fashion_Sales_cleaned!$I1107,Table3[Order_Date],Table3[Date_Key])</f>
        <v>426</v>
      </c>
    </row>
    <row r="1108" spans="1:16" x14ac:dyDescent="0.3">
      <c r="A1108" s="27">
        <v>2106</v>
      </c>
      <c r="B1108" s="25" t="s">
        <v>1146</v>
      </c>
      <c r="C1108" s="25" t="s">
        <v>36</v>
      </c>
      <c r="D1108" s="26" t="s">
        <v>59</v>
      </c>
      <c r="E1108" s="27">
        <v>4</v>
      </c>
      <c r="F1108" s="28">
        <v>4312.21</v>
      </c>
      <c r="G1108" s="29">
        <v>0.51</v>
      </c>
      <c r="H1108" s="28">
        <f t="shared" si="36"/>
        <v>17248.84</v>
      </c>
      <c r="I1108" s="30">
        <v>45404</v>
      </c>
      <c r="J1108" s="26" t="s">
        <v>15</v>
      </c>
      <c r="K1108" s="26" t="s">
        <v>16</v>
      </c>
      <c r="L1108" s="31">
        <f t="shared" si="37"/>
        <v>8451.9315999999999</v>
      </c>
      <c r="M1108" s="31">
        <v>552.97</v>
      </c>
      <c r="N1108" s="22">
        <f>_xlfn.XLOOKUP(Snitch_Fashion_Sales_cleaned!$J1108,Table2[City],Table2[City_Key],"not found")</f>
        <v>1</v>
      </c>
      <c r="O1108" s="21">
        <f>_xlfn.XLOOKUP(Snitch_Fashion_Sales_cleaned!$D1108,Table4[Product_Name],Table4[Product_Key],"not found")</f>
        <v>13</v>
      </c>
      <c r="P1108" s="25">
        <f>_xlfn.XLOOKUP(Snitch_Fashion_Sales_cleaned!$I1108,Table3[Order_Date],Table3[Date_Key])</f>
        <v>427</v>
      </c>
    </row>
    <row r="1109" spans="1:16" x14ac:dyDescent="0.3">
      <c r="A1109" s="34">
        <v>2107</v>
      </c>
      <c r="B1109" s="32" t="s">
        <v>1147</v>
      </c>
      <c r="C1109" s="32" t="s">
        <v>36</v>
      </c>
      <c r="D1109" s="33" t="s">
        <v>59</v>
      </c>
      <c r="E1109" s="34">
        <v>3</v>
      </c>
      <c r="F1109" s="35">
        <v>2686.05</v>
      </c>
      <c r="G1109" s="36">
        <v>0.51</v>
      </c>
      <c r="H1109" s="35">
        <f t="shared" si="36"/>
        <v>8058.1500000000005</v>
      </c>
      <c r="I1109" s="37">
        <v>45661</v>
      </c>
      <c r="J1109" s="33" t="s">
        <v>52</v>
      </c>
      <c r="K1109" s="33" t="s">
        <v>16</v>
      </c>
      <c r="L1109" s="38">
        <f t="shared" si="37"/>
        <v>3948.4935</v>
      </c>
      <c r="M1109" s="38">
        <v>2643.46</v>
      </c>
      <c r="N1109" s="24">
        <f>_xlfn.XLOOKUP(Snitch_Fashion_Sales_cleaned!$J1109,Table2[City],Table2[City_Key],"not found")</f>
        <v>5</v>
      </c>
      <c r="O1109" s="23">
        <f>_xlfn.XLOOKUP(Snitch_Fashion_Sales_cleaned!$D1109,Table4[Product_Name],Table4[Product_Key],"not found")</f>
        <v>13</v>
      </c>
      <c r="P1109" s="32">
        <f>_xlfn.XLOOKUP(Snitch_Fashion_Sales_cleaned!$I1109,Table3[Order_Date],Table3[Date_Key])</f>
        <v>63</v>
      </c>
    </row>
    <row r="1110" spans="1:16" x14ac:dyDescent="0.3">
      <c r="A1110" s="27">
        <v>2108</v>
      </c>
      <c r="B1110" s="25" t="s">
        <v>1148</v>
      </c>
      <c r="C1110" s="25" t="s">
        <v>13</v>
      </c>
      <c r="D1110" s="26" t="s">
        <v>46</v>
      </c>
      <c r="E1110" s="27">
        <v>4</v>
      </c>
      <c r="F1110" s="28">
        <v>2538.3000000000002</v>
      </c>
      <c r="G1110" s="29">
        <v>0.51</v>
      </c>
      <c r="H1110" s="28">
        <f t="shared" si="36"/>
        <v>10153.200000000001</v>
      </c>
      <c r="I1110" s="30">
        <v>45795</v>
      </c>
      <c r="J1110" s="26" t="s">
        <v>22</v>
      </c>
      <c r="K1110" s="26" t="s">
        <v>23</v>
      </c>
      <c r="L1110" s="31">
        <f t="shared" si="37"/>
        <v>4975.0680000000002</v>
      </c>
      <c r="M1110" s="31">
        <v>-820.5</v>
      </c>
      <c r="N1110" s="22">
        <f>_xlfn.XLOOKUP(Snitch_Fashion_Sales_cleaned!$J1110,Table2[City],Table2[City_Key],"not found")</f>
        <v>3</v>
      </c>
      <c r="O1110" s="21">
        <f>_xlfn.XLOOKUP(Snitch_Fashion_Sales_cleaned!$D1110,Table4[Product_Name],Table4[Product_Key],"not found")</f>
        <v>10</v>
      </c>
      <c r="P1110" s="25">
        <f>_xlfn.XLOOKUP(Snitch_Fashion_Sales_cleaned!$I1110,Table3[Order_Date],Table3[Date_Key])</f>
        <v>271</v>
      </c>
    </row>
    <row r="1111" spans="1:16" x14ac:dyDescent="0.3">
      <c r="A1111" s="34">
        <v>2109</v>
      </c>
      <c r="B1111" s="32" t="s">
        <v>1149</v>
      </c>
      <c r="C1111" s="32" t="s">
        <v>13</v>
      </c>
      <c r="D1111" s="33" t="s">
        <v>34</v>
      </c>
      <c r="E1111" s="34">
        <v>3</v>
      </c>
      <c r="F1111" s="35">
        <v>1901.86</v>
      </c>
      <c r="G1111" s="36">
        <v>0.51</v>
      </c>
      <c r="H1111" s="35">
        <f t="shared" si="36"/>
        <v>5705.58</v>
      </c>
      <c r="I1111" s="37">
        <v>45647</v>
      </c>
      <c r="J1111" s="33" t="s">
        <v>43</v>
      </c>
      <c r="K1111" s="33" t="s">
        <v>16</v>
      </c>
      <c r="L1111" s="38">
        <f t="shared" si="37"/>
        <v>2795.7341999999999</v>
      </c>
      <c r="M1111" s="38">
        <v>-906.34</v>
      </c>
      <c r="N1111" s="24">
        <f>_xlfn.XLOOKUP(Snitch_Fashion_Sales_cleaned!$J1111,Table2[City],Table2[City_Key],"not found")</f>
        <v>6</v>
      </c>
      <c r="O1111" s="23">
        <f>_xlfn.XLOOKUP(Snitch_Fashion_Sales_cleaned!$D1111,Table4[Product_Name],Table4[Product_Key],"not found")</f>
        <v>6</v>
      </c>
      <c r="P1111" s="32">
        <f>_xlfn.XLOOKUP(Snitch_Fashion_Sales_cleaned!$I1111,Table3[Order_Date],Table3[Date_Key])</f>
        <v>5</v>
      </c>
    </row>
    <row r="1112" spans="1:16" x14ac:dyDescent="0.3">
      <c r="A1112" s="27">
        <v>2110</v>
      </c>
      <c r="B1112" s="25" t="s">
        <v>1150</v>
      </c>
      <c r="C1112" s="25" t="s">
        <v>31</v>
      </c>
      <c r="D1112" s="26" t="s">
        <v>68</v>
      </c>
      <c r="E1112" s="27">
        <v>4</v>
      </c>
      <c r="F1112" s="28">
        <v>2765.79</v>
      </c>
      <c r="G1112" s="29">
        <v>0.51</v>
      </c>
      <c r="H1112" s="28">
        <f t="shared" si="36"/>
        <v>11063.16</v>
      </c>
      <c r="I1112" s="30">
        <v>45647</v>
      </c>
      <c r="J1112" s="26" t="s">
        <v>22</v>
      </c>
      <c r="K1112" s="26" t="s">
        <v>23</v>
      </c>
      <c r="L1112" s="31">
        <f t="shared" si="37"/>
        <v>5420.9484000000002</v>
      </c>
      <c r="M1112" s="31">
        <v>2891.52</v>
      </c>
      <c r="N1112" s="22">
        <f>_xlfn.XLOOKUP(Snitch_Fashion_Sales_cleaned!$J1112,Table2[City],Table2[City_Key],"not found")</f>
        <v>3</v>
      </c>
      <c r="O1112" s="21">
        <f>_xlfn.XLOOKUP(Snitch_Fashion_Sales_cleaned!$D1112,Table4[Product_Name],Table4[Product_Key],"not found")</f>
        <v>15</v>
      </c>
      <c r="P1112" s="25">
        <f>_xlfn.XLOOKUP(Snitch_Fashion_Sales_cleaned!$I1112,Table3[Order_Date],Table3[Date_Key])</f>
        <v>5</v>
      </c>
    </row>
    <row r="1113" spans="1:16" x14ac:dyDescent="0.3">
      <c r="A1113" s="34">
        <v>2111</v>
      </c>
      <c r="B1113" s="32" t="s">
        <v>1151</v>
      </c>
      <c r="C1113" s="32" t="s">
        <v>25</v>
      </c>
      <c r="D1113" s="33" t="s">
        <v>82</v>
      </c>
      <c r="E1113" s="34">
        <v>3</v>
      </c>
      <c r="F1113" s="35">
        <v>1934.02</v>
      </c>
      <c r="G1113" s="36">
        <v>0.51</v>
      </c>
      <c r="H1113" s="35">
        <f t="shared" si="36"/>
        <v>5802.0599999999995</v>
      </c>
      <c r="I1113" s="37">
        <v>45854</v>
      </c>
      <c r="J1113" s="33" t="s">
        <v>15</v>
      </c>
      <c r="K1113" s="33" t="s">
        <v>23</v>
      </c>
      <c r="L1113" s="38">
        <f t="shared" si="37"/>
        <v>2843.0093999999999</v>
      </c>
      <c r="M1113" s="38">
        <v>897.11</v>
      </c>
      <c r="N1113" s="24">
        <f>_xlfn.XLOOKUP(Snitch_Fashion_Sales_cleaned!$J1113,Table2[City],Table2[City_Key],"not found")</f>
        <v>1</v>
      </c>
      <c r="O1113" s="23">
        <f>_xlfn.XLOOKUP(Snitch_Fashion_Sales_cleaned!$D1113,Table4[Product_Name],Table4[Product_Key],"not found")</f>
        <v>18</v>
      </c>
      <c r="P1113" s="32">
        <f>_xlfn.XLOOKUP(Snitch_Fashion_Sales_cleaned!$I1113,Table3[Order_Date],Table3[Date_Key])</f>
        <v>428</v>
      </c>
    </row>
    <row r="1114" spans="1:16" x14ac:dyDescent="0.3">
      <c r="A1114" s="27">
        <v>2112</v>
      </c>
      <c r="B1114" s="25" t="s">
        <v>1152</v>
      </c>
      <c r="C1114" s="25" t="s">
        <v>13</v>
      </c>
      <c r="D1114" s="26" t="s">
        <v>98</v>
      </c>
      <c r="E1114" s="27">
        <v>5</v>
      </c>
      <c r="F1114" s="28">
        <v>3248.14</v>
      </c>
      <c r="G1114" s="29">
        <v>0.18</v>
      </c>
      <c r="H1114" s="28">
        <f t="shared" si="36"/>
        <v>16240.699999999999</v>
      </c>
      <c r="I1114" s="30">
        <v>45647</v>
      </c>
      <c r="J1114" s="26" t="s">
        <v>43</v>
      </c>
      <c r="K1114" s="26" t="s">
        <v>23</v>
      </c>
      <c r="L1114" s="31">
        <f t="shared" si="37"/>
        <v>13317.374</v>
      </c>
      <c r="M1114" s="31">
        <v>1536.06</v>
      </c>
      <c r="N1114" s="22">
        <f>_xlfn.XLOOKUP(Snitch_Fashion_Sales_cleaned!$J1114,Table2[City],Table2[City_Key],"not found")</f>
        <v>6</v>
      </c>
      <c r="O1114" s="21">
        <f>_xlfn.XLOOKUP(Snitch_Fashion_Sales_cleaned!$D1114,Table4[Product_Name],Table4[Product_Key],"not found")</f>
        <v>21</v>
      </c>
      <c r="P1114" s="25">
        <f>_xlfn.XLOOKUP(Snitch_Fashion_Sales_cleaned!$I1114,Table3[Order_Date],Table3[Date_Key])</f>
        <v>5</v>
      </c>
    </row>
    <row r="1115" spans="1:16" x14ac:dyDescent="0.3">
      <c r="A1115" s="34">
        <v>2113</v>
      </c>
      <c r="B1115" s="32" t="s">
        <v>1153</v>
      </c>
      <c r="C1115" s="32" t="s">
        <v>36</v>
      </c>
      <c r="D1115" s="33" t="s">
        <v>37</v>
      </c>
      <c r="E1115" s="34">
        <v>4</v>
      </c>
      <c r="F1115" s="35">
        <v>2975.64</v>
      </c>
      <c r="G1115" s="36">
        <v>0.51</v>
      </c>
      <c r="H1115" s="35">
        <f t="shared" si="36"/>
        <v>11902.56</v>
      </c>
      <c r="I1115" s="37">
        <v>45647</v>
      </c>
      <c r="J1115" s="33" t="s">
        <v>15</v>
      </c>
      <c r="K1115" s="33" t="s">
        <v>23</v>
      </c>
      <c r="L1115" s="38">
        <f t="shared" si="37"/>
        <v>5832.2543999999998</v>
      </c>
      <c r="M1115" s="38">
        <v>2500.56</v>
      </c>
      <c r="N1115" s="24">
        <f>_xlfn.XLOOKUP(Snitch_Fashion_Sales_cleaned!$J1115,Table2[City],Table2[City_Key],"not found")</f>
        <v>1</v>
      </c>
      <c r="O1115" s="23">
        <f>_xlfn.XLOOKUP(Snitch_Fashion_Sales_cleaned!$D1115,Table4[Product_Name],Table4[Product_Key],"not found")</f>
        <v>7</v>
      </c>
      <c r="P1115" s="32">
        <f>_xlfn.XLOOKUP(Snitch_Fashion_Sales_cleaned!$I1115,Table3[Order_Date],Table3[Date_Key])</f>
        <v>5</v>
      </c>
    </row>
    <row r="1116" spans="1:16" x14ac:dyDescent="0.3">
      <c r="A1116" s="27">
        <v>2114</v>
      </c>
      <c r="B1116" s="25" t="s">
        <v>1154</v>
      </c>
      <c r="C1116" s="25" t="s">
        <v>36</v>
      </c>
      <c r="D1116" s="26" t="s">
        <v>55</v>
      </c>
      <c r="E1116" s="27">
        <v>3</v>
      </c>
      <c r="F1116" s="28">
        <v>2731.6350000000002</v>
      </c>
      <c r="G1116" s="29">
        <v>0.51</v>
      </c>
      <c r="H1116" s="28">
        <f t="shared" si="36"/>
        <v>8194.9050000000007</v>
      </c>
      <c r="I1116" s="30">
        <v>45719</v>
      </c>
      <c r="J1116" s="26" t="s">
        <v>22</v>
      </c>
      <c r="K1116" s="26" t="s">
        <v>23</v>
      </c>
      <c r="L1116" s="31">
        <f t="shared" si="37"/>
        <v>4015.5034500000002</v>
      </c>
      <c r="M1116" s="31">
        <v>1393.12</v>
      </c>
      <c r="N1116" s="22">
        <f>_xlfn.XLOOKUP(Snitch_Fashion_Sales_cleaned!$J1116,Table2[City],Table2[City_Key],"not found")</f>
        <v>3</v>
      </c>
      <c r="O1116" s="21">
        <f>_xlfn.XLOOKUP(Snitch_Fashion_Sales_cleaned!$D1116,Table4[Product_Name],Table4[Product_Key],"not found")</f>
        <v>12</v>
      </c>
      <c r="P1116" s="25">
        <f>_xlfn.XLOOKUP(Snitch_Fashion_Sales_cleaned!$I1116,Table3[Order_Date],Table3[Date_Key])</f>
        <v>92</v>
      </c>
    </row>
    <row r="1117" spans="1:16" x14ac:dyDescent="0.3">
      <c r="A1117" s="34">
        <v>2115</v>
      </c>
      <c r="B1117" s="32" t="s">
        <v>1155</v>
      </c>
      <c r="C1117" s="32" t="s">
        <v>13</v>
      </c>
      <c r="D1117" s="33" t="s">
        <v>46</v>
      </c>
      <c r="E1117" s="34">
        <v>4</v>
      </c>
      <c r="F1117" s="35">
        <v>2891.64</v>
      </c>
      <c r="G1117" s="36">
        <v>0.51</v>
      </c>
      <c r="H1117" s="35">
        <f t="shared" si="36"/>
        <v>11566.56</v>
      </c>
      <c r="I1117" s="37">
        <v>45710</v>
      </c>
      <c r="J1117" s="33" t="s">
        <v>18</v>
      </c>
      <c r="K1117" s="33" t="s">
        <v>16</v>
      </c>
      <c r="L1117" s="38">
        <f t="shared" si="37"/>
        <v>5667.6143999999995</v>
      </c>
      <c r="M1117" s="38">
        <v>2100.4</v>
      </c>
      <c r="N1117" s="24">
        <f>_xlfn.XLOOKUP(Snitch_Fashion_Sales_cleaned!$J1117,Table2[City],Table2[City_Key],"not found")</f>
        <v>2</v>
      </c>
      <c r="O1117" s="23">
        <f>_xlfn.XLOOKUP(Snitch_Fashion_Sales_cleaned!$D1117,Table4[Product_Name],Table4[Product_Key],"not found")</f>
        <v>10</v>
      </c>
      <c r="P1117" s="32">
        <f>_xlfn.XLOOKUP(Snitch_Fashion_Sales_cleaned!$I1117,Table3[Order_Date],Table3[Date_Key])</f>
        <v>59</v>
      </c>
    </row>
    <row r="1118" spans="1:16" x14ac:dyDescent="0.3">
      <c r="A1118" s="27">
        <v>2116</v>
      </c>
      <c r="B1118" s="25" t="s">
        <v>1156</v>
      </c>
      <c r="C1118" s="25" t="s">
        <v>28</v>
      </c>
      <c r="D1118" s="26" t="s">
        <v>137</v>
      </c>
      <c r="E1118" s="27">
        <v>2</v>
      </c>
      <c r="F1118" s="28">
        <v>2338.04</v>
      </c>
      <c r="G1118" s="29">
        <v>0.51</v>
      </c>
      <c r="H1118" s="28">
        <f t="shared" si="36"/>
        <v>4676.08</v>
      </c>
      <c r="I1118" s="30">
        <v>45550</v>
      </c>
      <c r="J1118" s="26" t="s">
        <v>18</v>
      </c>
      <c r="K1118" s="26" t="s">
        <v>23</v>
      </c>
      <c r="L1118" s="31">
        <f t="shared" si="37"/>
        <v>2291.2791999999999</v>
      </c>
      <c r="M1118" s="31">
        <v>87.1</v>
      </c>
      <c r="N1118" s="22">
        <f>_xlfn.XLOOKUP(Snitch_Fashion_Sales_cleaned!$J1118,Table2[City],Table2[City_Key],"not found")</f>
        <v>2</v>
      </c>
      <c r="O1118" s="21">
        <f>_xlfn.XLOOKUP(Snitch_Fashion_Sales_cleaned!$D1118,Table4[Product_Name],Table4[Product_Key],"not found")</f>
        <v>24</v>
      </c>
      <c r="P1118" s="25">
        <f>_xlfn.XLOOKUP(Snitch_Fashion_Sales_cleaned!$I1118,Table3[Order_Date],Table3[Date_Key])</f>
        <v>429</v>
      </c>
    </row>
    <row r="1119" spans="1:16" x14ac:dyDescent="0.3">
      <c r="A1119" s="34">
        <v>2117</v>
      </c>
      <c r="B1119" s="32" t="s">
        <v>1157</v>
      </c>
      <c r="C1119" s="32" t="s">
        <v>36</v>
      </c>
      <c r="D1119" s="33" t="s">
        <v>55</v>
      </c>
      <c r="E1119" s="34">
        <v>3</v>
      </c>
      <c r="F1119" s="35">
        <v>4767.37</v>
      </c>
      <c r="G1119" s="36">
        <v>0.51</v>
      </c>
      <c r="H1119" s="35">
        <f t="shared" si="36"/>
        <v>14302.11</v>
      </c>
      <c r="I1119" s="37">
        <v>45553</v>
      </c>
      <c r="J1119" s="33" t="s">
        <v>15</v>
      </c>
      <c r="K1119" s="33" t="s">
        <v>23</v>
      </c>
      <c r="L1119" s="38">
        <f t="shared" si="37"/>
        <v>7008.0339000000004</v>
      </c>
      <c r="M1119" s="38">
        <v>2319.14</v>
      </c>
      <c r="N1119" s="24">
        <f>_xlfn.XLOOKUP(Snitch_Fashion_Sales_cleaned!$J1119,Table2[City],Table2[City_Key],"not found")</f>
        <v>1</v>
      </c>
      <c r="O1119" s="23">
        <f>_xlfn.XLOOKUP(Snitch_Fashion_Sales_cleaned!$D1119,Table4[Product_Name],Table4[Product_Key],"not found")</f>
        <v>12</v>
      </c>
      <c r="P1119" s="32">
        <f>_xlfn.XLOOKUP(Snitch_Fashion_Sales_cleaned!$I1119,Table3[Order_Date],Table3[Date_Key])</f>
        <v>430</v>
      </c>
    </row>
    <row r="1120" spans="1:16" x14ac:dyDescent="0.3">
      <c r="A1120" s="27">
        <v>2118</v>
      </c>
      <c r="B1120" s="25" t="s">
        <v>576</v>
      </c>
      <c r="C1120" s="25" t="s">
        <v>36</v>
      </c>
      <c r="D1120" s="26" t="s">
        <v>59</v>
      </c>
      <c r="E1120" s="27">
        <v>3</v>
      </c>
      <c r="F1120" s="28">
        <v>3952.46</v>
      </c>
      <c r="G1120" s="29">
        <v>0.82</v>
      </c>
      <c r="H1120" s="28">
        <f t="shared" si="36"/>
        <v>11857.380000000001</v>
      </c>
      <c r="I1120" s="30">
        <v>45767</v>
      </c>
      <c r="J1120" s="26" t="s">
        <v>2540</v>
      </c>
      <c r="K1120" s="26" t="s">
        <v>16</v>
      </c>
      <c r="L1120" s="31">
        <f t="shared" si="37"/>
        <v>2134.3284000000008</v>
      </c>
      <c r="M1120" s="31">
        <v>836.99</v>
      </c>
      <c r="N1120" s="22">
        <f>_xlfn.XLOOKUP(Snitch_Fashion_Sales_cleaned!$J1120,Table2[City],Table2[City_Key],"not found")</f>
        <v>4</v>
      </c>
      <c r="O1120" s="21">
        <f>_xlfn.XLOOKUP(Snitch_Fashion_Sales_cleaned!$D1120,Table4[Product_Name],Table4[Product_Key],"not found")</f>
        <v>13</v>
      </c>
      <c r="P1120" s="25">
        <f>_xlfn.XLOOKUP(Snitch_Fashion_Sales_cleaned!$I1120,Table3[Order_Date],Table3[Date_Key])</f>
        <v>413</v>
      </c>
    </row>
    <row r="1121" spans="1:16" x14ac:dyDescent="0.3">
      <c r="A1121" s="34">
        <v>2119</v>
      </c>
      <c r="B1121" s="32" t="s">
        <v>1158</v>
      </c>
      <c r="C1121" s="32" t="s">
        <v>25</v>
      </c>
      <c r="D1121" s="33" t="s">
        <v>26</v>
      </c>
      <c r="E1121" s="34">
        <v>4</v>
      </c>
      <c r="F1121" s="35">
        <v>537.77</v>
      </c>
      <c r="G1121" s="36">
        <v>0.05</v>
      </c>
      <c r="H1121" s="35">
        <f t="shared" si="36"/>
        <v>2151.08</v>
      </c>
      <c r="I1121" s="37">
        <v>45612</v>
      </c>
      <c r="J1121" s="33" t="s">
        <v>2540</v>
      </c>
      <c r="K1121" s="33" t="s">
        <v>16</v>
      </c>
      <c r="L1121" s="38">
        <f t="shared" si="37"/>
        <v>2043.5259999999998</v>
      </c>
      <c r="M1121" s="38">
        <v>510.88149999999996</v>
      </c>
      <c r="N1121" s="24">
        <f>_xlfn.XLOOKUP(Snitch_Fashion_Sales_cleaned!$J1121,Table2[City],Table2[City_Key],"not found")</f>
        <v>4</v>
      </c>
      <c r="O1121" s="23">
        <f>_xlfn.XLOOKUP(Snitch_Fashion_Sales_cleaned!$D1121,Table4[Product_Name],Table4[Product_Key],"not found")</f>
        <v>3</v>
      </c>
      <c r="P1121" s="32">
        <f>_xlfn.XLOOKUP(Snitch_Fashion_Sales_cleaned!$I1121,Table3[Order_Date],Table3[Date_Key])</f>
        <v>365</v>
      </c>
    </row>
    <row r="1122" spans="1:16" x14ac:dyDescent="0.3">
      <c r="A1122" s="27">
        <v>2120</v>
      </c>
      <c r="B1122" s="25" t="s">
        <v>1159</v>
      </c>
      <c r="C1122" s="25" t="s">
        <v>28</v>
      </c>
      <c r="D1122" s="26" t="s">
        <v>116</v>
      </c>
      <c r="E1122" s="27">
        <v>4</v>
      </c>
      <c r="F1122" s="28">
        <v>3321.05</v>
      </c>
      <c r="G1122" s="29">
        <v>0.51</v>
      </c>
      <c r="H1122" s="28">
        <f t="shared" si="36"/>
        <v>13284.2</v>
      </c>
      <c r="I1122" s="30">
        <v>45419</v>
      </c>
      <c r="J1122" s="26" t="s">
        <v>52</v>
      </c>
      <c r="K1122" s="26" t="s">
        <v>23</v>
      </c>
      <c r="L1122" s="31">
        <f t="shared" si="37"/>
        <v>6509.2579999999998</v>
      </c>
      <c r="M1122" s="31">
        <v>-196.89</v>
      </c>
      <c r="N1122" s="22">
        <f>_xlfn.XLOOKUP(Snitch_Fashion_Sales_cleaned!$J1122,Table2[City],Table2[City_Key],"not found")</f>
        <v>5</v>
      </c>
      <c r="O1122" s="21">
        <f>_xlfn.XLOOKUP(Snitch_Fashion_Sales_cleaned!$D1122,Table4[Product_Name],Table4[Product_Key],"not found")</f>
        <v>22</v>
      </c>
      <c r="P1122" s="25">
        <f>_xlfn.XLOOKUP(Snitch_Fashion_Sales_cleaned!$I1122,Table3[Order_Date],Table3[Date_Key])</f>
        <v>383</v>
      </c>
    </row>
    <row r="1123" spans="1:16" x14ac:dyDescent="0.3">
      <c r="A1123" s="34">
        <v>2121</v>
      </c>
      <c r="B1123" s="32" t="s">
        <v>1160</v>
      </c>
      <c r="C1123" s="32" t="s">
        <v>13</v>
      </c>
      <c r="D1123" s="33" t="s">
        <v>34</v>
      </c>
      <c r="E1123" s="34">
        <v>2</v>
      </c>
      <c r="F1123" s="35">
        <v>1209.8</v>
      </c>
      <c r="G1123" s="36">
        <v>0.51</v>
      </c>
      <c r="H1123" s="35">
        <f t="shared" si="36"/>
        <v>2419.6</v>
      </c>
      <c r="I1123" s="37">
        <v>45363</v>
      </c>
      <c r="J1123" s="33" t="s">
        <v>2540</v>
      </c>
      <c r="K1123" s="33" t="s">
        <v>23</v>
      </c>
      <c r="L1123" s="38">
        <f t="shared" si="37"/>
        <v>1185.604</v>
      </c>
      <c r="M1123" s="38">
        <v>959.68</v>
      </c>
      <c r="N1123" s="24">
        <f>_xlfn.XLOOKUP(Snitch_Fashion_Sales_cleaned!$J1123,Table2[City],Table2[City_Key],"not found")</f>
        <v>4</v>
      </c>
      <c r="O1123" s="23">
        <f>_xlfn.XLOOKUP(Snitch_Fashion_Sales_cleaned!$D1123,Table4[Product_Name],Table4[Product_Key],"not found")</f>
        <v>6</v>
      </c>
      <c r="P1123" s="32">
        <f>_xlfn.XLOOKUP(Snitch_Fashion_Sales_cleaned!$I1123,Table3[Order_Date],Table3[Date_Key])</f>
        <v>431</v>
      </c>
    </row>
    <row r="1124" spans="1:16" x14ac:dyDescent="0.3">
      <c r="A1124" s="27">
        <v>2122</v>
      </c>
      <c r="B1124" s="25" t="s">
        <v>1161</v>
      </c>
      <c r="C1124" s="25" t="s">
        <v>13</v>
      </c>
      <c r="D1124" s="26" t="s">
        <v>46</v>
      </c>
      <c r="E1124" s="27">
        <v>4</v>
      </c>
      <c r="F1124" s="28">
        <v>2891.64</v>
      </c>
      <c r="G1124" s="29">
        <v>0.17</v>
      </c>
      <c r="H1124" s="28">
        <f t="shared" si="36"/>
        <v>11566.56</v>
      </c>
      <c r="I1124" s="30">
        <v>45647</v>
      </c>
      <c r="J1124" s="26" t="s">
        <v>15</v>
      </c>
      <c r="K1124" s="26" t="s">
        <v>16</v>
      </c>
      <c r="L1124" s="31">
        <f t="shared" si="37"/>
        <v>9600.2447999999986</v>
      </c>
      <c r="M1124" s="31">
        <v>1823.39</v>
      </c>
      <c r="N1124" s="22">
        <f>_xlfn.XLOOKUP(Snitch_Fashion_Sales_cleaned!$J1124,Table2[City],Table2[City_Key],"not found")</f>
        <v>1</v>
      </c>
      <c r="O1124" s="21">
        <f>_xlfn.XLOOKUP(Snitch_Fashion_Sales_cleaned!$D1124,Table4[Product_Name],Table4[Product_Key],"not found")</f>
        <v>10</v>
      </c>
      <c r="P1124" s="25">
        <f>_xlfn.XLOOKUP(Snitch_Fashion_Sales_cleaned!$I1124,Table3[Order_Date],Table3[Date_Key])</f>
        <v>5</v>
      </c>
    </row>
    <row r="1125" spans="1:16" x14ac:dyDescent="0.3">
      <c r="A1125" s="34">
        <v>2123</v>
      </c>
      <c r="B1125" s="32" t="s">
        <v>1162</v>
      </c>
      <c r="C1125" s="32" t="s">
        <v>20</v>
      </c>
      <c r="D1125" s="33" t="s">
        <v>76</v>
      </c>
      <c r="E1125" s="34">
        <v>3</v>
      </c>
      <c r="F1125" s="35">
        <v>2229.4899999999998</v>
      </c>
      <c r="G1125" s="36">
        <v>0.51</v>
      </c>
      <c r="H1125" s="35">
        <f t="shared" si="36"/>
        <v>6688.4699999999993</v>
      </c>
      <c r="I1125" s="37">
        <v>45708</v>
      </c>
      <c r="J1125" s="33" t="s">
        <v>15</v>
      </c>
      <c r="K1125" s="33" t="s">
        <v>16</v>
      </c>
      <c r="L1125" s="38">
        <f t="shared" si="37"/>
        <v>3277.3502999999996</v>
      </c>
      <c r="M1125" s="38">
        <v>36.15</v>
      </c>
      <c r="N1125" s="24">
        <f>_xlfn.XLOOKUP(Snitch_Fashion_Sales_cleaned!$J1125,Table2[City],Table2[City_Key],"not found")</f>
        <v>1</v>
      </c>
      <c r="O1125" s="23">
        <f>_xlfn.XLOOKUP(Snitch_Fashion_Sales_cleaned!$D1125,Table4[Product_Name],Table4[Product_Key],"not found")</f>
        <v>16</v>
      </c>
      <c r="P1125" s="32">
        <f>_xlfn.XLOOKUP(Snitch_Fashion_Sales_cleaned!$I1125,Table3[Order_Date],Table3[Date_Key])</f>
        <v>258</v>
      </c>
    </row>
    <row r="1126" spans="1:16" x14ac:dyDescent="0.3">
      <c r="A1126" s="27">
        <v>2124</v>
      </c>
      <c r="B1126" s="25" t="s">
        <v>1163</v>
      </c>
      <c r="C1126" s="25" t="s">
        <v>31</v>
      </c>
      <c r="D1126" s="26" t="s">
        <v>78</v>
      </c>
      <c r="E1126" s="27">
        <v>4</v>
      </c>
      <c r="F1126" s="28">
        <v>3881.17</v>
      </c>
      <c r="G1126" s="29">
        <v>0.51</v>
      </c>
      <c r="H1126" s="28">
        <f t="shared" si="36"/>
        <v>15524.68</v>
      </c>
      <c r="I1126" s="30">
        <v>45284</v>
      </c>
      <c r="J1126" s="26" t="s">
        <v>22</v>
      </c>
      <c r="K1126" s="26" t="s">
        <v>23</v>
      </c>
      <c r="L1126" s="31">
        <f t="shared" si="37"/>
        <v>7607.0932000000003</v>
      </c>
      <c r="M1126" s="31">
        <v>339.88</v>
      </c>
      <c r="N1126" s="22">
        <f>_xlfn.XLOOKUP(Snitch_Fashion_Sales_cleaned!$J1126,Table2[City],Table2[City_Key],"not found")</f>
        <v>3</v>
      </c>
      <c r="O1126" s="21">
        <f>_xlfn.XLOOKUP(Snitch_Fashion_Sales_cleaned!$D1126,Table4[Product_Name],Table4[Product_Key],"not found")</f>
        <v>17</v>
      </c>
      <c r="P1126" s="25">
        <f>_xlfn.XLOOKUP(Snitch_Fashion_Sales_cleaned!$I1126,Table3[Order_Date],Table3[Date_Key])</f>
        <v>184</v>
      </c>
    </row>
    <row r="1127" spans="1:16" x14ac:dyDescent="0.3">
      <c r="A1127" s="34">
        <v>2125</v>
      </c>
      <c r="B1127" s="32" t="s">
        <v>1164</v>
      </c>
      <c r="C1127" s="32" t="s">
        <v>13</v>
      </c>
      <c r="D1127" s="33" t="s">
        <v>14</v>
      </c>
      <c r="E1127" s="34">
        <v>4</v>
      </c>
      <c r="F1127" s="35">
        <v>2366.6149999999998</v>
      </c>
      <c r="G1127" s="36">
        <v>0.93</v>
      </c>
      <c r="H1127" s="35">
        <f t="shared" si="36"/>
        <v>9466.4599999999991</v>
      </c>
      <c r="I1127" s="37">
        <v>45577</v>
      </c>
      <c r="J1127" s="33" t="s">
        <v>52</v>
      </c>
      <c r="K1127" s="33" t="s">
        <v>23</v>
      </c>
      <c r="L1127" s="38">
        <f t="shared" si="37"/>
        <v>662.65219999999943</v>
      </c>
      <c r="M1127" s="38">
        <v>301.27999999999997</v>
      </c>
      <c r="N1127" s="24">
        <f>_xlfn.XLOOKUP(Snitch_Fashion_Sales_cleaned!$J1127,Table2[City],Table2[City_Key],"not found")</f>
        <v>5</v>
      </c>
      <c r="O1127" s="23">
        <f>_xlfn.XLOOKUP(Snitch_Fashion_Sales_cleaned!$D1127,Table4[Product_Name],Table4[Product_Key],"not found")</f>
        <v>1</v>
      </c>
      <c r="P1127" s="32">
        <f>_xlfn.XLOOKUP(Snitch_Fashion_Sales_cleaned!$I1127,Table3[Order_Date],Table3[Date_Key])</f>
        <v>254</v>
      </c>
    </row>
    <row r="1128" spans="1:16" x14ac:dyDescent="0.3">
      <c r="A1128" s="27">
        <v>2126</v>
      </c>
      <c r="B1128" s="25" t="s">
        <v>1165</v>
      </c>
      <c r="C1128" s="25" t="s">
        <v>28</v>
      </c>
      <c r="D1128" s="26" t="s">
        <v>39</v>
      </c>
      <c r="E1128" s="27">
        <v>3</v>
      </c>
      <c r="F1128" s="28">
        <v>820.88</v>
      </c>
      <c r="G1128" s="29">
        <v>0.01</v>
      </c>
      <c r="H1128" s="28">
        <f t="shared" si="36"/>
        <v>2462.64</v>
      </c>
      <c r="I1128" s="30">
        <v>45647</v>
      </c>
      <c r="J1128" s="26" t="s">
        <v>18</v>
      </c>
      <c r="K1128" s="26" t="s">
        <v>16</v>
      </c>
      <c r="L1128" s="31">
        <f t="shared" si="37"/>
        <v>2438.0135999999998</v>
      </c>
      <c r="M1128" s="31">
        <v>597.78</v>
      </c>
      <c r="N1128" s="22">
        <f>_xlfn.XLOOKUP(Snitch_Fashion_Sales_cleaned!$J1128,Table2[City],Table2[City_Key],"not found")</f>
        <v>2</v>
      </c>
      <c r="O1128" s="21">
        <f>_xlfn.XLOOKUP(Snitch_Fashion_Sales_cleaned!$D1128,Table4[Product_Name],Table4[Product_Key],"not found")</f>
        <v>8</v>
      </c>
      <c r="P1128" s="25">
        <f>_xlfn.XLOOKUP(Snitch_Fashion_Sales_cleaned!$I1128,Table3[Order_Date],Table3[Date_Key])</f>
        <v>5</v>
      </c>
    </row>
    <row r="1129" spans="1:16" x14ac:dyDescent="0.3">
      <c r="A1129" s="34">
        <v>2127</v>
      </c>
      <c r="B1129" s="32" t="s">
        <v>1166</v>
      </c>
      <c r="C1129" s="32" t="s">
        <v>28</v>
      </c>
      <c r="D1129" s="33" t="s">
        <v>39</v>
      </c>
      <c r="E1129" s="34">
        <v>6</v>
      </c>
      <c r="F1129" s="35">
        <v>2577.6350000000002</v>
      </c>
      <c r="G1129" s="36">
        <v>0.94</v>
      </c>
      <c r="H1129" s="35">
        <f t="shared" si="36"/>
        <v>15465.810000000001</v>
      </c>
      <c r="I1129" s="37">
        <v>45647</v>
      </c>
      <c r="J1129" s="33" t="s">
        <v>15</v>
      </c>
      <c r="K1129" s="33" t="s">
        <v>23</v>
      </c>
      <c r="L1129" s="38">
        <f t="shared" si="37"/>
        <v>927.94860000000085</v>
      </c>
      <c r="M1129" s="38">
        <v>231.98715000000021</v>
      </c>
      <c r="N1129" s="24">
        <f>_xlfn.XLOOKUP(Snitch_Fashion_Sales_cleaned!$J1129,Table2[City],Table2[City_Key],"not found")</f>
        <v>1</v>
      </c>
      <c r="O1129" s="23">
        <f>_xlfn.XLOOKUP(Snitch_Fashion_Sales_cleaned!$D1129,Table4[Product_Name],Table4[Product_Key],"not found")</f>
        <v>8</v>
      </c>
      <c r="P1129" s="32">
        <f>_xlfn.XLOOKUP(Snitch_Fashion_Sales_cleaned!$I1129,Table3[Order_Date],Table3[Date_Key])</f>
        <v>5</v>
      </c>
    </row>
    <row r="1130" spans="1:16" x14ac:dyDescent="0.3">
      <c r="A1130" s="27">
        <v>2128</v>
      </c>
      <c r="B1130" s="25" t="s">
        <v>1167</v>
      </c>
      <c r="C1130" s="25" t="s">
        <v>28</v>
      </c>
      <c r="D1130" s="26" t="s">
        <v>116</v>
      </c>
      <c r="E1130" s="27">
        <v>4</v>
      </c>
      <c r="F1130" s="28">
        <v>2785.79</v>
      </c>
      <c r="G1130" s="29">
        <v>0.08</v>
      </c>
      <c r="H1130" s="28">
        <f t="shared" si="36"/>
        <v>11143.16</v>
      </c>
      <c r="I1130" s="30">
        <v>45567</v>
      </c>
      <c r="J1130" s="26" t="s">
        <v>2540</v>
      </c>
      <c r="K1130" s="26" t="s">
        <v>16</v>
      </c>
      <c r="L1130" s="31">
        <f t="shared" si="37"/>
        <v>10251.707200000001</v>
      </c>
      <c r="M1130" s="31">
        <v>-237.66</v>
      </c>
      <c r="N1130" s="22">
        <f>_xlfn.XLOOKUP(Snitch_Fashion_Sales_cleaned!$J1130,Table2[City],Table2[City_Key],"not found")</f>
        <v>4</v>
      </c>
      <c r="O1130" s="21">
        <f>_xlfn.XLOOKUP(Snitch_Fashion_Sales_cleaned!$D1130,Table4[Product_Name],Table4[Product_Key],"not found")</f>
        <v>22</v>
      </c>
      <c r="P1130" s="25">
        <f>_xlfn.XLOOKUP(Snitch_Fashion_Sales_cleaned!$I1130,Table3[Order_Date],Table3[Date_Key])</f>
        <v>336</v>
      </c>
    </row>
    <row r="1131" spans="1:16" x14ac:dyDescent="0.3">
      <c r="A1131" s="34">
        <v>1003</v>
      </c>
      <c r="B1131" s="32" t="s">
        <v>1168</v>
      </c>
      <c r="C1131" s="32" t="s">
        <v>20</v>
      </c>
      <c r="D1131" s="33" t="s">
        <v>21</v>
      </c>
      <c r="E1131" s="34">
        <v>4</v>
      </c>
      <c r="F1131" s="35">
        <v>1685.85</v>
      </c>
      <c r="G1131" s="36">
        <v>0.51</v>
      </c>
      <c r="H1131" s="35">
        <f t="shared" si="36"/>
        <v>6743.4</v>
      </c>
      <c r="I1131" s="37">
        <v>45647</v>
      </c>
      <c r="J1131" s="33" t="s">
        <v>52</v>
      </c>
      <c r="K1131" s="33" t="s">
        <v>16</v>
      </c>
      <c r="L1131" s="38">
        <f t="shared" si="37"/>
        <v>3304.2659999999996</v>
      </c>
      <c r="M1131" s="38">
        <v>-298.61</v>
      </c>
      <c r="N1131" s="24">
        <f>_xlfn.XLOOKUP(Snitch_Fashion_Sales_cleaned!$J1131,Table2[City],Table2[City_Key],"not found")</f>
        <v>5</v>
      </c>
      <c r="O1131" s="23">
        <f>_xlfn.XLOOKUP(Snitch_Fashion_Sales_cleaned!$D1131,Table4[Product_Name],Table4[Product_Key],"not found")</f>
        <v>2</v>
      </c>
      <c r="P1131" s="32">
        <f>_xlfn.XLOOKUP(Snitch_Fashion_Sales_cleaned!$I1131,Table3[Order_Date],Table3[Date_Key])</f>
        <v>5</v>
      </c>
    </row>
    <row r="1132" spans="1:16" x14ac:dyDescent="0.3">
      <c r="A1132" s="27">
        <v>2130</v>
      </c>
      <c r="B1132" s="25" t="s">
        <v>1169</v>
      </c>
      <c r="C1132" s="25" t="s">
        <v>20</v>
      </c>
      <c r="D1132" s="26" t="s">
        <v>76</v>
      </c>
      <c r="E1132" s="27">
        <v>3</v>
      </c>
      <c r="F1132" s="28">
        <v>2229.4899999999998</v>
      </c>
      <c r="G1132" s="29">
        <v>0.36</v>
      </c>
      <c r="H1132" s="28">
        <f t="shared" si="36"/>
        <v>6688.4699999999993</v>
      </c>
      <c r="I1132" s="30">
        <v>45810</v>
      </c>
      <c r="J1132" s="26" t="s">
        <v>43</v>
      </c>
      <c r="K1132" s="26" t="s">
        <v>16</v>
      </c>
      <c r="L1132" s="31">
        <f t="shared" si="37"/>
        <v>4280.6207999999997</v>
      </c>
      <c r="M1132" s="31">
        <v>1132.58</v>
      </c>
      <c r="N1132" s="22">
        <f>_xlfn.XLOOKUP(Snitch_Fashion_Sales_cleaned!$J1132,Table2[City],Table2[City_Key],"not found")</f>
        <v>6</v>
      </c>
      <c r="O1132" s="21">
        <f>_xlfn.XLOOKUP(Snitch_Fashion_Sales_cleaned!$D1132,Table4[Product_Name],Table4[Product_Key],"not found")</f>
        <v>16</v>
      </c>
      <c r="P1132" s="25">
        <f>_xlfn.XLOOKUP(Snitch_Fashion_Sales_cleaned!$I1132,Table3[Order_Date],Table3[Date_Key])</f>
        <v>180</v>
      </c>
    </row>
    <row r="1133" spans="1:16" x14ac:dyDescent="0.3">
      <c r="A1133" s="34">
        <v>2131</v>
      </c>
      <c r="B1133" s="32" t="s">
        <v>1170</v>
      </c>
      <c r="C1133" s="32" t="s">
        <v>25</v>
      </c>
      <c r="D1133" s="33" t="s">
        <v>62</v>
      </c>
      <c r="E1133" s="34">
        <v>1</v>
      </c>
      <c r="F1133" s="35">
        <v>2538.0450000000001</v>
      </c>
      <c r="G1133" s="36">
        <v>0.51</v>
      </c>
      <c r="H1133" s="35">
        <f t="shared" si="36"/>
        <v>2538.0450000000001</v>
      </c>
      <c r="I1133" s="37">
        <v>45819</v>
      </c>
      <c r="J1133" s="33" t="s">
        <v>43</v>
      </c>
      <c r="K1133" s="33" t="s">
        <v>23</v>
      </c>
      <c r="L1133" s="38">
        <f t="shared" si="37"/>
        <v>1243.6420499999999</v>
      </c>
      <c r="M1133" s="38">
        <v>1004.43</v>
      </c>
      <c r="N1133" s="24">
        <f>_xlfn.XLOOKUP(Snitch_Fashion_Sales_cleaned!$J1133,Table2[City],Table2[City_Key],"not found")</f>
        <v>6</v>
      </c>
      <c r="O1133" s="23">
        <f>_xlfn.XLOOKUP(Snitch_Fashion_Sales_cleaned!$D1133,Table4[Product_Name],Table4[Product_Key],"not found")</f>
        <v>14</v>
      </c>
      <c r="P1133" s="32">
        <f>_xlfn.XLOOKUP(Snitch_Fashion_Sales_cleaned!$I1133,Table3[Order_Date],Table3[Date_Key])</f>
        <v>70</v>
      </c>
    </row>
    <row r="1134" spans="1:16" x14ac:dyDescent="0.3">
      <c r="A1134" s="27">
        <v>2132</v>
      </c>
      <c r="B1134" s="25" t="s">
        <v>1171</v>
      </c>
      <c r="C1134" s="25" t="s">
        <v>13</v>
      </c>
      <c r="D1134" s="26" t="s">
        <v>14</v>
      </c>
      <c r="E1134" s="27">
        <v>4</v>
      </c>
      <c r="F1134" s="28">
        <v>2366.6149999999998</v>
      </c>
      <c r="G1134" s="29">
        <v>0.51</v>
      </c>
      <c r="H1134" s="28">
        <f t="shared" si="36"/>
        <v>9466.4599999999991</v>
      </c>
      <c r="I1134" s="30">
        <v>45729</v>
      </c>
      <c r="J1134" s="26" t="s">
        <v>22</v>
      </c>
      <c r="K1134" s="26" t="s">
        <v>23</v>
      </c>
      <c r="L1134" s="31">
        <f t="shared" si="37"/>
        <v>4638.5653999999995</v>
      </c>
      <c r="M1134" s="31">
        <v>680.91</v>
      </c>
      <c r="N1134" s="22">
        <f>_xlfn.XLOOKUP(Snitch_Fashion_Sales_cleaned!$J1134,Table2[City],Table2[City_Key],"not found")</f>
        <v>3</v>
      </c>
      <c r="O1134" s="21">
        <f>_xlfn.XLOOKUP(Snitch_Fashion_Sales_cleaned!$D1134,Table4[Product_Name],Table4[Product_Key],"not found")</f>
        <v>1</v>
      </c>
      <c r="P1134" s="25">
        <f>_xlfn.XLOOKUP(Snitch_Fashion_Sales_cleaned!$I1134,Table3[Order_Date],Table3[Date_Key])</f>
        <v>301</v>
      </c>
    </row>
    <row r="1135" spans="1:16" x14ac:dyDescent="0.3">
      <c r="A1135" s="34">
        <v>2133</v>
      </c>
      <c r="B1135" s="32" t="s">
        <v>1172</v>
      </c>
      <c r="C1135" s="32" t="s">
        <v>31</v>
      </c>
      <c r="D1135" s="33" t="s">
        <v>68</v>
      </c>
      <c r="E1135" s="34">
        <v>5</v>
      </c>
      <c r="F1135" s="35">
        <v>2765.79</v>
      </c>
      <c r="G1135" s="36">
        <v>0.51</v>
      </c>
      <c r="H1135" s="35">
        <f t="shared" si="36"/>
        <v>13828.95</v>
      </c>
      <c r="I1135" s="37">
        <v>45647</v>
      </c>
      <c r="J1135" s="33" t="s">
        <v>43</v>
      </c>
      <c r="K1135" s="33" t="s">
        <v>23</v>
      </c>
      <c r="L1135" s="38">
        <f t="shared" si="37"/>
        <v>6776.1855000000005</v>
      </c>
      <c r="M1135" s="38">
        <v>1700.16</v>
      </c>
      <c r="N1135" s="24">
        <f>_xlfn.XLOOKUP(Snitch_Fashion_Sales_cleaned!$J1135,Table2[City],Table2[City_Key],"not found")</f>
        <v>6</v>
      </c>
      <c r="O1135" s="23">
        <f>_xlfn.XLOOKUP(Snitch_Fashion_Sales_cleaned!$D1135,Table4[Product_Name],Table4[Product_Key],"not found")</f>
        <v>15</v>
      </c>
      <c r="P1135" s="32">
        <f>_xlfn.XLOOKUP(Snitch_Fashion_Sales_cleaned!$I1135,Table3[Order_Date],Table3[Date_Key])</f>
        <v>5</v>
      </c>
    </row>
    <row r="1136" spans="1:16" x14ac:dyDescent="0.3">
      <c r="A1136" s="27">
        <v>2134</v>
      </c>
      <c r="B1136" s="25" t="s">
        <v>1173</v>
      </c>
      <c r="C1136" s="25" t="s">
        <v>28</v>
      </c>
      <c r="D1136" s="26" t="s">
        <v>39</v>
      </c>
      <c r="E1136" s="27">
        <v>2</v>
      </c>
      <c r="F1136" s="28">
        <v>2577.6350000000002</v>
      </c>
      <c r="G1136" s="29">
        <v>0.28999999999999998</v>
      </c>
      <c r="H1136" s="28">
        <f t="shared" si="36"/>
        <v>5155.2700000000004</v>
      </c>
      <c r="I1136" s="30">
        <v>45656</v>
      </c>
      <c r="J1136" s="26" t="s">
        <v>2540</v>
      </c>
      <c r="K1136" s="26" t="s">
        <v>16</v>
      </c>
      <c r="L1136" s="31">
        <f t="shared" si="37"/>
        <v>3660.2417</v>
      </c>
      <c r="M1136" s="31">
        <v>-986.66</v>
      </c>
      <c r="N1136" s="22">
        <f>_xlfn.XLOOKUP(Snitch_Fashion_Sales_cleaned!$J1136,Table2[City],Table2[City_Key],"not found")</f>
        <v>4</v>
      </c>
      <c r="O1136" s="21">
        <f>_xlfn.XLOOKUP(Snitch_Fashion_Sales_cleaned!$D1136,Table4[Product_Name],Table4[Product_Key],"not found")</f>
        <v>8</v>
      </c>
      <c r="P1136" s="25">
        <f>_xlfn.XLOOKUP(Snitch_Fashion_Sales_cleaned!$I1136,Table3[Order_Date],Table3[Date_Key])</f>
        <v>67</v>
      </c>
    </row>
    <row r="1137" spans="1:16" x14ac:dyDescent="0.3">
      <c r="A1137" s="34">
        <v>2135</v>
      </c>
      <c r="B1137" s="32" t="s">
        <v>1174</v>
      </c>
      <c r="C1137" s="32" t="s">
        <v>36</v>
      </c>
      <c r="D1137" s="33" t="s">
        <v>37</v>
      </c>
      <c r="E1137" s="34">
        <v>4</v>
      </c>
      <c r="F1137" s="35">
        <v>857.22</v>
      </c>
      <c r="G1137" s="36">
        <v>0.51</v>
      </c>
      <c r="H1137" s="35">
        <f t="shared" si="36"/>
        <v>3428.88</v>
      </c>
      <c r="I1137" s="37">
        <v>45158</v>
      </c>
      <c r="J1137" s="33" t="s">
        <v>15</v>
      </c>
      <c r="K1137" s="33" t="s">
        <v>23</v>
      </c>
      <c r="L1137" s="38">
        <f t="shared" si="37"/>
        <v>1680.1512</v>
      </c>
      <c r="M1137" s="38">
        <v>-806.63</v>
      </c>
      <c r="N1137" s="24">
        <f>_xlfn.XLOOKUP(Snitch_Fashion_Sales_cleaned!$J1137,Table2[City],Table2[City_Key],"not found")</f>
        <v>1</v>
      </c>
      <c r="O1137" s="23">
        <f>_xlfn.XLOOKUP(Snitch_Fashion_Sales_cleaned!$D1137,Table4[Product_Name],Table4[Product_Key],"not found")</f>
        <v>7</v>
      </c>
      <c r="P1137" s="32">
        <f>_xlfn.XLOOKUP(Snitch_Fashion_Sales_cleaned!$I1137,Table3[Order_Date],Table3[Date_Key])</f>
        <v>432</v>
      </c>
    </row>
    <row r="1138" spans="1:16" x14ac:dyDescent="0.3">
      <c r="A1138" s="27">
        <v>2136</v>
      </c>
      <c r="B1138" s="25" t="s">
        <v>1175</v>
      </c>
      <c r="C1138" s="25" t="s">
        <v>31</v>
      </c>
      <c r="D1138" s="26" t="s">
        <v>78</v>
      </c>
      <c r="E1138" s="27">
        <v>4</v>
      </c>
      <c r="F1138" s="28">
        <v>2599.75</v>
      </c>
      <c r="G1138" s="29">
        <v>0.51</v>
      </c>
      <c r="H1138" s="28">
        <f t="shared" si="36"/>
        <v>10399</v>
      </c>
      <c r="I1138" s="30">
        <v>45832</v>
      </c>
      <c r="J1138" s="26" t="s">
        <v>52</v>
      </c>
      <c r="K1138" s="26" t="s">
        <v>23</v>
      </c>
      <c r="L1138" s="31">
        <f t="shared" si="37"/>
        <v>5095.51</v>
      </c>
      <c r="M1138" s="31">
        <v>1627.8</v>
      </c>
      <c r="N1138" s="22">
        <f>_xlfn.XLOOKUP(Snitch_Fashion_Sales_cleaned!$J1138,Table2[City],Table2[City_Key],"not found")</f>
        <v>5</v>
      </c>
      <c r="O1138" s="21">
        <f>_xlfn.XLOOKUP(Snitch_Fashion_Sales_cleaned!$D1138,Table4[Product_Name],Table4[Product_Key],"not found")</f>
        <v>17</v>
      </c>
      <c r="P1138" s="25">
        <f>_xlfn.XLOOKUP(Snitch_Fashion_Sales_cleaned!$I1138,Table3[Order_Date],Table3[Date_Key])</f>
        <v>141</v>
      </c>
    </row>
    <row r="1139" spans="1:16" x14ac:dyDescent="0.3">
      <c r="A1139" s="34">
        <v>2137</v>
      </c>
      <c r="B1139" s="32" t="s">
        <v>1176</v>
      </c>
      <c r="C1139" s="32" t="s">
        <v>31</v>
      </c>
      <c r="D1139" s="33" t="s">
        <v>68</v>
      </c>
      <c r="E1139" s="34">
        <v>4</v>
      </c>
      <c r="F1139" s="35">
        <v>2765.79</v>
      </c>
      <c r="G1139" s="36">
        <v>0.51</v>
      </c>
      <c r="H1139" s="35">
        <f t="shared" si="36"/>
        <v>11063.16</v>
      </c>
      <c r="I1139" s="37">
        <v>45772</v>
      </c>
      <c r="J1139" s="33" t="s">
        <v>43</v>
      </c>
      <c r="K1139" s="33" t="s">
        <v>23</v>
      </c>
      <c r="L1139" s="38">
        <f t="shared" si="37"/>
        <v>5420.9484000000002</v>
      </c>
      <c r="M1139" s="38">
        <v>1626.26</v>
      </c>
      <c r="N1139" s="24">
        <f>_xlfn.XLOOKUP(Snitch_Fashion_Sales_cleaned!$J1139,Table2[City],Table2[City_Key],"not found")</f>
        <v>6</v>
      </c>
      <c r="O1139" s="23">
        <f>_xlfn.XLOOKUP(Snitch_Fashion_Sales_cleaned!$D1139,Table4[Product_Name],Table4[Product_Key],"not found")</f>
        <v>15</v>
      </c>
      <c r="P1139" s="32">
        <f>_xlfn.XLOOKUP(Snitch_Fashion_Sales_cleaned!$I1139,Table3[Order_Date],Table3[Date_Key])</f>
        <v>140</v>
      </c>
    </row>
    <row r="1140" spans="1:16" x14ac:dyDescent="0.3">
      <c r="A1140" s="27">
        <v>2138</v>
      </c>
      <c r="B1140" s="25" t="s">
        <v>1177</v>
      </c>
      <c r="C1140" s="25" t="s">
        <v>25</v>
      </c>
      <c r="D1140" s="26" t="s">
        <v>82</v>
      </c>
      <c r="E1140" s="27">
        <v>3</v>
      </c>
      <c r="F1140" s="28">
        <v>2426.77</v>
      </c>
      <c r="G1140" s="29">
        <v>0.51</v>
      </c>
      <c r="H1140" s="28">
        <f t="shared" si="36"/>
        <v>7280.3099999999995</v>
      </c>
      <c r="I1140" s="30">
        <v>45647</v>
      </c>
      <c r="J1140" s="26" t="s">
        <v>15</v>
      </c>
      <c r="K1140" s="26" t="s">
        <v>23</v>
      </c>
      <c r="L1140" s="31">
        <f t="shared" si="37"/>
        <v>3567.3518999999997</v>
      </c>
      <c r="M1140" s="31">
        <v>1446.08</v>
      </c>
      <c r="N1140" s="22">
        <f>_xlfn.XLOOKUP(Snitch_Fashion_Sales_cleaned!$J1140,Table2[City],Table2[City_Key],"not found")</f>
        <v>1</v>
      </c>
      <c r="O1140" s="21">
        <f>_xlfn.XLOOKUP(Snitch_Fashion_Sales_cleaned!$D1140,Table4[Product_Name],Table4[Product_Key],"not found")</f>
        <v>18</v>
      </c>
      <c r="P1140" s="25">
        <f>_xlfn.XLOOKUP(Snitch_Fashion_Sales_cleaned!$I1140,Table3[Order_Date],Table3[Date_Key])</f>
        <v>5</v>
      </c>
    </row>
    <row r="1141" spans="1:16" x14ac:dyDescent="0.3">
      <c r="A1141" s="34">
        <v>1028</v>
      </c>
      <c r="B1141" s="32" t="s">
        <v>1178</v>
      </c>
      <c r="C1141" s="32" t="s">
        <v>28</v>
      </c>
      <c r="D1141" s="33" t="s">
        <v>29</v>
      </c>
      <c r="E1141" s="34">
        <v>3</v>
      </c>
      <c r="F1141" s="35">
        <v>4142.54</v>
      </c>
      <c r="G1141" s="36">
        <v>0.51</v>
      </c>
      <c r="H1141" s="35">
        <f t="shared" si="36"/>
        <v>12427.619999999999</v>
      </c>
      <c r="I1141" s="37">
        <v>45722</v>
      </c>
      <c r="J1141" s="33" t="s">
        <v>18</v>
      </c>
      <c r="K1141" s="33" t="s">
        <v>23</v>
      </c>
      <c r="L1141" s="38">
        <f t="shared" si="37"/>
        <v>6089.5337999999992</v>
      </c>
      <c r="M1141" s="38">
        <v>2453.9899999999998</v>
      </c>
      <c r="N1141" s="24">
        <f>_xlfn.XLOOKUP(Snitch_Fashion_Sales_cleaned!$J1141,Table2[City],Table2[City_Key],"not found")</f>
        <v>2</v>
      </c>
      <c r="O1141" s="23">
        <f>_xlfn.XLOOKUP(Snitch_Fashion_Sales_cleaned!$D1141,Table4[Product_Name],Table4[Product_Key],"not found")</f>
        <v>4</v>
      </c>
      <c r="P1141" s="32">
        <f>_xlfn.XLOOKUP(Snitch_Fashion_Sales_cleaned!$I1141,Table3[Order_Date],Table3[Date_Key])</f>
        <v>358</v>
      </c>
    </row>
    <row r="1142" spans="1:16" x14ac:dyDescent="0.3">
      <c r="A1142" s="27">
        <v>2140</v>
      </c>
      <c r="B1142" s="25" t="s">
        <v>1179</v>
      </c>
      <c r="C1142" s="25" t="s">
        <v>25</v>
      </c>
      <c r="D1142" s="26" t="s">
        <v>26</v>
      </c>
      <c r="E1142" s="27">
        <v>4</v>
      </c>
      <c r="F1142" s="28">
        <v>2191.65</v>
      </c>
      <c r="G1142" s="29">
        <v>0.51</v>
      </c>
      <c r="H1142" s="28">
        <f t="shared" si="36"/>
        <v>8766.6</v>
      </c>
      <c r="I1142" s="30">
        <v>45632</v>
      </c>
      <c r="J1142" s="26" t="s">
        <v>22</v>
      </c>
      <c r="K1142" s="26" t="s">
        <v>23</v>
      </c>
      <c r="L1142" s="31">
        <f t="shared" si="37"/>
        <v>4295.634</v>
      </c>
      <c r="M1142" s="31">
        <v>2424.2399999999998</v>
      </c>
      <c r="N1142" s="22">
        <f>_xlfn.XLOOKUP(Snitch_Fashion_Sales_cleaned!$J1142,Table2[City],Table2[City_Key],"not found")</f>
        <v>3</v>
      </c>
      <c r="O1142" s="21">
        <f>_xlfn.XLOOKUP(Snitch_Fashion_Sales_cleaned!$D1142,Table4[Product_Name],Table4[Product_Key],"not found")</f>
        <v>3</v>
      </c>
      <c r="P1142" s="25">
        <f>_xlfn.XLOOKUP(Snitch_Fashion_Sales_cleaned!$I1142,Table3[Order_Date],Table3[Date_Key])</f>
        <v>93</v>
      </c>
    </row>
    <row r="1143" spans="1:16" x14ac:dyDescent="0.3">
      <c r="A1143" s="34">
        <v>2141</v>
      </c>
      <c r="B1143" s="32" t="s">
        <v>1180</v>
      </c>
      <c r="C1143" s="32" t="s">
        <v>20</v>
      </c>
      <c r="D1143" s="33" t="s">
        <v>118</v>
      </c>
      <c r="E1143" s="34">
        <v>3.5</v>
      </c>
      <c r="F1143" s="35">
        <v>1762.28</v>
      </c>
      <c r="G1143" s="36">
        <v>0.51</v>
      </c>
      <c r="H1143" s="35">
        <f t="shared" si="36"/>
        <v>6167.98</v>
      </c>
      <c r="I1143" s="37">
        <v>45566</v>
      </c>
      <c r="J1143" s="33" t="s">
        <v>15</v>
      </c>
      <c r="K1143" s="33" t="s">
        <v>23</v>
      </c>
      <c r="L1143" s="38">
        <f t="shared" si="37"/>
        <v>3022.3101999999999</v>
      </c>
      <c r="M1143" s="38">
        <v>2590.56</v>
      </c>
      <c r="N1143" s="24">
        <f>_xlfn.XLOOKUP(Snitch_Fashion_Sales_cleaned!$J1143,Table2[City],Table2[City_Key],"not found")</f>
        <v>1</v>
      </c>
      <c r="O1143" s="23">
        <f>_xlfn.XLOOKUP(Snitch_Fashion_Sales_cleaned!$D1143,Table4[Product_Name],Table4[Product_Key],"not found")</f>
        <v>23</v>
      </c>
      <c r="P1143" s="32">
        <f>_xlfn.XLOOKUP(Snitch_Fashion_Sales_cleaned!$I1143,Table3[Order_Date],Table3[Date_Key])</f>
        <v>111</v>
      </c>
    </row>
    <row r="1144" spans="1:16" x14ac:dyDescent="0.3">
      <c r="A1144" s="27">
        <v>2142</v>
      </c>
      <c r="B1144" s="25" t="s">
        <v>1181</v>
      </c>
      <c r="C1144" s="25" t="s">
        <v>36</v>
      </c>
      <c r="D1144" s="26" t="s">
        <v>59</v>
      </c>
      <c r="E1144" s="27">
        <v>3</v>
      </c>
      <c r="F1144" s="28">
        <v>2765.26</v>
      </c>
      <c r="G1144" s="29">
        <v>0.51</v>
      </c>
      <c r="H1144" s="28">
        <f t="shared" si="36"/>
        <v>8295.7800000000007</v>
      </c>
      <c r="I1144" s="30">
        <v>45155</v>
      </c>
      <c r="J1144" s="26" t="s">
        <v>2540</v>
      </c>
      <c r="K1144" s="26" t="s">
        <v>23</v>
      </c>
      <c r="L1144" s="31">
        <f t="shared" si="37"/>
        <v>4064.9322000000002</v>
      </c>
      <c r="M1144" s="31">
        <v>-780.6</v>
      </c>
      <c r="N1144" s="22">
        <f>_xlfn.XLOOKUP(Snitch_Fashion_Sales_cleaned!$J1144,Table2[City],Table2[City_Key],"not found")</f>
        <v>4</v>
      </c>
      <c r="O1144" s="21">
        <f>_xlfn.XLOOKUP(Snitch_Fashion_Sales_cleaned!$D1144,Table4[Product_Name],Table4[Product_Key],"not found")</f>
        <v>13</v>
      </c>
      <c r="P1144" s="25">
        <f>_xlfn.XLOOKUP(Snitch_Fashion_Sales_cleaned!$I1144,Table3[Order_Date],Table3[Date_Key])</f>
        <v>433</v>
      </c>
    </row>
    <row r="1145" spans="1:16" x14ac:dyDescent="0.3">
      <c r="A1145" s="34">
        <v>2143</v>
      </c>
      <c r="B1145" s="32" t="s">
        <v>1182</v>
      </c>
      <c r="C1145" s="32" t="s">
        <v>36</v>
      </c>
      <c r="D1145" s="33" t="s">
        <v>59</v>
      </c>
      <c r="E1145" s="34">
        <v>3</v>
      </c>
      <c r="F1145" s="35">
        <v>662.52</v>
      </c>
      <c r="G1145" s="36">
        <v>0.96</v>
      </c>
      <c r="H1145" s="35">
        <f t="shared" si="36"/>
        <v>1987.56</v>
      </c>
      <c r="I1145" s="37">
        <v>45680</v>
      </c>
      <c r="J1145" s="33" t="s">
        <v>2540</v>
      </c>
      <c r="K1145" s="33" t="s">
        <v>23</v>
      </c>
      <c r="L1145" s="38">
        <f t="shared" si="37"/>
        <v>79.502400000000065</v>
      </c>
      <c r="M1145" s="38">
        <v>19.875600000000016</v>
      </c>
      <c r="N1145" s="24">
        <f>_xlfn.XLOOKUP(Snitch_Fashion_Sales_cleaned!$J1145,Table2[City],Table2[City_Key],"not found")</f>
        <v>4</v>
      </c>
      <c r="O1145" s="23">
        <f>_xlfn.XLOOKUP(Snitch_Fashion_Sales_cleaned!$D1145,Table4[Product_Name],Table4[Product_Key],"not found")</f>
        <v>13</v>
      </c>
      <c r="P1145" s="32">
        <f>_xlfn.XLOOKUP(Snitch_Fashion_Sales_cleaned!$I1145,Table3[Order_Date],Table3[Date_Key])</f>
        <v>94</v>
      </c>
    </row>
    <row r="1146" spans="1:16" x14ac:dyDescent="0.3">
      <c r="A1146" s="27">
        <v>2144</v>
      </c>
      <c r="B1146" s="25" t="s">
        <v>1183</v>
      </c>
      <c r="C1146" s="25" t="s">
        <v>20</v>
      </c>
      <c r="D1146" s="26" t="s">
        <v>76</v>
      </c>
      <c r="E1146" s="27">
        <v>3</v>
      </c>
      <c r="F1146" s="28">
        <v>906.82</v>
      </c>
      <c r="G1146" s="29">
        <v>0.92</v>
      </c>
      <c r="H1146" s="28">
        <f t="shared" si="36"/>
        <v>2720.46</v>
      </c>
      <c r="I1146" s="30">
        <v>45661</v>
      </c>
      <c r="J1146" s="26" t="s">
        <v>18</v>
      </c>
      <c r="K1146" s="26" t="s">
        <v>23</v>
      </c>
      <c r="L1146" s="31">
        <f t="shared" si="37"/>
        <v>217.63679999999988</v>
      </c>
      <c r="M1146" s="31">
        <v>54.40919999999997</v>
      </c>
      <c r="N1146" s="22">
        <f>_xlfn.XLOOKUP(Snitch_Fashion_Sales_cleaned!$J1146,Table2[City],Table2[City_Key],"not found")</f>
        <v>2</v>
      </c>
      <c r="O1146" s="21">
        <f>_xlfn.XLOOKUP(Snitch_Fashion_Sales_cleaned!$D1146,Table4[Product_Name],Table4[Product_Key],"not found")</f>
        <v>16</v>
      </c>
      <c r="P1146" s="25">
        <f>_xlfn.XLOOKUP(Snitch_Fashion_Sales_cleaned!$I1146,Table3[Order_Date],Table3[Date_Key])</f>
        <v>63</v>
      </c>
    </row>
    <row r="1147" spans="1:16" x14ac:dyDescent="0.3">
      <c r="A1147" s="34">
        <v>2145</v>
      </c>
      <c r="B1147" s="32" t="s">
        <v>1184</v>
      </c>
      <c r="C1147" s="32" t="s">
        <v>31</v>
      </c>
      <c r="D1147" s="33" t="s">
        <v>41</v>
      </c>
      <c r="E1147" s="34">
        <v>3</v>
      </c>
      <c r="F1147" s="35">
        <v>3981.39</v>
      </c>
      <c r="G1147" s="36">
        <v>0.51</v>
      </c>
      <c r="H1147" s="35">
        <f t="shared" si="36"/>
        <v>11944.17</v>
      </c>
      <c r="I1147" s="37">
        <v>45611</v>
      </c>
      <c r="J1147" s="33" t="s">
        <v>43</v>
      </c>
      <c r="K1147" s="33" t="s">
        <v>16</v>
      </c>
      <c r="L1147" s="38">
        <f t="shared" si="37"/>
        <v>5852.6432999999997</v>
      </c>
      <c r="M1147" s="38">
        <v>1764.19</v>
      </c>
      <c r="N1147" s="24">
        <f>_xlfn.XLOOKUP(Snitch_Fashion_Sales_cleaned!$J1147,Table2[City],Table2[City_Key],"not found")</f>
        <v>6</v>
      </c>
      <c r="O1147" s="23">
        <f>_xlfn.XLOOKUP(Snitch_Fashion_Sales_cleaned!$D1147,Table4[Product_Name],Table4[Product_Key],"not found")</f>
        <v>9</v>
      </c>
      <c r="P1147" s="32">
        <f>_xlfn.XLOOKUP(Snitch_Fashion_Sales_cleaned!$I1147,Table3[Order_Date],Table3[Date_Key])</f>
        <v>27</v>
      </c>
    </row>
    <row r="1148" spans="1:16" x14ac:dyDescent="0.3">
      <c r="A1148" s="27">
        <v>2146</v>
      </c>
      <c r="B1148" s="25" t="s">
        <v>1185</v>
      </c>
      <c r="C1148" s="25" t="s">
        <v>28</v>
      </c>
      <c r="D1148" s="26" t="s">
        <v>116</v>
      </c>
      <c r="E1148" s="27">
        <v>4</v>
      </c>
      <c r="F1148" s="28">
        <v>2785.79</v>
      </c>
      <c r="G1148" s="29">
        <v>0.65</v>
      </c>
      <c r="H1148" s="28">
        <f t="shared" si="36"/>
        <v>11143.16</v>
      </c>
      <c r="I1148" s="30">
        <v>45624</v>
      </c>
      <c r="J1148" s="26" t="s">
        <v>22</v>
      </c>
      <c r="K1148" s="26" t="s">
        <v>23</v>
      </c>
      <c r="L1148" s="31">
        <f t="shared" si="37"/>
        <v>3900.1059999999998</v>
      </c>
      <c r="M1148" s="31">
        <v>2062.9699999999998</v>
      </c>
      <c r="N1148" s="22">
        <f>_xlfn.XLOOKUP(Snitch_Fashion_Sales_cleaned!$J1148,Table2[City],Table2[City_Key],"not found")</f>
        <v>3</v>
      </c>
      <c r="O1148" s="21">
        <f>_xlfn.XLOOKUP(Snitch_Fashion_Sales_cleaned!$D1148,Table4[Product_Name],Table4[Product_Key],"not found")</f>
        <v>22</v>
      </c>
      <c r="P1148" s="25">
        <f>_xlfn.XLOOKUP(Snitch_Fashion_Sales_cleaned!$I1148,Table3[Order_Date],Table3[Date_Key])</f>
        <v>133</v>
      </c>
    </row>
    <row r="1149" spans="1:16" x14ac:dyDescent="0.3">
      <c r="A1149" s="34">
        <v>2147</v>
      </c>
      <c r="B1149" s="32" t="s">
        <v>1186</v>
      </c>
      <c r="C1149" s="32" t="s">
        <v>36</v>
      </c>
      <c r="D1149" s="33" t="s">
        <v>87</v>
      </c>
      <c r="E1149" s="34">
        <v>4</v>
      </c>
      <c r="F1149" s="35">
        <v>2889.5349999999999</v>
      </c>
      <c r="G1149" s="36">
        <v>0.27</v>
      </c>
      <c r="H1149" s="35">
        <f t="shared" si="36"/>
        <v>11558.14</v>
      </c>
      <c r="I1149" s="37">
        <v>45182</v>
      </c>
      <c r="J1149" s="33" t="s">
        <v>18</v>
      </c>
      <c r="K1149" s="33" t="s">
        <v>16</v>
      </c>
      <c r="L1149" s="38">
        <f t="shared" si="37"/>
        <v>8437.4421999999995</v>
      </c>
      <c r="M1149" s="38">
        <v>2299.86</v>
      </c>
      <c r="N1149" s="24">
        <f>_xlfn.XLOOKUP(Snitch_Fashion_Sales_cleaned!$J1149,Table2[City],Table2[City_Key],"not found")</f>
        <v>2</v>
      </c>
      <c r="O1149" s="23">
        <f>_xlfn.XLOOKUP(Snitch_Fashion_Sales_cleaned!$D1149,Table4[Product_Name],Table4[Product_Key],"not found")</f>
        <v>20</v>
      </c>
      <c r="P1149" s="32">
        <f>_xlfn.XLOOKUP(Snitch_Fashion_Sales_cleaned!$I1149,Table3[Order_Date],Table3[Date_Key])</f>
        <v>434</v>
      </c>
    </row>
    <row r="1150" spans="1:16" x14ac:dyDescent="0.3">
      <c r="A1150" s="27">
        <v>2148</v>
      </c>
      <c r="B1150" s="25" t="s">
        <v>1187</v>
      </c>
      <c r="C1150" s="25" t="s">
        <v>31</v>
      </c>
      <c r="D1150" s="26" t="s">
        <v>41</v>
      </c>
      <c r="E1150" s="27">
        <v>3</v>
      </c>
      <c r="F1150" s="28">
        <v>3027.66</v>
      </c>
      <c r="G1150" s="29">
        <v>0.51</v>
      </c>
      <c r="H1150" s="28">
        <f t="shared" si="36"/>
        <v>9082.98</v>
      </c>
      <c r="I1150" s="30">
        <v>45647</v>
      </c>
      <c r="J1150" s="26" t="s">
        <v>52</v>
      </c>
      <c r="K1150" s="26" t="s">
        <v>16</v>
      </c>
      <c r="L1150" s="31">
        <f t="shared" si="37"/>
        <v>4450.6601999999993</v>
      </c>
      <c r="M1150" s="31">
        <v>-771.3</v>
      </c>
      <c r="N1150" s="22">
        <f>_xlfn.XLOOKUP(Snitch_Fashion_Sales_cleaned!$J1150,Table2[City],Table2[City_Key],"not found")</f>
        <v>5</v>
      </c>
      <c r="O1150" s="21">
        <f>_xlfn.XLOOKUP(Snitch_Fashion_Sales_cleaned!$D1150,Table4[Product_Name],Table4[Product_Key],"not found")</f>
        <v>9</v>
      </c>
      <c r="P1150" s="25">
        <f>_xlfn.XLOOKUP(Snitch_Fashion_Sales_cleaned!$I1150,Table3[Order_Date],Table3[Date_Key])</f>
        <v>5</v>
      </c>
    </row>
    <row r="1151" spans="1:16" x14ac:dyDescent="0.3">
      <c r="A1151" s="34">
        <v>2149</v>
      </c>
      <c r="B1151" s="32" t="s">
        <v>1188</v>
      </c>
      <c r="C1151" s="32" t="s">
        <v>20</v>
      </c>
      <c r="D1151" s="33" t="s">
        <v>118</v>
      </c>
      <c r="E1151" s="34">
        <v>3.5</v>
      </c>
      <c r="F1151" s="35">
        <v>2865.62</v>
      </c>
      <c r="G1151" s="36">
        <v>0.8</v>
      </c>
      <c r="H1151" s="35">
        <f t="shared" si="36"/>
        <v>10029.67</v>
      </c>
      <c r="I1151" s="37">
        <v>45612</v>
      </c>
      <c r="J1151" s="33" t="s">
        <v>18</v>
      </c>
      <c r="K1151" s="33" t="s">
        <v>23</v>
      </c>
      <c r="L1151" s="38">
        <f t="shared" si="37"/>
        <v>2005.9339999999995</v>
      </c>
      <c r="M1151" s="38">
        <v>-660.8</v>
      </c>
      <c r="N1151" s="24">
        <f>_xlfn.XLOOKUP(Snitch_Fashion_Sales_cleaned!$J1151,Table2[City],Table2[City_Key],"not found")</f>
        <v>2</v>
      </c>
      <c r="O1151" s="23">
        <f>_xlfn.XLOOKUP(Snitch_Fashion_Sales_cleaned!$D1151,Table4[Product_Name],Table4[Product_Key],"not found")</f>
        <v>23</v>
      </c>
      <c r="P1151" s="32">
        <f>_xlfn.XLOOKUP(Snitch_Fashion_Sales_cleaned!$I1151,Table3[Order_Date],Table3[Date_Key])</f>
        <v>365</v>
      </c>
    </row>
    <row r="1152" spans="1:16" x14ac:dyDescent="0.3">
      <c r="A1152" s="27">
        <v>1033</v>
      </c>
      <c r="B1152" s="25" t="s">
        <v>1189</v>
      </c>
      <c r="C1152" s="25" t="s">
        <v>31</v>
      </c>
      <c r="D1152" s="26" t="s">
        <v>32</v>
      </c>
      <c r="E1152" s="27">
        <v>4</v>
      </c>
      <c r="F1152" s="28">
        <v>2001.5500000000002</v>
      </c>
      <c r="G1152" s="29">
        <v>0.51</v>
      </c>
      <c r="H1152" s="28">
        <f t="shared" si="36"/>
        <v>8006.2000000000007</v>
      </c>
      <c r="I1152" s="30">
        <v>45565</v>
      </c>
      <c r="J1152" s="26" t="s">
        <v>15</v>
      </c>
      <c r="K1152" s="26" t="s">
        <v>16</v>
      </c>
      <c r="L1152" s="31">
        <f t="shared" si="37"/>
        <v>3923.0380000000005</v>
      </c>
      <c r="M1152" s="31">
        <v>-299.77999999999997</v>
      </c>
      <c r="N1152" s="22">
        <f>_xlfn.XLOOKUP(Snitch_Fashion_Sales_cleaned!$J1152,Table2[City],Table2[City_Key],"not found")</f>
        <v>1</v>
      </c>
      <c r="O1152" s="21">
        <f>_xlfn.XLOOKUP(Snitch_Fashion_Sales_cleaned!$D1152,Table4[Product_Name],Table4[Product_Key],"not found")</f>
        <v>5</v>
      </c>
      <c r="P1152" s="25">
        <f>_xlfn.XLOOKUP(Snitch_Fashion_Sales_cleaned!$I1152,Table3[Order_Date],Table3[Date_Key])</f>
        <v>287</v>
      </c>
    </row>
    <row r="1153" spans="1:16" x14ac:dyDescent="0.3">
      <c r="A1153" s="34">
        <v>2151</v>
      </c>
      <c r="B1153" s="32" t="s">
        <v>1190</v>
      </c>
      <c r="C1153" s="32" t="s">
        <v>36</v>
      </c>
      <c r="D1153" s="33" t="s">
        <v>55</v>
      </c>
      <c r="E1153" s="34">
        <v>3</v>
      </c>
      <c r="F1153" s="35">
        <v>927.64</v>
      </c>
      <c r="G1153" s="36">
        <v>0.51</v>
      </c>
      <c r="H1153" s="35">
        <f t="shared" si="36"/>
        <v>2782.92</v>
      </c>
      <c r="I1153" s="37">
        <v>45512</v>
      </c>
      <c r="J1153" s="33" t="s">
        <v>43</v>
      </c>
      <c r="K1153" s="33" t="s">
        <v>23</v>
      </c>
      <c r="L1153" s="38">
        <f t="shared" si="37"/>
        <v>1363.6307999999999</v>
      </c>
      <c r="M1153" s="38">
        <v>-742.69</v>
      </c>
      <c r="N1153" s="24">
        <f>_xlfn.XLOOKUP(Snitch_Fashion_Sales_cleaned!$J1153,Table2[City],Table2[City_Key],"not found")</f>
        <v>6</v>
      </c>
      <c r="O1153" s="23">
        <f>_xlfn.XLOOKUP(Snitch_Fashion_Sales_cleaned!$D1153,Table4[Product_Name],Table4[Product_Key],"not found")</f>
        <v>12</v>
      </c>
      <c r="P1153" s="32">
        <f>_xlfn.XLOOKUP(Snitch_Fashion_Sales_cleaned!$I1153,Table3[Order_Date],Table3[Date_Key])</f>
        <v>119</v>
      </c>
    </row>
    <row r="1154" spans="1:16" x14ac:dyDescent="0.3">
      <c r="A1154" s="27">
        <v>2152</v>
      </c>
      <c r="B1154" s="25" t="s">
        <v>1191</v>
      </c>
      <c r="C1154" s="25" t="s">
        <v>25</v>
      </c>
      <c r="D1154" s="26" t="s">
        <v>26</v>
      </c>
      <c r="E1154" s="27">
        <v>4</v>
      </c>
      <c r="F1154" s="28">
        <v>2933.45</v>
      </c>
      <c r="G1154" s="29">
        <v>0.51</v>
      </c>
      <c r="H1154" s="28">
        <f t="shared" si="36"/>
        <v>11733.8</v>
      </c>
      <c r="I1154" s="30">
        <v>45647</v>
      </c>
      <c r="J1154" s="26" t="s">
        <v>18</v>
      </c>
      <c r="K1154" s="26" t="s">
        <v>23</v>
      </c>
      <c r="L1154" s="31">
        <f t="shared" si="37"/>
        <v>5749.5619999999999</v>
      </c>
      <c r="M1154" s="31">
        <v>-865.58</v>
      </c>
      <c r="N1154" s="22">
        <f>_xlfn.XLOOKUP(Snitch_Fashion_Sales_cleaned!$J1154,Table2[City],Table2[City_Key],"not found")</f>
        <v>2</v>
      </c>
      <c r="O1154" s="21">
        <f>_xlfn.XLOOKUP(Snitch_Fashion_Sales_cleaned!$D1154,Table4[Product_Name],Table4[Product_Key],"not found")</f>
        <v>3</v>
      </c>
      <c r="P1154" s="25">
        <f>_xlfn.XLOOKUP(Snitch_Fashion_Sales_cleaned!$I1154,Table3[Order_Date],Table3[Date_Key])</f>
        <v>5</v>
      </c>
    </row>
    <row r="1155" spans="1:16" x14ac:dyDescent="0.3">
      <c r="A1155" s="34">
        <v>2153</v>
      </c>
      <c r="B1155" s="32" t="s">
        <v>688</v>
      </c>
      <c r="C1155" s="32" t="s">
        <v>20</v>
      </c>
      <c r="D1155" s="33" t="s">
        <v>118</v>
      </c>
      <c r="E1155" s="34">
        <v>3.5</v>
      </c>
      <c r="F1155" s="35">
        <v>3131.57</v>
      </c>
      <c r="G1155" s="36">
        <v>0.51</v>
      </c>
      <c r="H1155" s="35">
        <f t="shared" si="36"/>
        <v>10960.495000000001</v>
      </c>
      <c r="I1155" s="37">
        <v>45614</v>
      </c>
      <c r="J1155" s="33" t="s">
        <v>18</v>
      </c>
      <c r="K1155" s="33" t="s">
        <v>16</v>
      </c>
      <c r="L1155" s="38">
        <f t="shared" si="37"/>
        <v>5370.6425500000005</v>
      </c>
      <c r="M1155" s="38">
        <v>517.22</v>
      </c>
      <c r="N1155" s="24">
        <f>_xlfn.XLOOKUP(Snitch_Fashion_Sales_cleaned!$J1155,Table2[City],Table2[City_Key],"not found")</f>
        <v>2</v>
      </c>
      <c r="O1155" s="23">
        <f>_xlfn.XLOOKUP(Snitch_Fashion_Sales_cleaned!$D1155,Table4[Product_Name],Table4[Product_Key],"not found")</f>
        <v>23</v>
      </c>
      <c r="P1155" s="32">
        <f>_xlfn.XLOOKUP(Snitch_Fashion_Sales_cleaned!$I1155,Table3[Order_Date],Table3[Date_Key])</f>
        <v>155</v>
      </c>
    </row>
    <row r="1156" spans="1:16" x14ac:dyDescent="0.3">
      <c r="A1156" s="27">
        <v>2154</v>
      </c>
      <c r="B1156" s="25" t="s">
        <v>1192</v>
      </c>
      <c r="C1156" s="25" t="s">
        <v>28</v>
      </c>
      <c r="D1156" s="26" t="s">
        <v>29</v>
      </c>
      <c r="E1156" s="27">
        <v>3</v>
      </c>
      <c r="F1156" s="28">
        <v>2515.415</v>
      </c>
      <c r="G1156" s="29">
        <v>0.51</v>
      </c>
      <c r="H1156" s="28">
        <f t="shared" si="36"/>
        <v>7546.2449999999999</v>
      </c>
      <c r="I1156" s="30">
        <v>45793</v>
      </c>
      <c r="J1156" s="26" t="s">
        <v>43</v>
      </c>
      <c r="K1156" s="26" t="s">
        <v>23</v>
      </c>
      <c r="L1156" s="31">
        <f t="shared" si="37"/>
        <v>3697.66005</v>
      </c>
      <c r="M1156" s="31">
        <v>2141.81</v>
      </c>
      <c r="N1156" s="22">
        <f>_xlfn.XLOOKUP(Snitch_Fashion_Sales_cleaned!$J1156,Table2[City],Table2[City_Key],"not found")</f>
        <v>6</v>
      </c>
      <c r="O1156" s="21">
        <f>_xlfn.XLOOKUP(Snitch_Fashion_Sales_cleaned!$D1156,Table4[Product_Name],Table4[Product_Key],"not found")</f>
        <v>4</v>
      </c>
      <c r="P1156" s="25">
        <f>_xlfn.XLOOKUP(Snitch_Fashion_Sales_cleaned!$I1156,Table3[Order_Date],Table3[Date_Key])</f>
        <v>366</v>
      </c>
    </row>
    <row r="1157" spans="1:16" x14ac:dyDescent="0.3">
      <c r="A1157" s="34">
        <v>2155</v>
      </c>
      <c r="B1157" s="32" t="s">
        <v>1193</v>
      </c>
      <c r="C1157" s="32" t="s">
        <v>31</v>
      </c>
      <c r="D1157" s="33" t="s">
        <v>78</v>
      </c>
      <c r="E1157" s="34">
        <v>4</v>
      </c>
      <c r="F1157" s="35">
        <v>2599.75</v>
      </c>
      <c r="G1157" s="36">
        <v>0.51</v>
      </c>
      <c r="H1157" s="35">
        <f t="shared" si="36"/>
        <v>10399</v>
      </c>
      <c r="I1157" s="37">
        <v>45691</v>
      </c>
      <c r="J1157" s="33" t="s">
        <v>2540</v>
      </c>
      <c r="K1157" s="33" t="s">
        <v>16</v>
      </c>
      <c r="L1157" s="38">
        <f t="shared" si="37"/>
        <v>5095.51</v>
      </c>
      <c r="M1157" s="38">
        <v>-972.74</v>
      </c>
      <c r="N1157" s="24">
        <f>_xlfn.XLOOKUP(Snitch_Fashion_Sales_cleaned!$J1157,Table2[City],Table2[City_Key],"not found")</f>
        <v>4</v>
      </c>
      <c r="O1157" s="23">
        <f>_xlfn.XLOOKUP(Snitch_Fashion_Sales_cleaned!$D1157,Table4[Product_Name],Table4[Product_Key],"not found")</f>
        <v>17</v>
      </c>
      <c r="P1157" s="32">
        <f>_xlfn.XLOOKUP(Snitch_Fashion_Sales_cleaned!$I1157,Table3[Order_Date],Table3[Date_Key])</f>
        <v>348</v>
      </c>
    </row>
    <row r="1158" spans="1:16" x14ac:dyDescent="0.3">
      <c r="A1158" s="27">
        <v>2156</v>
      </c>
      <c r="B1158" s="25" t="s">
        <v>1194</v>
      </c>
      <c r="C1158" s="25" t="s">
        <v>25</v>
      </c>
      <c r="D1158" s="26" t="s">
        <v>62</v>
      </c>
      <c r="E1158" s="27">
        <v>4</v>
      </c>
      <c r="F1158" s="28">
        <v>2538.0450000000001</v>
      </c>
      <c r="G1158" s="29">
        <v>0.51</v>
      </c>
      <c r="H1158" s="28">
        <f t="shared" ref="H1158:H1221" si="38">E1158*F1158</f>
        <v>10152.18</v>
      </c>
      <c r="I1158" s="30">
        <v>45647</v>
      </c>
      <c r="J1158" s="26" t="s">
        <v>18</v>
      </c>
      <c r="K1158" s="26" t="s">
        <v>23</v>
      </c>
      <c r="L1158" s="31">
        <f t="shared" ref="L1158:L1221" si="39">H1158*(1-G1158)</f>
        <v>4974.5681999999997</v>
      </c>
      <c r="M1158" s="31">
        <v>1648.67</v>
      </c>
      <c r="N1158" s="22">
        <f>_xlfn.XLOOKUP(Snitch_Fashion_Sales_cleaned!$J1158,Table2[City],Table2[City_Key],"not found")</f>
        <v>2</v>
      </c>
      <c r="O1158" s="21">
        <f>_xlfn.XLOOKUP(Snitch_Fashion_Sales_cleaned!$D1158,Table4[Product_Name],Table4[Product_Key],"not found")</f>
        <v>14</v>
      </c>
      <c r="P1158" s="25">
        <f>_xlfn.XLOOKUP(Snitch_Fashion_Sales_cleaned!$I1158,Table3[Order_Date],Table3[Date_Key])</f>
        <v>5</v>
      </c>
    </row>
    <row r="1159" spans="1:16" x14ac:dyDescent="0.3">
      <c r="A1159" s="34">
        <v>2157</v>
      </c>
      <c r="B1159" s="32" t="s">
        <v>1195</v>
      </c>
      <c r="C1159" s="32" t="s">
        <v>25</v>
      </c>
      <c r="D1159" s="33" t="s">
        <v>50</v>
      </c>
      <c r="E1159" s="34">
        <v>4</v>
      </c>
      <c r="F1159" s="35">
        <v>2830.24</v>
      </c>
      <c r="G1159" s="36">
        <v>0.97</v>
      </c>
      <c r="H1159" s="35">
        <f t="shared" si="38"/>
        <v>11320.96</v>
      </c>
      <c r="I1159" s="37">
        <v>45647</v>
      </c>
      <c r="J1159" s="33" t="s">
        <v>22</v>
      </c>
      <c r="K1159" s="33" t="s">
        <v>23</v>
      </c>
      <c r="L1159" s="38">
        <f t="shared" si="39"/>
        <v>339.6288000000003</v>
      </c>
      <c r="M1159" s="38">
        <v>84.907200000000074</v>
      </c>
      <c r="N1159" s="24">
        <f>_xlfn.XLOOKUP(Snitch_Fashion_Sales_cleaned!$J1159,Table2[City],Table2[City_Key],"not found")</f>
        <v>3</v>
      </c>
      <c r="O1159" s="23">
        <f>_xlfn.XLOOKUP(Snitch_Fashion_Sales_cleaned!$D1159,Table4[Product_Name],Table4[Product_Key],"not found")</f>
        <v>11</v>
      </c>
      <c r="P1159" s="32">
        <f>_xlfn.XLOOKUP(Snitch_Fashion_Sales_cleaned!$I1159,Table3[Order_Date],Table3[Date_Key])</f>
        <v>5</v>
      </c>
    </row>
    <row r="1160" spans="1:16" x14ac:dyDescent="0.3">
      <c r="A1160" s="27">
        <v>2158</v>
      </c>
      <c r="B1160" s="25" t="s">
        <v>1196</v>
      </c>
      <c r="C1160" s="25" t="s">
        <v>25</v>
      </c>
      <c r="D1160" s="26" t="s">
        <v>50</v>
      </c>
      <c r="E1160" s="27">
        <v>4</v>
      </c>
      <c r="F1160" s="28">
        <v>3270.68</v>
      </c>
      <c r="G1160" s="29">
        <v>0.51</v>
      </c>
      <c r="H1160" s="28">
        <f t="shared" si="38"/>
        <v>13082.72</v>
      </c>
      <c r="I1160" s="30">
        <v>45647</v>
      </c>
      <c r="J1160" s="26" t="s">
        <v>22</v>
      </c>
      <c r="K1160" s="26" t="s">
        <v>23</v>
      </c>
      <c r="L1160" s="31">
        <f t="shared" si="39"/>
        <v>6410.5328</v>
      </c>
      <c r="M1160" s="31">
        <v>-437.06</v>
      </c>
      <c r="N1160" s="22">
        <f>_xlfn.XLOOKUP(Snitch_Fashion_Sales_cleaned!$J1160,Table2[City],Table2[City_Key],"not found")</f>
        <v>3</v>
      </c>
      <c r="O1160" s="21">
        <f>_xlfn.XLOOKUP(Snitch_Fashion_Sales_cleaned!$D1160,Table4[Product_Name],Table4[Product_Key],"not found")</f>
        <v>11</v>
      </c>
      <c r="P1160" s="25">
        <f>_xlfn.XLOOKUP(Snitch_Fashion_Sales_cleaned!$I1160,Table3[Order_Date],Table3[Date_Key])</f>
        <v>5</v>
      </c>
    </row>
    <row r="1161" spans="1:16" x14ac:dyDescent="0.3">
      <c r="A1161" s="34">
        <v>2159</v>
      </c>
      <c r="B1161" s="32" t="s">
        <v>1197</v>
      </c>
      <c r="C1161" s="32" t="s">
        <v>36</v>
      </c>
      <c r="D1161" s="33" t="s">
        <v>37</v>
      </c>
      <c r="E1161" s="34">
        <v>4</v>
      </c>
      <c r="F1161" s="35">
        <v>2975.64</v>
      </c>
      <c r="G1161" s="36">
        <v>0.51</v>
      </c>
      <c r="H1161" s="35">
        <f t="shared" si="38"/>
        <v>11902.56</v>
      </c>
      <c r="I1161" s="37">
        <v>45639</v>
      </c>
      <c r="J1161" s="33" t="s">
        <v>22</v>
      </c>
      <c r="K1161" s="33" t="s">
        <v>23</v>
      </c>
      <c r="L1161" s="38">
        <f t="shared" si="39"/>
        <v>5832.2543999999998</v>
      </c>
      <c r="M1161" s="38">
        <v>-420.95</v>
      </c>
      <c r="N1161" s="24">
        <f>_xlfn.XLOOKUP(Snitch_Fashion_Sales_cleaned!$J1161,Table2[City],Table2[City_Key],"not found")</f>
        <v>3</v>
      </c>
      <c r="O1161" s="23">
        <f>_xlfn.XLOOKUP(Snitch_Fashion_Sales_cleaned!$D1161,Table4[Product_Name],Table4[Product_Key],"not found")</f>
        <v>7</v>
      </c>
      <c r="P1161" s="32">
        <f>_xlfn.XLOOKUP(Snitch_Fashion_Sales_cleaned!$I1161,Table3[Order_Date],Table3[Date_Key])</f>
        <v>149</v>
      </c>
    </row>
    <row r="1162" spans="1:16" x14ac:dyDescent="0.3">
      <c r="A1162" s="27">
        <v>2160</v>
      </c>
      <c r="B1162" s="25" t="s">
        <v>1198</v>
      </c>
      <c r="C1162" s="25" t="s">
        <v>25</v>
      </c>
      <c r="D1162" s="26" t="s">
        <v>82</v>
      </c>
      <c r="E1162" s="27">
        <v>3</v>
      </c>
      <c r="F1162" s="28">
        <v>2119.66</v>
      </c>
      <c r="G1162" s="29">
        <v>0.51</v>
      </c>
      <c r="H1162" s="28">
        <f t="shared" si="38"/>
        <v>6358.98</v>
      </c>
      <c r="I1162" s="30">
        <v>45598</v>
      </c>
      <c r="J1162" s="26" t="s">
        <v>43</v>
      </c>
      <c r="K1162" s="26" t="s">
        <v>16</v>
      </c>
      <c r="L1162" s="31">
        <f t="shared" si="39"/>
        <v>3115.9001999999996</v>
      </c>
      <c r="M1162" s="31">
        <v>-203.89</v>
      </c>
      <c r="N1162" s="22">
        <f>_xlfn.XLOOKUP(Snitch_Fashion_Sales_cleaned!$J1162,Table2[City],Table2[City_Key],"not found")</f>
        <v>6</v>
      </c>
      <c r="O1162" s="21">
        <f>_xlfn.XLOOKUP(Snitch_Fashion_Sales_cleaned!$D1162,Table4[Product_Name],Table4[Product_Key],"not found")</f>
        <v>18</v>
      </c>
      <c r="P1162" s="25">
        <f>_xlfn.XLOOKUP(Snitch_Fashion_Sales_cleaned!$I1162,Table3[Order_Date],Table3[Date_Key])</f>
        <v>158</v>
      </c>
    </row>
    <row r="1163" spans="1:16" x14ac:dyDescent="0.3">
      <c r="A1163" s="34">
        <v>2161</v>
      </c>
      <c r="B1163" s="32" t="s">
        <v>1199</v>
      </c>
      <c r="C1163" s="32" t="s">
        <v>28</v>
      </c>
      <c r="D1163" s="33" t="s">
        <v>116</v>
      </c>
      <c r="E1163" s="34">
        <v>4</v>
      </c>
      <c r="F1163" s="35">
        <v>4376.41</v>
      </c>
      <c r="G1163" s="36">
        <v>0.51</v>
      </c>
      <c r="H1163" s="35">
        <f t="shared" si="38"/>
        <v>17505.64</v>
      </c>
      <c r="I1163" s="37">
        <v>45754</v>
      </c>
      <c r="J1163" s="33" t="s">
        <v>22</v>
      </c>
      <c r="K1163" s="33" t="s">
        <v>16</v>
      </c>
      <c r="L1163" s="38">
        <f t="shared" si="39"/>
        <v>8577.7636000000002</v>
      </c>
      <c r="M1163" s="38">
        <v>1713.03</v>
      </c>
      <c r="N1163" s="24">
        <f>_xlfn.XLOOKUP(Snitch_Fashion_Sales_cleaned!$J1163,Table2[City],Table2[City_Key],"not found")</f>
        <v>3</v>
      </c>
      <c r="O1163" s="23">
        <f>_xlfn.XLOOKUP(Snitch_Fashion_Sales_cleaned!$D1163,Table4[Product_Name],Table4[Product_Key],"not found")</f>
        <v>22</v>
      </c>
      <c r="P1163" s="32">
        <f>_xlfn.XLOOKUP(Snitch_Fashion_Sales_cleaned!$I1163,Table3[Order_Date],Table3[Date_Key])</f>
        <v>426</v>
      </c>
    </row>
    <row r="1164" spans="1:16" x14ac:dyDescent="0.3">
      <c r="A1164" s="27">
        <v>2162</v>
      </c>
      <c r="B1164" s="25" t="s">
        <v>1200</v>
      </c>
      <c r="C1164" s="25" t="s">
        <v>28</v>
      </c>
      <c r="D1164" s="26" t="s">
        <v>116</v>
      </c>
      <c r="E1164" s="27">
        <v>1</v>
      </c>
      <c r="F1164" s="28">
        <v>2785.79</v>
      </c>
      <c r="G1164" s="29">
        <v>0.71</v>
      </c>
      <c r="H1164" s="28">
        <f t="shared" si="38"/>
        <v>2785.79</v>
      </c>
      <c r="I1164" s="30">
        <v>45832</v>
      </c>
      <c r="J1164" s="26" t="s">
        <v>18</v>
      </c>
      <c r="K1164" s="26" t="s">
        <v>23</v>
      </c>
      <c r="L1164" s="31">
        <f t="shared" si="39"/>
        <v>807.87910000000011</v>
      </c>
      <c r="M1164" s="31">
        <v>54.58</v>
      </c>
      <c r="N1164" s="22">
        <f>_xlfn.XLOOKUP(Snitch_Fashion_Sales_cleaned!$J1164,Table2[City],Table2[City_Key],"not found")</f>
        <v>2</v>
      </c>
      <c r="O1164" s="21">
        <f>_xlfn.XLOOKUP(Snitch_Fashion_Sales_cleaned!$D1164,Table4[Product_Name],Table4[Product_Key],"not found")</f>
        <v>22</v>
      </c>
      <c r="P1164" s="25">
        <f>_xlfn.XLOOKUP(Snitch_Fashion_Sales_cleaned!$I1164,Table3[Order_Date],Table3[Date_Key])</f>
        <v>141</v>
      </c>
    </row>
    <row r="1165" spans="1:16" x14ac:dyDescent="0.3">
      <c r="A1165" s="34">
        <v>2163</v>
      </c>
      <c r="B1165" s="32" t="s">
        <v>1201</v>
      </c>
      <c r="C1165" s="32" t="s">
        <v>36</v>
      </c>
      <c r="D1165" s="33" t="s">
        <v>55</v>
      </c>
      <c r="E1165" s="34">
        <v>3</v>
      </c>
      <c r="F1165" s="35">
        <v>2731.6350000000002</v>
      </c>
      <c r="G1165" s="36">
        <v>0.51</v>
      </c>
      <c r="H1165" s="35">
        <f t="shared" si="38"/>
        <v>8194.9050000000007</v>
      </c>
      <c r="I1165" s="37">
        <v>45559</v>
      </c>
      <c r="J1165" s="33" t="s">
        <v>22</v>
      </c>
      <c r="K1165" s="33" t="s">
        <v>16</v>
      </c>
      <c r="L1165" s="38">
        <f t="shared" si="39"/>
        <v>4015.5034500000002</v>
      </c>
      <c r="M1165" s="38">
        <v>1205.3800000000001</v>
      </c>
      <c r="N1165" s="24">
        <f>_xlfn.XLOOKUP(Snitch_Fashion_Sales_cleaned!$J1165,Table2[City],Table2[City_Key],"not found")</f>
        <v>3</v>
      </c>
      <c r="O1165" s="23">
        <f>_xlfn.XLOOKUP(Snitch_Fashion_Sales_cleaned!$D1165,Table4[Product_Name],Table4[Product_Key],"not found")</f>
        <v>12</v>
      </c>
      <c r="P1165" s="32">
        <f>_xlfn.XLOOKUP(Snitch_Fashion_Sales_cleaned!$I1165,Table3[Order_Date],Table3[Date_Key])</f>
        <v>323</v>
      </c>
    </row>
    <row r="1166" spans="1:16" x14ac:dyDescent="0.3">
      <c r="A1166" s="27">
        <v>2164</v>
      </c>
      <c r="B1166" s="25" t="s">
        <v>1202</v>
      </c>
      <c r="C1166" s="25" t="s">
        <v>20</v>
      </c>
      <c r="D1166" s="26" t="s">
        <v>21</v>
      </c>
      <c r="E1166" s="27">
        <v>4</v>
      </c>
      <c r="F1166" s="28">
        <v>1498.8</v>
      </c>
      <c r="G1166" s="29">
        <v>0.51</v>
      </c>
      <c r="H1166" s="28">
        <f t="shared" si="38"/>
        <v>5995.2</v>
      </c>
      <c r="I1166" s="30">
        <v>45516</v>
      </c>
      <c r="J1166" s="26" t="s">
        <v>15</v>
      </c>
      <c r="K1166" s="26" t="s">
        <v>23</v>
      </c>
      <c r="L1166" s="31">
        <f t="shared" si="39"/>
        <v>2937.6479999999997</v>
      </c>
      <c r="M1166" s="31">
        <v>-548.47</v>
      </c>
      <c r="N1166" s="22">
        <f>_xlfn.XLOOKUP(Snitch_Fashion_Sales_cleaned!$J1166,Table2[City],Table2[City_Key],"not found")</f>
        <v>1</v>
      </c>
      <c r="O1166" s="21">
        <f>_xlfn.XLOOKUP(Snitch_Fashion_Sales_cleaned!$D1166,Table4[Product_Name],Table4[Product_Key],"not found")</f>
        <v>2</v>
      </c>
      <c r="P1166" s="25">
        <f>_xlfn.XLOOKUP(Snitch_Fashion_Sales_cleaned!$I1166,Table3[Order_Date],Table3[Date_Key])</f>
        <v>299</v>
      </c>
    </row>
    <row r="1167" spans="1:16" x14ac:dyDescent="0.3">
      <c r="A1167" s="34">
        <v>2165</v>
      </c>
      <c r="B1167" s="32" t="s">
        <v>1203</v>
      </c>
      <c r="C1167" s="32" t="s">
        <v>25</v>
      </c>
      <c r="D1167" s="33" t="s">
        <v>62</v>
      </c>
      <c r="E1167" s="34">
        <v>4</v>
      </c>
      <c r="F1167" s="35">
        <v>2538.0450000000001</v>
      </c>
      <c r="G1167" s="36">
        <v>0.51</v>
      </c>
      <c r="H1167" s="35">
        <f t="shared" si="38"/>
        <v>10152.18</v>
      </c>
      <c r="I1167" s="37">
        <v>45678</v>
      </c>
      <c r="J1167" s="33" t="s">
        <v>43</v>
      </c>
      <c r="K1167" s="33" t="s">
        <v>23</v>
      </c>
      <c r="L1167" s="38">
        <f t="shared" si="39"/>
        <v>4974.5681999999997</v>
      </c>
      <c r="M1167" s="38">
        <v>-609.52</v>
      </c>
      <c r="N1167" s="24">
        <f>_xlfn.XLOOKUP(Snitch_Fashion_Sales_cleaned!$J1167,Table2[City],Table2[City_Key],"not found")</f>
        <v>6</v>
      </c>
      <c r="O1167" s="23">
        <f>_xlfn.XLOOKUP(Snitch_Fashion_Sales_cleaned!$D1167,Table4[Product_Name],Table4[Product_Key],"not found")</f>
        <v>14</v>
      </c>
      <c r="P1167" s="32">
        <f>_xlfn.XLOOKUP(Snitch_Fashion_Sales_cleaned!$I1167,Table3[Order_Date],Table3[Date_Key])</f>
        <v>208</v>
      </c>
    </row>
    <row r="1168" spans="1:16" x14ac:dyDescent="0.3">
      <c r="A1168" s="27">
        <v>2166</v>
      </c>
      <c r="B1168" s="25" t="s">
        <v>1204</v>
      </c>
      <c r="C1168" s="25" t="s">
        <v>20</v>
      </c>
      <c r="D1168" s="26" t="s">
        <v>118</v>
      </c>
      <c r="E1168" s="27">
        <v>3.5</v>
      </c>
      <c r="F1168" s="28">
        <v>2752.99</v>
      </c>
      <c r="G1168" s="29">
        <v>0.51</v>
      </c>
      <c r="H1168" s="28">
        <f t="shared" si="38"/>
        <v>9635.4650000000001</v>
      </c>
      <c r="I1168" s="30">
        <v>45647</v>
      </c>
      <c r="J1168" s="26" t="s">
        <v>22</v>
      </c>
      <c r="K1168" s="26" t="s">
        <v>23</v>
      </c>
      <c r="L1168" s="31">
        <f t="shared" si="39"/>
        <v>4721.3778499999999</v>
      </c>
      <c r="M1168" s="31">
        <v>-845.69</v>
      </c>
      <c r="N1168" s="22">
        <f>_xlfn.XLOOKUP(Snitch_Fashion_Sales_cleaned!$J1168,Table2[City],Table2[City_Key],"not found")</f>
        <v>3</v>
      </c>
      <c r="O1168" s="21">
        <f>_xlfn.XLOOKUP(Snitch_Fashion_Sales_cleaned!$D1168,Table4[Product_Name],Table4[Product_Key],"not found")</f>
        <v>23</v>
      </c>
      <c r="P1168" s="25">
        <f>_xlfn.XLOOKUP(Snitch_Fashion_Sales_cleaned!$I1168,Table3[Order_Date],Table3[Date_Key])</f>
        <v>5</v>
      </c>
    </row>
    <row r="1169" spans="1:16" x14ac:dyDescent="0.3">
      <c r="A1169" s="34">
        <v>2167</v>
      </c>
      <c r="B1169" s="32" t="s">
        <v>1205</v>
      </c>
      <c r="C1169" s="32" t="s">
        <v>36</v>
      </c>
      <c r="D1169" s="33" t="s">
        <v>37</v>
      </c>
      <c r="E1169" s="34">
        <v>4</v>
      </c>
      <c r="F1169" s="35">
        <v>2975.64</v>
      </c>
      <c r="G1169" s="36">
        <v>0.51</v>
      </c>
      <c r="H1169" s="35">
        <f t="shared" si="38"/>
        <v>11902.56</v>
      </c>
      <c r="I1169" s="37">
        <v>45647</v>
      </c>
      <c r="J1169" s="33" t="s">
        <v>22</v>
      </c>
      <c r="K1169" s="33" t="s">
        <v>16</v>
      </c>
      <c r="L1169" s="38">
        <f t="shared" si="39"/>
        <v>5832.2543999999998</v>
      </c>
      <c r="M1169" s="38">
        <v>-258.89</v>
      </c>
      <c r="N1169" s="24">
        <f>_xlfn.XLOOKUP(Snitch_Fashion_Sales_cleaned!$J1169,Table2[City],Table2[City_Key],"not found")</f>
        <v>3</v>
      </c>
      <c r="O1169" s="23">
        <f>_xlfn.XLOOKUP(Snitch_Fashion_Sales_cleaned!$D1169,Table4[Product_Name],Table4[Product_Key],"not found")</f>
        <v>7</v>
      </c>
      <c r="P1169" s="32">
        <f>_xlfn.XLOOKUP(Snitch_Fashion_Sales_cleaned!$I1169,Table3[Order_Date],Table3[Date_Key])</f>
        <v>5</v>
      </c>
    </row>
    <row r="1170" spans="1:16" x14ac:dyDescent="0.3">
      <c r="A1170" s="27">
        <v>2168</v>
      </c>
      <c r="B1170" s="25" t="s">
        <v>1206</v>
      </c>
      <c r="C1170" s="25" t="s">
        <v>28</v>
      </c>
      <c r="D1170" s="26" t="s">
        <v>137</v>
      </c>
      <c r="E1170" s="27">
        <v>3.5</v>
      </c>
      <c r="F1170" s="28">
        <v>4446.09</v>
      </c>
      <c r="G1170" s="29">
        <v>0.47</v>
      </c>
      <c r="H1170" s="28">
        <f t="shared" si="38"/>
        <v>15561.315000000001</v>
      </c>
      <c r="I1170" s="30">
        <v>45647</v>
      </c>
      <c r="J1170" s="26" t="s">
        <v>18</v>
      </c>
      <c r="K1170" s="26" t="s">
        <v>23</v>
      </c>
      <c r="L1170" s="31">
        <f t="shared" si="39"/>
        <v>8247.4969500000007</v>
      </c>
      <c r="M1170" s="31">
        <v>784.1</v>
      </c>
      <c r="N1170" s="22">
        <f>_xlfn.XLOOKUP(Snitch_Fashion_Sales_cleaned!$J1170,Table2[City],Table2[City_Key],"not found")</f>
        <v>2</v>
      </c>
      <c r="O1170" s="21">
        <f>_xlfn.XLOOKUP(Snitch_Fashion_Sales_cleaned!$D1170,Table4[Product_Name],Table4[Product_Key],"not found")</f>
        <v>24</v>
      </c>
      <c r="P1170" s="25">
        <f>_xlfn.XLOOKUP(Snitch_Fashion_Sales_cleaned!$I1170,Table3[Order_Date],Table3[Date_Key])</f>
        <v>5</v>
      </c>
    </row>
    <row r="1171" spans="1:16" x14ac:dyDescent="0.3">
      <c r="A1171" s="34">
        <v>2169</v>
      </c>
      <c r="B1171" s="32" t="s">
        <v>1207</v>
      </c>
      <c r="C1171" s="32" t="s">
        <v>13</v>
      </c>
      <c r="D1171" s="33" t="s">
        <v>46</v>
      </c>
      <c r="E1171" s="34">
        <v>2</v>
      </c>
      <c r="F1171" s="35">
        <v>2891.64</v>
      </c>
      <c r="G1171" s="36">
        <v>0.51</v>
      </c>
      <c r="H1171" s="35">
        <f t="shared" si="38"/>
        <v>5783.28</v>
      </c>
      <c r="I1171" s="37">
        <v>45587</v>
      </c>
      <c r="J1171" s="33" t="s">
        <v>18</v>
      </c>
      <c r="K1171" s="33" t="s">
        <v>16</v>
      </c>
      <c r="L1171" s="38">
        <f t="shared" si="39"/>
        <v>2833.8071999999997</v>
      </c>
      <c r="M1171" s="38">
        <v>1870.24</v>
      </c>
      <c r="N1171" s="24">
        <f>_xlfn.XLOOKUP(Snitch_Fashion_Sales_cleaned!$J1171,Table2[City],Table2[City_Key],"not found")</f>
        <v>2</v>
      </c>
      <c r="O1171" s="23">
        <f>_xlfn.XLOOKUP(Snitch_Fashion_Sales_cleaned!$D1171,Table4[Product_Name],Table4[Product_Key],"not found")</f>
        <v>10</v>
      </c>
      <c r="P1171" s="32">
        <f>_xlfn.XLOOKUP(Snitch_Fashion_Sales_cleaned!$I1171,Table3[Order_Date],Table3[Date_Key])</f>
        <v>14</v>
      </c>
    </row>
    <row r="1172" spans="1:16" x14ac:dyDescent="0.3">
      <c r="A1172" s="27">
        <v>2170</v>
      </c>
      <c r="B1172" s="25" t="s">
        <v>1208</v>
      </c>
      <c r="C1172" s="25" t="s">
        <v>28</v>
      </c>
      <c r="D1172" s="26" t="s">
        <v>29</v>
      </c>
      <c r="E1172" s="27">
        <v>3</v>
      </c>
      <c r="F1172" s="28">
        <v>826.11</v>
      </c>
      <c r="G1172" s="29">
        <v>0.99</v>
      </c>
      <c r="H1172" s="28">
        <f t="shared" si="38"/>
        <v>2478.33</v>
      </c>
      <c r="I1172" s="30">
        <v>45647</v>
      </c>
      <c r="J1172" s="26" t="s">
        <v>15</v>
      </c>
      <c r="K1172" s="26" t="s">
        <v>23</v>
      </c>
      <c r="L1172" s="31">
        <f t="shared" si="39"/>
        <v>24.783300000000022</v>
      </c>
      <c r="M1172" s="31">
        <v>6.1958250000000055</v>
      </c>
      <c r="N1172" s="22">
        <f>_xlfn.XLOOKUP(Snitch_Fashion_Sales_cleaned!$J1172,Table2[City],Table2[City_Key],"not found")</f>
        <v>1</v>
      </c>
      <c r="O1172" s="21">
        <f>_xlfn.XLOOKUP(Snitch_Fashion_Sales_cleaned!$D1172,Table4[Product_Name],Table4[Product_Key],"not found")</f>
        <v>4</v>
      </c>
      <c r="P1172" s="25">
        <f>_xlfn.XLOOKUP(Snitch_Fashion_Sales_cleaned!$I1172,Table3[Order_Date],Table3[Date_Key])</f>
        <v>5</v>
      </c>
    </row>
    <row r="1173" spans="1:16" x14ac:dyDescent="0.3">
      <c r="A1173" s="34">
        <v>2171</v>
      </c>
      <c r="B1173" s="32" t="s">
        <v>1209</v>
      </c>
      <c r="C1173" s="32" t="s">
        <v>31</v>
      </c>
      <c r="D1173" s="33" t="s">
        <v>68</v>
      </c>
      <c r="E1173" s="34">
        <v>4</v>
      </c>
      <c r="F1173" s="35">
        <v>630.28</v>
      </c>
      <c r="G1173" s="36">
        <v>0.51</v>
      </c>
      <c r="H1173" s="35">
        <f t="shared" si="38"/>
        <v>2521.12</v>
      </c>
      <c r="I1173" s="37">
        <v>45860</v>
      </c>
      <c r="J1173" s="33" t="s">
        <v>15</v>
      </c>
      <c r="K1173" s="33" t="s">
        <v>23</v>
      </c>
      <c r="L1173" s="38">
        <f t="shared" si="39"/>
        <v>1235.3488</v>
      </c>
      <c r="M1173" s="38">
        <v>308.8372</v>
      </c>
      <c r="N1173" s="24">
        <f>_xlfn.XLOOKUP(Snitch_Fashion_Sales_cleaned!$J1173,Table2[City],Table2[City_Key],"not found")</f>
        <v>1</v>
      </c>
      <c r="O1173" s="23">
        <f>_xlfn.XLOOKUP(Snitch_Fashion_Sales_cleaned!$D1173,Table4[Product_Name],Table4[Product_Key],"not found")</f>
        <v>15</v>
      </c>
      <c r="P1173" s="32">
        <f>_xlfn.XLOOKUP(Snitch_Fashion_Sales_cleaned!$I1173,Table3[Order_Date],Table3[Date_Key])</f>
        <v>244</v>
      </c>
    </row>
    <row r="1174" spans="1:16" x14ac:dyDescent="0.3">
      <c r="A1174" s="27">
        <v>2172</v>
      </c>
      <c r="B1174" s="25" t="s">
        <v>1210</v>
      </c>
      <c r="C1174" s="25" t="s">
        <v>31</v>
      </c>
      <c r="D1174" s="26" t="s">
        <v>68</v>
      </c>
      <c r="E1174" s="27">
        <v>4</v>
      </c>
      <c r="F1174" s="28">
        <v>2765.79</v>
      </c>
      <c r="G1174" s="29">
        <v>0.51</v>
      </c>
      <c r="H1174" s="28">
        <f t="shared" si="38"/>
        <v>11063.16</v>
      </c>
      <c r="I1174" s="30">
        <v>45647</v>
      </c>
      <c r="J1174" s="26" t="s">
        <v>15</v>
      </c>
      <c r="K1174" s="26" t="s">
        <v>16</v>
      </c>
      <c r="L1174" s="31">
        <f t="shared" si="39"/>
        <v>5420.9484000000002</v>
      </c>
      <c r="M1174" s="31">
        <v>2497.36</v>
      </c>
      <c r="N1174" s="22">
        <f>_xlfn.XLOOKUP(Snitch_Fashion_Sales_cleaned!$J1174,Table2[City],Table2[City_Key],"not found")</f>
        <v>1</v>
      </c>
      <c r="O1174" s="21">
        <f>_xlfn.XLOOKUP(Snitch_Fashion_Sales_cleaned!$D1174,Table4[Product_Name],Table4[Product_Key],"not found")</f>
        <v>15</v>
      </c>
      <c r="P1174" s="25">
        <f>_xlfn.XLOOKUP(Snitch_Fashion_Sales_cleaned!$I1174,Table3[Order_Date],Table3[Date_Key])</f>
        <v>5</v>
      </c>
    </row>
    <row r="1175" spans="1:16" x14ac:dyDescent="0.3">
      <c r="A1175" s="34">
        <v>2173</v>
      </c>
      <c r="B1175" s="32" t="s">
        <v>1211</v>
      </c>
      <c r="C1175" s="32" t="s">
        <v>25</v>
      </c>
      <c r="D1175" s="33" t="s">
        <v>26</v>
      </c>
      <c r="E1175" s="34">
        <v>4</v>
      </c>
      <c r="F1175" s="35">
        <v>2679.07</v>
      </c>
      <c r="G1175" s="36">
        <v>0.51</v>
      </c>
      <c r="H1175" s="35">
        <f t="shared" si="38"/>
        <v>10716.28</v>
      </c>
      <c r="I1175" s="37">
        <v>45647</v>
      </c>
      <c r="J1175" s="33" t="s">
        <v>22</v>
      </c>
      <c r="K1175" s="33" t="s">
        <v>23</v>
      </c>
      <c r="L1175" s="38">
        <f t="shared" si="39"/>
        <v>5250.9772000000003</v>
      </c>
      <c r="M1175" s="38">
        <v>2156.1</v>
      </c>
      <c r="N1175" s="24">
        <f>_xlfn.XLOOKUP(Snitch_Fashion_Sales_cleaned!$J1175,Table2[City],Table2[City_Key],"not found")</f>
        <v>3</v>
      </c>
      <c r="O1175" s="23">
        <f>_xlfn.XLOOKUP(Snitch_Fashion_Sales_cleaned!$D1175,Table4[Product_Name],Table4[Product_Key],"not found")</f>
        <v>3</v>
      </c>
      <c r="P1175" s="32">
        <f>_xlfn.XLOOKUP(Snitch_Fashion_Sales_cleaned!$I1175,Table3[Order_Date],Table3[Date_Key])</f>
        <v>5</v>
      </c>
    </row>
    <row r="1176" spans="1:16" x14ac:dyDescent="0.3">
      <c r="A1176" s="27">
        <v>2174</v>
      </c>
      <c r="B1176" s="25" t="s">
        <v>1212</v>
      </c>
      <c r="C1176" s="25" t="s">
        <v>28</v>
      </c>
      <c r="D1176" s="26" t="s">
        <v>29</v>
      </c>
      <c r="E1176" s="27">
        <v>3</v>
      </c>
      <c r="F1176" s="28">
        <v>810.62</v>
      </c>
      <c r="G1176" s="29">
        <v>0.51</v>
      </c>
      <c r="H1176" s="28">
        <f t="shared" si="38"/>
        <v>2431.86</v>
      </c>
      <c r="I1176" s="30">
        <v>45649</v>
      </c>
      <c r="J1176" s="26" t="s">
        <v>2540</v>
      </c>
      <c r="K1176" s="26" t="s">
        <v>16</v>
      </c>
      <c r="L1176" s="31">
        <f t="shared" si="39"/>
        <v>1191.6114</v>
      </c>
      <c r="M1176" s="31">
        <v>-69.8</v>
      </c>
      <c r="N1176" s="22">
        <f>_xlfn.XLOOKUP(Snitch_Fashion_Sales_cleaned!$J1176,Table2[City],Table2[City_Key],"not found")</f>
        <v>4</v>
      </c>
      <c r="O1176" s="21">
        <f>_xlfn.XLOOKUP(Snitch_Fashion_Sales_cleaned!$D1176,Table4[Product_Name],Table4[Product_Key],"not found")</f>
        <v>4</v>
      </c>
      <c r="P1176" s="25">
        <f>_xlfn.XLOOKUP(Snitch_Fashion_Sales_cleaned!$I1176,Table3[Order_Date],Table3[Date_Key])</f>
        <v>42</v>
      </c>
    </row>
    <row r="1177" spans="1:16" x14ac:dyDescent="0.3">
      <c r="A1177" s="34">
        <v>2175</v>
      </c>
      <c r="B1177" s="32" t="s">
        <v>1213</v>
      </c>
      <c r="C1177" s="32" t="s">
        <v>25</v>
      </c>
      <c r="D1177" s="33" t="s">
        <v>26</v>
      </c>
      <c r="E1177" s="34">
        <v>4</v>
      </c>
      <c r="F1177" s="35">
        <v>2933.45</v>
      </c>
      <c r="G1177" s="36">
        <v>0.51</v>
      </c>
      <c r="H1177" s="35">
        <f t="shared" si="38"/>
        <v>11733.8</v>
      </c>
      <c r="I1177" s="37">
        <v>45171</v>
      </c>
      <c r="J1177" s="33" t="s">
        <v>52</v>
      </c>
      <c r="K1177" s="33" t="s">
        <v>16</v>
      </c>
      <c r="L1177" s="38">
        <f t="shared" si="39"/>
        <v>5749.5619999999999</v>
      </c>
      <c r="M1177" s="38">
        <v>1022.04</v>
      </c>
      <c r="N1177" s="24">
        <f>_xlfn.XLOOKUP(Snitch_Fashion_Sales_cleaned!$J1177,Table2[City],Table2[City_Key],"not found")</f>
        <v>5</v>
      </c>
      <c r="O1177" s="23">
        <f>_xlfn.XLOOKUP(Snitch_Fashion_Sales_cleaned!$D1177,Table4[Product_Name],Table4[Product_Key],"not found")</f>
        <v>3</v>
      </c>
      <c r="P1177" s="32">
        <f>_xlfn.XLOOKUP(Snitch_Fashion_Sales_cleaned!$I1177,Table3[Order_Date],Table3[Date_Key])</f>
        <v>435</v>
      </c>
    </row>
    <row r="1178" spans="1:16" x14ac:dyDescent="0.3">
      <c r="A1178" s="27">
        <v>2176</v>
      </c>
      <c r="B1178" s="25" t="s">
        <v>1214</v>
      </c>
      <c r="C1178" s="25" t="s">
        <v>20</v>
      </c>
      <c r="D1178" s="26" t="s">
        <v>21</v>
      </c>
      <c r="E1178" s="27">
        <v>6</v>
      </c>
      <c r="F1178" s="28">
        <v>4954.67</v>
      </c>
      <c r="G1178" s="29">
        <v>0.51</v>
      </c>
      <c r="H1178" s="28">
        <f t="shared" si="38"/>
        <v>29728.02</v>
      </c>
      <c r="I1178" s="30">
        <v>45852</v>
      </c>
      <c r="J1178" s="26" t="s">
        <v>52</v>
      </c>
      <c r="K1178" s="26" t="s">
        <v>23</v>
      </c>
      <c r="L1178" s="31">
        <f t="shared" si="39"/>
        <v>14566.729799999999</v>
      </c>
      <c r="M1178" s="31">
        <v>2176.54</v>
      </c>
      <c r="N1178" s="22">
        <f>_xlfn.XLOOKUP(Snitch_Fashion_Sales_cleaned!$J1178,Table2[City],Table2[City_Key],"not found")</f>
        <v>5</v>
      </c>
      <c r="O1178" s="21">
        <f>_xlfn.XLOOKUP(Snitch_Fashion_Sales_cleaned!$D1178,Table4[Product_Name],Table4[Product_Key],"not found")</f>
        <v>2</v>
      </c>
      <c r="P1178" s="25">
        <f>_xlfn.XLOOKUP(Snitch_Fashion_Sales_cleaned!$I1178,Table3[Order_Date],Table3[Date_Key])</f>
        <v>44</v>
      </c>
    </row>
    <row r="1179" spans="1:16" x14ac:dyDescent="0.3">
      <c r="A1179" s="34">
        <v>2177</v>
      </c>
      <c r="B1179" s="32" t="s">
        <v>1215</v>
      </c>
      <c r="C1179" s="32" t="s">
        <v>25</v>
      </c>
      <c r="D1179" s="33" t="s">
        <v>82</v>
      </c>
      <c r="E1179" s="34">
        <v>3</v>
      </c>
      <c r="F1179" s="35">
        <v>2385.5749999999998</v>
      </c>
      <c r="G1179" s="36">
        <v>0.51</v>
      </c>
      <c r="H1179" s="35">
        <f t="shared" si="38"/>
        <v>7156.7249999999995</v>
      </c>
      <c r="I1179" s="37">
        <v>45672</v>
      </c>
      <c r="J1179" s="33" t="s">
        <v>18</v>
      </c>
      <c r="K1179" s="33" t="s">
        <v>23</v>
      </c>
      <c r="L1179" s="38">
        <f t="shared" si="39"/>
        <v>3506.7952499999997</v>
      </c>
      <c r="M1179" s="38">
        <v>-723.01</v>
      </c>
      <c r="N1179" s="24">
        <f>_xlfn.XLOOKUP(Snitch_Fashion_Sales_cleaned!$J1179,Table2[City],Table2[City_Key],"not found")</f>
        <v>2</v>
      </c>
      <c r="O1179" s="23">
        <f>_xlfn.XLOOKUP(Snitch_Fashion_Sales_cleaned!$D1179,Table4[Product_Name],Table4[Product_Key],"not found")</f>
        <v>18</v>
      </c>
      <c r="P1179" s="32">
        <f>_xlfn.XLOOKUP(Snitch_Fashion_Sales_cleaned!$I1179,Table3[Order_Date],Table3[Date_Key])</f>
        <v>48</v>
      </c>
    </row>
    <row r="1180" spans="1:16" x14ac:dyDescent="0.3">
      <c r="A1180" s="27">
        <v>2178</v>
      </c>
      <c r="B1180" s="25" t="s">
        <v>1216</v>
      </c>
      <c r="C1180" s="25" t="s">
        <v>25</v>
      </c>
      <c r="D1180" s="26" t="s">
        <v>50</v>
      </c>
      <c r="E1180" s="27">
        <v>4</v>
      </c>
      <c r="F1180" s="28">
        <v>2666.2200000000003</v>
      </c>
      <c r="G1180" s="29">
        <v>0.89</v>
      </c>
      <c r="H1180" s="28">
        <f t="shared" si="38"/>
        <v>10664.880000000001</v>
      </c>
      <c r="I1180" s="30">
        <v>45647</v>
      </c>
      <c r="J1180" s="26" t="s">
        <v>2540</v>
      </c>
      <c r="K1180" s="26" t="s">
        <v>16</v>
      </c>
      <c r="L1180" s="31">
        <f t="shared" si="39"/>
        <v>1173.1368</v>
      </c>
      <c r="M1180" s="31">
        <v>293.2842</v>
      </c>
      <c r="N1180" s="22">
        <f>_xlfn.XLOOKUP(Snitch_Fashion_Sales_cleaned!$J1180,Table2[City],Table2[City_Key],"not found")</f>
        <v>4</v>
      </c>
      <c r="O1180" s="21">
        <f>_xlfn.XLOOKUP(Snitch_Fashion_Sales_cleaned!$D1180,Table4[Product_Name],Table4[Product_Key],"not found")</f>
        <v>11</v>
      </c>
      <c r="P1180" s="25">
        <f>_xlfn.XLOOKUP(Snitch_Fashion_Sales_cleaned!$I1180,Table3[Order_Date],Table3[Date_Key])</f>
        <v>5</v>
      </c>
    </row>
    <row r="1181" spans="1:16" x14ac:dyDescent="0.3">
      <c r="A1181" s="34">
        <v>2179</v>
      </c>
      <c r="B1181" s="32" t="s">
        <v>1217</v>
      </c>
      <c r="C1181" s="32" t="s">
        <v>28</v>
      </c>
      <c r="D1181" s="33" t="s">
        <v>29</v>
      </c>
      <c r="E1181" s="34">
        <v>3</v>
      </c>
      <c r="F1181" s="35">
        <v>466.37</v>
      </c>
      <c r="G1181" s="36">
        <v>0.51</v>
      </c>
      <c r="H1181" s="35">
        <f t="shared" si="38"/>
        <v>1399.1100000000001</v>
      </c>
      <c r="I1181" s="37">
        <v>45647</v>
      </c>
      <c r="J1181" s="33" t="s">
        <v>52</v>
      </c>
      <c r="K1181" s="33" t="s">
        <v>23</v>
      </c>
      <c r="L1181" s="38">
        <f t="shared" si="39"/>
        <v>685.5639000000001</v>
      </c>
      <c r="M1181" s="38">
        <v>171.39097500000003</v>
      </c>
      <c r="N1181" s="24">
        <f>_xlfn.XLOOKUP(Snitch_Fashion_Sales_cleaned!$J1181,Table2[City],Table2[City_Key],"not found")</f>
        <v>5</v>
      </c>
      <c r="O1181" s="23">
        <f>_xlfn.XLOOKUP(Snitch_Fashion_Sales_cleaned!$D1181,Table4[Product_Name],Table4[Product_Key],"not found")</f>
        <v>4</v>
      </c>
      <c r="P1181" s="32">
        <f>_xlfn.XLOOKUP(Snitch_Fashion_Sales_cleaned!$I1181,Table3[Order_Date],Table3[Date_Key])</f>
        <v>5</v>
      </c>
    </row>
    <row r="1182" spans="1:16" x14ac:dyDescent="0.3">
      <c r="A1182" s="27">
        <v>2180</v>
      </c>
      <c r="B1182" s="25" t="s">
        <v>1218</v>
      </c>
      <c r="C1182" s="25" t="s">
        <v>25</v>
      </c>
      <c r="D1182" s="26" t="s">
        <v>26</v>
      </c>
      <c r="E1182" s="27">
        <v>6</v>
      </c>
      <c r="F1182" s="28">
        <v>2933.45</v>
      </c>
      <c r="G1182" s="29">
        <v>0.51</v>
      </c>
      <c r="H1182" s="28">
        <f t="shared" si="38"/>
        <v>17600.699999999997</v>
      </c>
      <c r="I1182" s="30">
        <v>45694</v>
      </c>
      <c r="J1182" s="26" t="s">
        <v>15</v>
      </c>
      <c r="K1182" s="26" t="s">
        <v>23</v>
      </c>
      <c r="L1182" s="31">
        <f t="shared" si="39"/>
        <v>8624.3429999999989</v>
      </c>
      <c r="M1182" s="31">
        <v>28.77</v>
      </c>
      <c r="N1182" s="22">
        <f>_xlfn.XLOOKUP(Snitch_Fashion_Sales_cleaned!$J1182,Table2[City],Table2[City_Key],"not found")</f>
        <v>1</v>
      </c>
      <c r="O1182" s="21">
        <f>_xlfn.XLOOKUP(Snitch_Fashion_Sales_cleaned!$D1182,Table4[Product_Name],Table4[Product_Key],"not found")</f>
        <v>3</v>
      </c>
      <c r="P1182" s="25">
        <f>_xlfn.XLOOKUP(Snitch_Fashion_Sales_cleaned!$I1182,Table3[Order_Date],Table3[Date_Key])</f>
        <v>175</v>
      </c>
    </row>
    <row r="1183" spans="1:16" x14ac:dyDescent="0.3">
      <c r="A1183" s="34">
        <v>2181</v>
      </c>
      <c r="B1183" s="32" t="s">
        <v>1219</v>
      </c>
      <c r="C1183" s="32" t="s">
        <v>31</v>
      </c>
      <c r="D1183" s="33" t="s">
        <v>78</v>
      </c>
      <c r="E1183" s="34">
        <v>4</v>
      </c>
      <c r="F1183" s="35">
        <v>2599.75</v>
      </c>
      <c r="G1183" s="36">
        <v>0.51</v>
      </c>
      <c r="H1183" s="35">
        <f t="shared" si="38"/>
        <v>10399</v>
      </c>
      <c r="I1183" s="37">
        <v>45679</v>
      </c>
      <c r="J1183" s="33" t="s">
        <v>22</v>
      </c>
      <c r="K1183" s="33" t="s">
        <v>23</v>
      </c>
      <c r="L1183" s="38">
        <f t="shared" si="39"/>
        <v>5095.51</v>
      </c>
      <c r="M1183" s="38">
        <v>-24.93</v>
      </c>
      <c r="N1183" s="24">
        <f>_xlfn.XLOOKUP(Snitch_Fashion_Sales_cleaned!$J1183,Table2[City],Table2[City_Key],"not found")</f>
        <v>3</v>
      </c>
      <c r="O1183" s="23">
        <f>_xlfn.XLOOKUP(Snitch_Fashion_Sales_cleaned!$D1183,Table4[Product_Name],Table4[Product_Key],"not found")</f>
        <v>17</v>
      </c>
      <c r="P1183" s="32">
        <f>_xlfn.XLOOKUP(Snitch_Fashion_Sales_cleaned!$I1183,Table3[Order_Date],Table3[Date_Key])</f>
        <v>217</v>
      </c>
    </row>
    <row r="1184" spans="1:16" x14ac:dyDescent="0.3">
      <c r="A1184" s="27">
        <v>2182</v>
      </c>
      <c r="B1184" s="25" t="s">
        <v>1220</v>
      </c>
      <c r="C1184" s="25" t="s">
        <v>28</v>
      </c>
      <c r="D1184" s="26" t="s">
        <v>137</v>
      </c>
      <c r="E1184" s="27">
        <v>2</v>
      </c>
      <c r="F1184" s="28">
        <v>2338.04</v>
      </c>
      <c r="G1184" s="29">
        <v>0.53</v>
      </c>
      <c r="H1184" s="28">
        <f t="shared" si="38"/>
        <v>4676.08</v>
      </c>
      <c r="I1184" s="30">
        <v>45831</v>
      </c>
      <c r="J1184" s="26" t="s">
        <v>52</v>
      </c>
      <c r="K1184" s="26" t="s">
        <v>23</v>
      </c>
      <c r="L1184" s="31">
        <f t="shared" si="39"/>
        <v>2197.7575999999999</v>
      </c>
      <c r="M1184" s="31">
        <v>2192.44</v>
      </c>
      <c r="N1184" s="22">
        <f>_xlfn.XLOOKUP(Snitch_Fashion_Sales_cleaned!$J1184,Table2[City],Table2[City_Key],"not found")</f>
        <v>5</v>
      </c>
      <c r="O1184" s="21">
        <f>_xlfn.XLOOKUP(Snitch_Fashion_Sales_cleaned!$D1184,Table4[Product_Name],Table4[Product_Key],"not found")</f>
        <v>24</v>
      </c>
      <c r="P1184" s="25">
        <f>_xlfn.XLOOKUP(Snitch_Fashion_Sales_cleaned!$I1184,Table3[Order_Date],Table3[Date_Key])</f>
        <v>281</v>
      </c>
    </row>
    <row r="1185" spans="1:16" x14ac:dyDescent="0.3">
      <c r="A1185" s="34">
        <v>2183</v>
      </c>
      <c r="B1185" s="32" t="s">
        <v>1221</v>
      </c>
      <c r="C1185" s="32" t="s">
        <v>13</v>
      </c>
      <c r="D1185" s="33" t="s">
        <v>34</v>
      </c>
      <c r="E1185" s="34">
        <v>3</v>
      </c>
      <c r="F1185" s="35">
        <v>1332.39</v>
      </c>
      <c r="G1185" s="36">
        <v>0.51</v>
      </c>
      <c r="H1185" s="35">
        <f t="shared" si="38"/>
        <v>3997.17</v>
      </c>
      <c r="I1185" s="37">
        <v>45433</v>
      </c>
      <c r="J1185" s="33" t="s">
        <v>2540</v>
      </c>
      <c r="K1185" s="33" t="s">
        <v>23</v>
      </c>
      <c r="L1185" s="38">
        <f t="shared" si="39"/>
        <v>1958.6133</v>
      </c>
      <c r="M1185" s="38">
        <v>707.79</v>
      </c>
      <c r="N1185" s="24">
        <f>_xlfn.XLOOKUP(Snitch_Fashion_Sales_cleaned!$J1185,Table2[City],Table2[City_Key],"not found")</f>
        <v>4</v>
      </c>
      <c r="O1185" s="23">
        <f>_xlfn.XLOOKUP(Snitch_Fashion_Sales_cleaned!$D1185,Table4[Product_Name],Table4[Product_Key],"not found")</f>
        <v>6</v>
      </c>
      <c r="P1185" s="32">
        <f>_xlfn.XLOOKUP(Snitch_Fashion_Sales_cleaned!$I1185,Table3[Order_Date],Table3[Date_Key])</f>
        <v>128</v>
      </c>
    </row>
    <row r="1186" spans="1:16" x14ac:dyDescent="0.3">
      <c r="A1186" s="27">
        <v>2184</v>
      </c>
      <c r="B1186" s="25" t="s">
        <v>1222</v>
      </c>
      <c r="C1186" s="25" t="s">
        <v>25</v>
      </c>
      <c r="D1186" s="26" t="s">
        <v>50</v>
      </c>
      <c r="E1186" s="27">
        <v>4</v>
      </c>
      <c r="F1186" s="28">
        <v>1001.57</v>
      </c>
      <c r="G1186" s="29">
        <v>0.51</v>
      </c>
      <c r="H1186" s="28">
        <f t="shared" si="38"/>
        <v>4006.28</v>
      </c>
      <c r="I1186" s="30">
        <v>45846</v>
      </c>
      <c r="J1186" s="26" t="s">
        <v>52</v>
      </c>
      <c r="K1186" s="26" t="s">
        <v>16</v>
      </c>
      <c r="L1186" s="31">
        <f t="shared" si="39"/>
        <v>1963.0772000000002</v>
      </c>
      <c r="M1186" s="31">
        <v>490.76930000000004</v>
      </c>
      <c r="N1186" s="22">
        <f>_xlfn.XLOOKUP(Snitch_Fashion_Sales_cleaned!$J1186,Table2[City],Table2[City_Key],"not found")</f>
        <v>5</v>
      </c>
      <c r="O1186" s="21">
        <f>_xlfn.XLOOKUP(Snitch_Fashion_Sales_cleaned!$D1186,Table4[Product_Name],Table4[Product_Key],"not found")</f>
        <v>11</v>
      </c>
      <c r="P1186" s="25">
        <f>_xlfn.XLOOKUP(Snitch_Fashion_Sales_cleaned!$I1186,Table3[Order_Date],Table3[Date_Key])</f>
        <v>35</v>
      </c>
    </row>
    <row r="1187" spans="1:16" x14ac:dyDescent="0.3">
      <c r="A1187" s="34">
        <v>2185</v>
      </c>
      <c r="B1187" s="32" t="s">
        <v>1223</v>
      </c>
      <c r="C1187" s="32" t="s">
        <v>20</v>
      </c>
      <c r="D1187" s="33" t="s">
        <v>84</v>
      </c>
      <c r="E1187" s="34">
        <v>3</v>
      </c>
      <c r="F1187" s="35">
        <v>2537.59</v>
      </c>
      <c r="G1187" s="36">
        <v>0.14000000000000001</v>
      </c>
      <c r="H1187" s="35">
        <f t="shared" si="38"/>
        <v>7612.77</v>
      </c>
      <c r="I1187" s="37">
        <v>45647</v>
      </c>
      <c r="J1187" s="33" t="s">
        <v>43</v>
      </c>
      <c r="K1187" s="33" t="s">
        <v>23</v>
      </c>
      <c r="L1187" s="38">
        <f t="shared" si="39"/>
        <v>6546.9822000000004</v>
      </c>
      <c r="M1187" s="38">
        <v>-810.97</v>
      </c>
      <c r="N1187" s="24">
        <f>_xlfn.XLOOKUP(Snitch_Fashion_Sales_cleaned!$J1187,Table2[City],Table2[City_Key],"not found")</f>
        <v>6</v>
      </c>
      <c r="O1187" s="23">
        <f>_xlfn.XLOOKUP(Snitch_Fashion_Sales_cleaned!$D1187,Table4[Product_Name],Table4[Product_Key],"not found")</f>
        <v>19</v>
      </c>
      <c r="P1187" s="32">
        <f>_xlfn.XLOOKUP(Snitch_Fashion_Sales_cleaned!$I1187,Table3[Order_Date],Table3[Date_Key])</f>
        <v>5</v>
      </c>
    </row>
    <row r="1188" spans="1:16" x14ac:dyDescent="0.3">
      <c r="A1188" s="27">
        <v>2186</v>
      </c>
      <c r="B1188" s="25" t="s">
        <v>1224</v>
      </c>
      <c r="C1188" s="25" t="s">
        <v>28</v>
      </c>
      <c r="D1188" s="26" t="s">
        <v>29</v>
      </c>
      <c r="E1188" s="27">
        <v>3</v>
      </c>
      <c r="F1188" s="28">
        <v>2036.71</v>
      </c>
      <c r="G1188" s="29">
        <v>0.51</v>
      </c>
      <c r="H1188" s="28">
        <f t="shared" si="38"/>
        <v>6110.13</v>
      </c>
      <c r="I1188" s="30">
        <v>45647</v>
      </c>
      <c r="J1188" s="26" t="s">
        <v>15</v>
      </c>
      <c r="K1188" s="26" t="s">
        <v>23</v>
      </c>
      <c r="L1188" s="31">
        <f t="shared" si="39"/>
        <v>2993.9636999999998</v>
      </c>
      <c r="M1188" s="31">
        <v>1586.84</v>
      </c>
      <c r="N1188" s="22">
        <f>_xlfn.XLOOKUP(Snitch_Fashion_Sales_cleaned!$J1188,Table2[City],Table2[City_Key],"not found")</f>
        <v>1</v>
      </c>
      <c r="O1188" s="21">
        <f>_xlfn.XLOOKUP(Snitch_Fashion_Sales_cleaned!$D1188,Table4[Product_Name],Table4[Product_Key],"not found")</f>
        <v>4</v>
      </c>
      <c r="P1188" s="25">
        <f>_xlfn.XLOOKUP(Snitch_Fashion_Sales_cleaned!$I1188,Table3[Order_Date],Table3[Date_Key])</f>
        <v>5</v>
      </c>
    </row>
    <row r="1189" spans="1:16" x14ac:dyDescent="0.3">
      <c r="A1189" s="34">
        <v>2187</v>
      </c>
      <c r="B1189" s="32" t="s">
        <v>1225</v>
      </c>
      <c r="C1189" s="32" t="s">
        <v>28</v>
      </c>
      <c r="D1189" s="33" t="s">
        <v>116</v>
      </c>
      <c r="E1189" s="34">
        <v>4</v>
      </c>
      <c r="F1189" s="35">
        <v>2709.1</v>
      </c>
      <c r="G1189" s="36">
        <v>0.82</v>
      </c>
      <c r="H1189" s="35">
        <f t="shared" si="38"/>
        <v>10836.4</v>
      </c>
      <c r="I1189" s="37">
        <v>45733</v>
      </c>
      <c r="J1189" s="33" t="s">
        <v>15</v>
      </c>
      <c r="K1189" s="33" t="s">
        <v>23</v>
      </c>
      <c r="L1189" s="38">
        <f t="shared" si="39"/>
        <v>1950.5520000000004</v>
      </c>
      <c r="M1189" s="38">
        <v>1386.25</v>
      </c>
      <c r="N1189" s="24">
        <f>_xlfn.XLOOKUP(Snitch_Fashion_Sales_cleaned!$J1189,Table2[City],Table2[City_Key],"not found")</f>
        <v>1</v>
      </c>
      <c r="O1189" s="23">
        <f>_xlfn.XLOOKUP(Snitch_Fashion_Sales_cleaned!$D1189,Table4[Product_Name],Table4[Product_Key],"not found")</f>
        <v>22</v>
      </c>
      <c r="P1189" s="32">
        <f>_xlfn.XLOOKUP(Snitch_Fashion_Sales_cleaned!$I1189,Table3[Order_Date],Table3[Date_Key])</f>
        <v>436</v>
      </c>
    </row>
    <row r="1190" spans="1:16" x14ac:dyDescent="0.3">
      <c r="A1190" s="27">
        <v>2188</v>
      </c>
      <c r="B1190" s="25" t="s">
        <v>1226</v>
      </c>
      <c r="C1190" s="25" t="s">
        <v>31</v>
      </c>
      <c r="D1190" s="26" t="s">
        <v>41</v>
      </c>
      <c r="E1190" s="27">
        <v>3</v>
      </c>
      <c r="F1190" s="28">
        <v>3027.66</v>
      </c>
      <c r="G1190" s="29">
        <v>0.51</v>
      </c>
      <c r="H1190" s="28">
        <f t="shared" si="38"/>
        <v>9082.98</v>
      </c>
      <c r="I1190" s="30">
        <v>45827</v>
      </c>
      <c r="J1190" s="26" t="s">
        <v>18</v>
      </c>
      <c r="K1190" s="26" t="s">
        <v>23</v>
      </c>
      <c r="L1190" s="31">
        <f t="shared" si="39"/>
        <v>4450.6601999999993</v>
      </c>
      <c r="M1190" s="31">
        <v>1971.23</v>
      </c>
      <c r="N1190" s="22">
        <f>_xlfn.XLOOKUP(Snitch_Fashion_Sales_cleaned!$J1190,Table2[City],Table2[City_Key],"not found")</f>
        <v>2</v>
      </c>
      <c r="O1190" s="21">
        <f>_xlfn.XLOOKUP(Snitch_Fashion_Sales_cleaned!$D1190,Table4[Product_Name],Table4[Product_Key],"not found")</f>
        <v>9</v>
      </c>
      <c r="P1190" s="25">
        <f>_xlfn.XLOOKUP(Snitch_Fashion_Sales_cleaned!$I1190,Table3[Order_Date],Table3[Date_Key])</f>
        <v>247</v>
      </c>
    </row>
    <row r="1191" spans="1:16" x14ac:dyDescent="0.3">
      <c r="A1191" s="34">
        <v>2189</v>
      </c>
      <c r="B1191" s="32" t="s">
        <v>1227</v>
      </c>
      <c r="C1191" s="32" t="s">
        <v>20</v>
      </c>
      <c r="D1191" s="33" t="s">
        <v>84</v>
      </c>
      <c r="E1191" s="34">
        <v>3</v>
      </c>
      <c r="F1191" s="35">
        <v>968.53</v>
      </c>
      <c r="G1191" s="36">
        <v>0.3</v>
      </c>
      <c r="H1191" s="35">
        <f t="shared" si="38"/>
        <v>2905.59</v>
      </c>
      <c r="I1191" s="37">
        <v>45820</v>
      </c>
      <c r="J1191" s="33" t="s">
        <v>15</v>
      </c>
      <c r="K1191" s="33" t="s">
        <v>16</v>
      </c>
      <c r="L1191" s="38">
        <f t="shared" si="39"/>
        <v>2033.913</v>
      </c>
      <c r="M1191" s="38">
        <v>-39.14</v>
      </c>
      <c r="N1191" s="24">
        <f>_xlfn.XLOOKUP(Snitch_Fashion_Sales_cleaned!$J1191,Table2[City],Table2[City_Key],"not found")</f>
        <v>1</v>
      </c>
      <c r="O1191" s="23">
        <f>_xlfn.XLOOKUP(Snitch_Fashion_Sales_cleaned!$D1191,Table4[Product_Name],Table4[Product_Key],"not found")</f>
        <v>19</v>
      </c>
      <c r="P1191" s="32">
        <f>_xlfn.XLOOKUP(Snitch_Fashion_Sales_cleaned!$I1191,Table3[Order_Date],Table3[Date_Key])</f>
        <v>33</v>
      </c>
    </row>
    <row r="1192" spans="1:16" x14ac:dyDescent="0.3">
      <c r="A1192" s="27">
        <v>2190</v>
      </c>
      <c r="B1192" s="25" t="s">
        <v>1228</v>
      </c>
      <c r="C1192" s="25" t="s">
        <v>13</v>
      </c>
      <c r="D1192" s="26" t="s">
        <v>34</v>
      </c>
      <c r="E1192" s="27">
        <v>3</v>
      </c>
      <c r="F1192" s="28">
        <v>3887.5</v>
      </c>
      <c r="G1192" s="29">
        <v>0.51</v>
      </c>
      <c r="H1192" s="28">
        <f t="shared" si="38"/>
        <v>11662.5</v>
      </c>
      <c r="I1192" s="30">
        <v>45633</v>
      </c>
      <c r="J1192" s="26" t="s">
        <v>15</v>
      </c>
      <c r="K1192" s="26" t="s">
        <v>23</v>
      </c>
      <c r="L1192" s="31">
        <f t="shared" si="39"/>
        <v>5714.625</v>
      </c>
      <c r="M1192" s="31">
        <v>1787.25</v>
      </c>
      <c r="N1192" s="22">
        <f>_xlfn.XLOOKUP(Snitch_Fashion_Sales_cleaned!$J1192,Table2[City],Table2[City_Key],"not found")</f>
        <v>1</v>
      </c>
      <c r="O1192" s="21">
        <f>_xlfn.XLOOKUP(Snitch_Fashion_Sales_cleaned!$D1192,Table4[Product_Name],Table4[Product_Key],"not found")</f>
        <v>6</v>
      </c>
      <c r="P1192" s="25">
        <f>_xlfn.XLOOKUP(Snitch_Fashion_Sales_cleaned!$I1192,Table3[Order_Date],Table3[Date_Key])</f>
        <v>211</v>
      </c>
    </row>
    <row r="1193" spans="1:16" x14ac:dyDescent="0.3">
      <c r="A1193" s="34">
        <v>2191</v>
      </c>
      <c r="B1193" s="32" t="s">
        <v>1229</v>
      </c>
      <c r="C1193" s="32" t="s">
        <v>20</v>
      </c>
      <c r="D1193" s="33" t="s">
        <v>118</v>
      </c>
      <c r="E1193" s="34">
        <v>3.5</v>
      </c>
      <c r="F1193" s="35">
        <v>2267.7199999999998</v>
      </c>
      <c r="G1193" s="36">
        <v>0.51</v>
      </c>
      <c r="H1193" s="35">
        <f t="shared" si="38"/>
        <v>7937.0199999999995</v>
      </c>
      <c r="I1193" s="37">
        <v>45659</v>
      </c>
      <c r="J1193" s="33" t="s">
        <v>22</v>
      </c>
      <c r="K1193" s="33" t="s">
        <v>16</v>
      </c>
      <c r="L1193" s="38">
        <f t="shared" si="39"/>
        <v>3889.1397999999999</v>
      </c>
      <c r="M1193" s="38">
        <v>-459.62</v>
      </c>
      <c r="N1193" s="24">
        <f>_xlfn.XLOOKUP(Snitch_Fashion_Sales_cleaned!$J1193,Table2[City],Table2[City_Key],"not found")</f>
        <v>3</v>
      </c>
      <c r="O1193" s="23">
        <f>_xlfn.XLOOKUP(Snitch_Fashion_Sales_cleaned!$D1193,Table4[Product_Name],Table4[Product_Key],"not found")</f>
        <v>23</v>
      </c>
      <c r="P1193" s="32">
        <f>_xlfn.XLOOKUP(Snitch_Fashion_Sales_cleaned!$I1193,Table3[Order_Date],Table3[Date_Key])</f>
        <v>3</v>
      </c>
    </row>
    <row r="1194" spans="1:16" x14ac:dyDescent="0.3">
      <c r="A1194" s="27">
        <v>2192</v>
      </c>
      <c r="B1194" s="25" t="s">
        <v>928</v>
      </c>
      <c r="C1194" s="25" t="s">
        <v>28</v>
      </c>
      <c r="D1194" s="26" t="s">
        <v>29</v>
      </c>
      <c r="E1194" s="27">
        <v>3</v>
      </c>
      <c r="F1194" s="28">
        <v>4218.96</v>
      </c>
      <c r="G1194" s="29">
        <v>0.01</v>
      </c>
      <c r="H1194" s="28">
        <f t="shared" si="38"/>
        <v>12656.880000000001</v>
      </c>
      <c r="I1194" s="30">
        <v>45328</v>
      </c>
      <c r="J1194" s="26" t="s">
        <v>43</v>
      </c>
      <c r="K1194" s="26" t="s">
        <v>23</v>
      </c>
      <c r="L1194" s="31">
        <f t="shared" si="39"/>
        <v>12530.3112</v>
      </c>
      <c r="M1194" s="31">
        <v>1483.9</v>
      </c>
      <c r="N1194" s="22">
        <f>_xlfn.XLOOKUP(Snitch_Fashion_Sales_cleaned!$J1194,Table2[City],Table2[City_Key],"not found")</f>
        <v>6</v>
      </c>
      <c r="O1194" s="21">
        <f>_xlfn.XLOOKUP(Snitch_Fashion_Sales_cleaned!$D1194,Table4[Product_Name],Table4[Product_Key],"not found")</f>
        <v>4</v>
      </c>
      <c r="P1194" s="25">
        <f>_xlfn.XLOOKUP(Snitch_Fashion_Sales_cleaned!$I1194,Table3[Order_Date],Table3[Date_Key])</f>
        <v>437</v>
      </c>
    </row>
    <row r="1195" spans="1:16" x14ac:dyDescent="0.3">
      <c r="A1195" s="34">
        <v>2193</v>
      </c>
      <c r="B1195" s="32" t="s">
        <v>1230</v>
      </c>
      <c r="C1195" s="32" t="s">
        <v>20</v>
      </c>
      <c r="D1195" s="33" t="s">
        <v>118</v>
      </c>
      <c r="E1195" s="34">
        <v>3.5</v>
      </c>
      <c r="F1195" s="35">
        <v>2712.09</v>
      </c>
      <c r="G1195" s="36">
        <v>0.51</v>
      </c>
      <c r="H1195" s="35">
        <f t="shared" si="38"/>
        <v>9492.3150000000005</v>
      </c>
      <c r="I1195" s="37">
        <v>45526</v>
      </c>
      <c r="J1195" s="33" t="s">
        <v>52</v>
      </c>
      <c r="K1195" s="33" t="s">
        <v>16</v>
      </c>
      <c r="L1195" s="38">
        <f t="shared" si="39"/>
        <v>4651.2343499999997</v>
      </c>
      <c r="M1195" s="38">
        <v>2585.79</v>
      </c>
      <c r="N1195" s="24">
        <f>_xlfn.XLOOKUP(Snitch_Fashion_Sales_cleaned!$J1195,Table2[City],Table2[City_Key],"not found")</f>
        <v>5</v>
      </c>
      <c r="O1195" s="23">
        <f>_xlfn.XLOOKUP(Snitch_Fashion_Sales_cleaned!$D1195,Table4[Product_Name],Table4[Product_Key],"not found")</f>
        <v>23</v>
      </c>
      <c r="P1195" s="32">
        <f>_xlfn.XLOOKUP(Snitch_Fashion_Sales_cleaned!$I1195,Table3[Order_Date],Table3[Date_Key])</f>
        <v>10</v>
      </c>
    </row>
    <row r="1196" spans="1:16" x14ac:dyDescent="0.3">
      <c r="A1196" s="27">
        <v>2194</v>
      </c>
      <c r="B1196" s="25" t="s">
        <v>1231</v>
      </c>
      <c r="C1196" s="25" t="s">
        <v>20</v>
      </c>
      <c r="D1196" s="26" t="s">
        <v>118</v>
      </c>
      <c r="E1196" s="27">
        <v>3.5</v>
      </c>
      <c r="F1196" s="28">
        <v>3862.58</v>
      </c>
      <c r="G1196" s="29">
        <v>0.51</v>
      </c>
      <c r="H1196" s="28">
        <f t="shared" si="38"/>
        <v>13519.029999999999</v>
      </c>
      <c r="I1196" s="30">
        <v>45855</v>
      </c>
      <c r="J1196" s="26" t="s">
        <v>18</v>
      </c>
      <c r="K1196" s="26" t="s">
        <v>23</v>
      </c>
      <c r="L1196" s="31">
        <f t="shared" si="39"/>
        <v>6624.3246999999992</v>
      </c>
      <c r="M1196" s="31">
        <v>794.8</v>
      </c>
      <c r="N1196" s="22">
        <f>_xlfn.XLOOKUP(Snitch_Fashion_Sales_cleaned!$J1196,Table2[City],Table2[City_Key],"not found")</f>
        <v>2</v>
      </c>
      <c r="O1196" s="21">
        <f>_xlfn.XLOOKUP(Snitch_Fashion_Sales_cleaned!$D1196,Table4[Product_Name],Table4[Product_Key],"not found")</f>
        <v>23</v>
      </c>
      <c r="P1196" s="25">
        <f>_xlfn.XLOOKUP(Snitch_Fashion_Sales_cleaned!$I1196,Table3[Order_Date],Table3[Date_Key])</f>
        <v>97</v>
      </c>
    </row>
    <row r="1197" spans="1:16" x14ac:dyDescent="0.3">
      <c r="A1197" s="34">
        <v>2195</v>
      </c>
      <c r="B1197" s="32" t="s">
        <v>1232</v>
      </c>
      <c r="C1197" s="32" t="s">
        <v>25</v>
      </c>
      <c r="D1197" s="33" t="s">
        <v>82</v>
      </c>
      <c r="E1197" s="34">
        <v>4</v>
      </c>
      <c r="F1197" s="35">
        <v>3491.26</v>
      </c>
      <c r="G1197" s="36">
        <v>0.51</v>
      </c>
      <c r="H1197" s="35">
        <f t="shared" si="38"/>
        <v>13965.04</v>
      </c>
      <c r="I1197" s="37">
        <v>45647</v>
      </c>
      <c r="J1197" s="33" t="s">
        <v>52</v>
      </c>
      <c r="K1197" s="33" t="s">
        <v>16</v>
      </c>
      <c r="L1197" s="38">
        <f t="shared" si="39"/>
        <v>6842.8696</v>
      </c>
      <c r="M1197" s="38">
        <v>-165.48</v>
      </c>
      <c r="N1197" s="24">
        <f>_xlfn.XLOOKUP(Snitch_Fashion_Sales_cleaned!$J1197,Table2[City],Table2[City_Key],"not found")</f>
        <v>5</v>
      </c>
      <c r="O1197" s="23">
        <f>_xlfn.XLOOKUP(Snitch_Fashion_Sales_cleaned!$D1197,Table4[Product_Name],Table4[Product_Key],"not found")</f>
        <v>18</v>
      </c>
      <c r="P1197" s="32">
        <f>_xlfn.XLOOKUP(Snitch_Fashion_Sales_cleaned!$I1197,Table3[Order_Date],Table3[Date_Key])</f>
        <v>5</v>
      </c>
    </row>
    <row r="1198" spans="1:16" x14ac:dyDescent="0.3">
      <c r="A1198" s="27">
        <v>2196</v>
      </c>
      <c r="B1198" s="25" t="s">
        <v>1233</v>
      </c>
      <c r="C1198" s="25" t="s">
        <v>36</v>
      </c>
      <c r="D1198" s="26" t="s">
        <v>37</v>
      </c>
      <c r="E1198" s="27">
        <v>4</v>
      </c>
      <c r="F1198" s="28">
        <v>3655.37</v>
      </c>
      <c r="G1198" s="29">
        <v>0.51</v>
      </c>
      <c r="H1198" s="28">
        <f t="shared" si="38"/>
        <v>14621.48</v>
      </c>
      <c r="I1198" s="30">
        <v>45413</v>
      </c>
      <c r="J1198" s="26" t="s">
        <v>52</v>
      </c>
      <c r="K1198" s="26" t="s">
        <v>16</v>
      </c>
      <c r="L1198" s="31">
        <f t="shared" si="39"/>
        <v>7164.5252</v>
      </c>
      <c r="M1198" s="31">
        <v>-844.23</v>
      </c>
      <c r="N1198" s="22">
        <f>_xlfn.XLOOKUP(Snitch_Fashion_Sales_cleaned!$J1198,Table2[City],Table2[City_Key],"not found")</f>
        <v>5</v>
      </c>
      <c r="O1198" s="21">
        <f>_xlfn.XLOOKUP(Snitch_Fashion_Sales_cleaned!$D1198,Table4[Product_Name],Table4[Product_Key],"not found")</f>
        <v>7</v>
      </c>
      <c r="P1198" s="25">
        <f>_xlfn.XLOOKUP(Snitch_Fashion_Sales_cleaned!$I1198,Table3[Order_Date],Table3[Date_Key])</f>
        <v>398</v>
      </c>
    </row>
    <row r="1199" spans="1:16" x14ac:dyDescent="0.3">
      <c r="A1199" s="34">
        <v>2197</v>
      </c>
      <c r="B1199" s="32" t="s">
        <v>1234</v>
      </c>
      <c r="C1199" s="32" t="s">
        <v>36</v>
      </c>
      <c r="D1199" s="33" t="s">
        <v>87</v>
      </c>
      <c r="E1199" s="34">
        <v>4</v>
      </c>
      <c r="F1199" s="35">
        <v>2889.5349999999999</v>
      </c>
      <c r="G1199" s="36">
        <v>0.51</v>
      </c>
      <c r="H1199" s="35">
        <f t="shared" si="38"/>
        <v>11558.14</v>
      </c>
      <c r="I1199" s="37">
        <v>45598</v>
      </c>
      <c r="J1199" s="33" t="s">
        <v>18</v>
      </c>
      <c r="K1199" s="33" t="s">
        <v>16</v>
      </c>
      <c r="L1199" s="38">
        <f t="shared" si="39"/>
        <v>5663.4885999999997</v>
      </c>
      <c r="M1199" s="38">
        <v>24.78</v>
      </c>
      <c r="N1199" s="24">
        <f>_xlfn.XLOOKUP(Snitch_Fashion_Sales_cleaned!$J1199,Table2[City],Table2[City_Key],"not found")</f>
        <v>2</v>
      </c>
      <c r="O1199" s="23">
        <f>_xlfn.XLOOKUP(Snitch_Fashion_Sales_cleaned!$D1199,Table4[Product_Name],Table4[Product_Key],"not found")</f>
        <v>20</v>
      </c>
      <c r="P1199" s="32">
        <f>_xlfn.XLOOKUP(Snitch_Fashion_Sales_cleaned!$I1199,Table3[Order_Date],Table3[Date_Key])</f>
        <v>158</v>
      </c>
    </row>
    <row r="1200" spans="1:16" x14ac:dyDescent="0.3">
      <c r="A1200" s="27">
        <v>1004</v>
      </c>
      <c r="B1200" s="25" t="s">
        <v>1235</v>
      </c>
      <c r="C1200" s="25" t="s">
        <v>25</v>
      </c>
      <c r="D1200" s="26" t="s">
        <v>26</v>
      </c>
      <c r="E1200" s="27">
        <v>4</v>
      </c>
      <c r="F1200" s="28">
        <v>2933.45</v>
      </c>
      <c r="G1200" s="29">
        <v>0.64</v>
      </c>
      <c r="H1200" s="28">
        <f t="shared" si="38"/>
        <v>11733.8</v>
      </c>
      <c r="I1200" s="30">
        <v>45658</v>
      </c>
      <c r="J1200" s="26" t="s">
        <v>43</v>
      </c>
      <c r="K1200" s="26" t="s">
        <v>23</v>
      </c>
      <c r="L1200" s="31">
        <f t="shared" si="39"/>
        <v>4224.1679999999997</v>
      </c>
      <c r="M1200" s="31">
        <v>968.3</v>
      </c>
      <c r="N1200" s="22">
        <f>_xlfn.XLOOKUP(Snitch_Fashion_Sales_cleaned!$J1200,Table2[City],Table2[City_Key],"not found")</f>
        <v>6</v>
      </c>
      <c r="O1200" s="21">
        <f>_xlfn.XLOOKUP(Snitch_Fashion_Sales_cleaned!$D1200,Table4[Product_Name],Table4[Product_Key],"not found")</f>
        <v>3</v>
      </c>
      <c r="P1200" s="25">
        <f>_xlfn.XLOOKUP(Snitch_Fashion_Sales_cleaned!$I1200,Table3[Order_Date],Table3[Date_Key])</f>
        <v>352</v>
      </c>
    </row>
    <row r="1201" spans="1:16" x14ac:dyDescent="0.3">
      <c r="A1201" s="34">
        <v>2199</v>
      </c>
      <c r="B1201" s="32" t="s">
        <v>1236</v>
      </c>
      <c r="C1201" s="32" t="s">
        <v>31</v>
      </c>
      <c r="D1201" s="33" t="s">
        <v>32</v>
      </c>
      <c r="E1201" s="34">
        <v>6</v>
      </c>
      <c r="F1201" s="35">
        <v>2001.5500000000002</v>
      </c>
      <c r="G1201" s="36">
        <v>0.51</v>
      </c>
      <c r="H1201" s="35">
        <f t="shared" si="38"/>
        <v>12009.300000000001</v>
      </c>
      <c r="I1201" s="37">
        <v>45815</v>
      </c>
      <c r="J1201" s="33" t="s">
        <v>52</v>
      </c>
      <c r="K1201" s="33" t="s">
        <v>23</v>
      </c>
      <c r="L1201" s="38">
        <f t="shared" si="39"/>
        <v>5884.5570000000007</v>
      </c>
      <c r="M1201" s="38">
        <v>595.51</v>
      </c>
      <c r="N1201" s="24">
        <f>_xlfn.XLOOKUP(Snitch_Fashion_Sales_cleaned!$J1201,Table2[City],Table2[City_Key],"not found")</f>
        <v>5</v>
      </c>
      <c r="O1201" s="23">
        <f>_xlfn.XLOOKUP(Snitch_Fashion_Sales_cleaned!$D1201,Table4[Product_Name],Table4[Product_Key],"not found")</f>
        <v>5</v>
      </c>
      <c r="P1201" s="32">
        <f>_xlfn.XLOOKUP(Snitch_Fashion_Sales_cleaned!$I1201,Table3[Order_Date],Table3[Date_Key])</f>
        <v>438</v>
      </c>
    </row>
    <row r="1202" spans="1:16" x14ac:dyDescent="0.3">
      <c r="A1202" s="27">
        <v>2200</v>
      </c>
      <c r="B1202" s="25" t="s">
        <v>1237</v>
      </c>
      <c r="C1202" s="25" t="s">
        <v>31</v>
      </c>
      <c r="D1202" s="26" t="s">
        <v>41</v>
      </c>
      <c r="E1202" s="27">
        <v>3</v>
      </c>
      <c r="F1202" s="28">
        <v>1346.11</v>
      </c>
      <c r="G1202" s="29">
        <v>0.72</v>
      </c>
      <c r="H1202" s="28">
        <f t="shared" si="38"/>
        <v>4038.33</v>
      </c>
      <c r="I1202" s="30">
        <v>45647</v>
      </c>
      <c r="J1202" s="26" t="s">
        <v>22</v>
      </c>
      <c r="K1202" s="26" t="s">
        <v>23</v>
      </c>
      <c r="L1202" s="31">
        <f t="shared" si="39"/>
        <v>1130.7324000000001</v>
      </c>
      <c r="M1202" s="31">
        <v>-763.62</v>
      </c>
      <c r="N1202" s="22">
        <f>_xlfn.XLOOKUP(Snitch_Fashion_Sales_cleaned!$J1202,Table2[City],Table2[City_Key],"not found")</f>
        <v>3</v>
      </c>
      <c r="O1202" s="21">
        <f>_xlfn.XLOOKUP(Snitch_Fashion_Sales_cleaned!$D1202,Table4[Product_Name],Table4[Product_Key],"not found")</f>
        <v>9</v>
      </c>
      <c r="P1202" s="25">
        <f>_xlfn.XLOOKUP(Snitch_Fashion_Sales_cleaned!$I1202,Table3[Order_Date],Table3[Date_Key])</f>
        <v>5</v>
      </c>
    </row>
    <row r="1203" spans="1:16" x14ac:dyDescent="0.3">
      <c r="A1203" s="34">
        <v>2201</v>
      </c>
      <c r="B1203" s="32" t="s">
        <v>1238</v>
      </c>
      <c r="C1203" s="32" t="s">
        <v>36</v>
      </c>
      <c r="D1203" s="33" t="s">
        <v>59</v>
      </c>
      <c r="E1203" s="34">
        <v>3</v>
      </c>
      <c r="F1203" s="35">
        <v>2765.26</v>
      </c>
      <c r="G1203" s="36">
        <v>0.51</v>
      </c>
      <c r="H1203" s="35">
        <f t="shared" si="38"/>
        <v>8295.7800000000007</v>
      </c>
      <c r="I1203" s="37">
        <v>45647</v>
      </c>
      <c r="J1203" s="33" t="s">
        <v>2540</v>
      </c>
      <c r="K1203" s="33" t="s">
        <v>23</v>
      </c>
      <c r="L1203" s="38">
        <f t="shared" si="39"/>
        <v>4064.9322000000002</v>
      </c>
      <c r="M1203" s="38">
        <v>1897.16</v>
      </c>
      <c r="N1203" s="24">
        <f>_xlfn.XLOOKUP(Snitch_Fashion_Sales_cleaned!$J1203,Table2[City],Table2[City_Key],"not found")</f>
        <v>4</v>
      </c>
      <c r="O1203" s="23">
        <f>_xlfn.XLOOKUP(Snitch_Fashion_Sales_cleaned!$D1203,Table4[Product_Name],Table4[Product_Key],"not found")</f>
        <v>13</v>
      </c>
      <c r="P1203" s="32">
        <f>_xlfn.XLOOKUP(Snitch_Fashion_Sales_cleaned!$I1203,Table3[Order_Date],Table3[Date_Key])</f>
        <v>5</v>
      </c>
    </row>
    <row r="1204" spans="1:16" x14ac:dyDescent="0.3">
      <c r="A1204" s="27">
        <v>2202</v>
      </c>
      <c r="B1204" s="25" t="s">
        <v>1239</v>
      </c>
      <c r="C1204" s="25" t="s">
        <v>13</v>
      </c>
      <c r="D1204" s="26" t="s">
        <v>46</v>
      </c>
      <c r="E1204" s="27">
        <v>4</v>
      </c>
      <c r="F1204" s="28">
        <v>2891.64</v>
      </c>
      <c r="G1204" s="29">
        <v>0.92</v>
      </c>
      <c r="H1204" s="28">
        <f t="shared" si="38"/>
        <v>11566.56</v>
      </c>
      <c r="I1204" s="30">
        <v>45314</v>
      </c>
      <c r="J1204" s="26" t="s">
        <v>18</v>
      </c>
      <c r="K1204" s="26" t="s">
        <v>16</v>
      </c>
      <c r="L1204" s="31">
        <f t="shared" si="39"/>
        <v>925.32479999999953</v>
      </c>
      <c r="M1204" s="31">
        <v>231.33119999999988</v>
      </c>
      <c r="N1204" s="22">
        <f>_xlfn.XLOOKUP(Snitch_Fashion_Sales_cleaned!$J1204,Table2[City],Table2[City_Key],"not found")</f>
        <v>2</v>
      </c>
      <c r="O1204" s="21">
        <f>_xlfn.XLOOKUP(Snitch_Fashion_Sales_cleaned!$D1204,Table4[Product_Name],Table4[Product_Key],"not found")</f>
        <v>10</v>
      </c>
      <c r="P1204" s="25">
        <f>_xlfn.XLOOKUP(Snitch_Fashion_Sales_cleaned!$I1204,Table3[Order_Date],Table3[Date_Key])</f>
        <v>439</v>
      </c>
    </row>
    <row r="1205" spans="1:16" x14ac:dyDescent="0.3">
      <c r="A1205" s="34">
        <v>2203</v>
      </c>
      <c r="B1205" s="32" t="s">
        <v>1240</v>
      </c>
      <c r="C1205" s="32" t="s">
        <v>36</v>
      </c>
      <c r="D1205" s="33" t="s">
        <v>55</v>
      </c>
      <c r="E1205" s="34">
        <v>3</v>
      </c>
      <c r="F1205" s="35">
        <v>1611.02</v>
      </c>
      <c r="G1205" s="36">
        <v>0.51</v>
      </c>
      <c r="H1205" s="35">
        <f t="shared" si="38"/>
        <v>4833.0599999999995</v>
      </c>
      <c r="I1205" s="37">
        <v>45843</v>
      </c>
      <c r="J1205" s="33" t="s">
        <v>43</v>
      </c>
      <c r="K1205" s="33" t="s">
        <v>16</v>
      </c>
      <c r="L1205" s="38">
        <f t="shared" si="39"/>
        <v>2368.1993999999995</v>
      </c>
      <c r="M1205" s="38">
        <v>592.04984999999988</v>
      </c>
      <c r="N1205" s="24">
        <f>_xlfn.XLOOKUP(Snitch_Fashion_Sales_cleaned!$J1205,Table2[City],Table2[City_Key],"not found")</f>
        <v>6</v>
      </c>
      <c r="O1205" s="23">
        <f>_xlfn.XLOOKUP(Snitch_Fashion_Sales_cleaned!$D1205,Table4[Product_Name],Table4[Product_Key],"not found")</f>
        <v>12</v>
      </c>
      <c r="P1205" s="32">
        <f>_xlfn.XLOOKUP(Snitch_Fashion_Sales_cleaned!$I1205,Table3[Order_Date],Table3[Date_Key])</f>
        <v>179</v>
      </c>
    </row>
    <row r="1206" spans="1:16" x14ac:dyDescent="0.3">
      <c r="A1206" s="27">
        <v>2204</v>
      </c>
      <c r="B1206" s="25" t="s">
        <v>1241</v>
      </c>
      <c r="C1206" s="25" t="s">
        <v>25</v>
      </c>
      <c r="D1206" s="26" t="s">
        <v>50</v>
      </c>
      <c r="E1206" s="27">
        <v>2</v>
      </c>
      <c r="F1206" s="28">
        <v>2666.2200000000003</v>
      </c>
      <c r="G1206" s="29">
        <v>0.51</v>
      </c>
      <c r="H1206" s="28">
        <f t="shared" si="38"/>
        <v>5332.4400000000005</v>
      </c>
      <c r="I1206" s="30">
        <v>45647</v>
      </c>
      <c r="J1206" s="26" t="s">
        <v>2540</v>
      </c>
      <c r="K1206" s="26" t="s">
        <v>23</v>
      </c>
      <c r="L1206" s="31">
        <f t="shared" si="39"/>
        <v>2612.8956000000003</v>
      </c>
      <c r="M1206" s="31">
        <v>-875.95</v>
      </c>
      <c r="N1206" s="22">
        <f>_xlfn.XLOOKUP(Snitch_Fashion_Sales_cleaned!$J1206,Table2[City],Table2[City_Key],"not found")</f>
        <v>4</v>
      </c>
      <c r="O1206" s="21">
        <f>_xlfn.XLOOKUP(Snitch_Fashion_Sales_cleaned!$D1206,Table4[Product_Name],Table4[Product_Key],"not found")</f>
        <v>11</v>
      </c>
      <c r="P1206" s="25">
        <f>_xlfn.XLOOKUP(Snitch_Fashion_Sales_cleaned!$I1206,Table3[Order_Date],Table3[Date_Key])</f>
        <v>5</v>
      </c>
    </row>
    <row r="1207" spans="1:16" x14ac:dyDescent="0.3">
      <c r="A1207" s="34">
        <v>2205</v>
      </c>
      <c r="B1207" s="32" t="s">
        <v>1242</v>
      </c>
      <c r="C1207" s="32" t="s">
        <v>31</v>
      </c>
      <c r="D1207" s="33" t="s">
        <v>78</v>
      </c>
      <c r="E1207" s="34">
        <v>4</v>
      </c>
      <c r="F1207" s="35">
        <v>2599.75</v>
      </c>
      <c r="G1207" s="36">
        <v>0.14000000000000001</v>
      </c>
      <c r="H1207" s="35">
        <f t="shared" si="38"/>
        <v>10399</v>
      </c>
      <c r="I1207" s="37">
        <v>45270</v>
      </c>
      <c r="J1207" s="33" t="s">
        <v>52</v>
      </c>
      <c r="K1207" s="33" t="s">
        <v>16</v>
      </c>
      <c r="L1207" s="38">
        <f t="shared" si="39"/>
        <v>8943.14</v>
      </c>
      <c r="M1207" s="38">
        <v>-512.13</v>
      </c>
      <c r="N1207" s="24">
        <f>_xlfn.XLOOKUP(Snitch_Fashion_Sales_cleaned!$J1207,Table2[City],Table2[City_Key],"not found")</f>
        <v>5</v>
      </c>
      <c r="O1207" s="23">
        <f>_xlfn.XLOOKUP(Snitch_Fashion_Sales_cleaned!$D1207,Table4[Product_Name],Table4[Product_Key],"not found")</f>
        <v>17</v>
      </c>
      <c r="P1207" s="32">
        <f>_xlfn.XLOOKUP(Snitch_Fashion_Sales_cleaned!$I1207,Table3[Order_Date],Table3[Date_Key])</f>
        <v>440</v>
      </c>
    </row>
    <row r="1208" spans="1:16" x14ac:dyDescent="0.3">
      <c r="A1208" s="27">
        <v>2206</v>
      </c>
      <c r="B1208" s="25" t="s">
        <v>797</v>
      </c>
      <c r="C1208" s="25" t="s">
        <v>28</v>
      </c>
      <c r="D1208" s="26" t="s">
        <v>116</v>
      </c>
      <c r="E1208" s="27">
        <v>4</v>
      </c>
      <c r="F1208" s="28">
        <v>2349.3000000000002</v>
      </c>
      <c r="G1208" s="29">
        <v>0.18</v>
      </c>
      <c r="H1208" s="28">
        <f t="shared" si="38"/>
        <v>9397.2000000000007</v>
      </c>
      <c r="I1208" s="30">
        <v>45705</v>
      </c>
      <c r="J1208" s="26" t="s">
        <v>15</v>
      </c>
      <c r="K1208" s="26" t="s">
        <v>23</v>
      </c>
      <c r="L1208" s="31">
        <f t="shared" si="39"/>
        <v>7705.7040000000015</v>
      </c>
      <c r="M1208" s="31">
        <v>2503.67</v>
      </c>
      <c r="N1208" s="22">
        <f>_xlfn.XLOOKUP(Snitch_Fashion_Sales_cleaned!$J1208,Table2[City],Table2[City_Key],"not found")</f>
        <v>1</v>
      </c>
      <c r="O1208" s="21">
        <f>_xlfn.XLOOKUP(Snitch_Fashion_Sales_cleaned!$D1208,Table4[Product_Name],Table4[Product_Key],"not found")</f>
        <v>22</v>
      </c>
      <c r="P1208" s="25">
        <f>_xlfn.XLOOKUP(Snitch_Fashion_Sales_cleaned!$I1208,Table3[Order_Date],Table3[Date_Key])</f>
        <v>202</v>
      </c>
    </row>
    <row r="1209" spans="1:16" x14ac:dyDescent="0.3">
      <c r="A1209" s="34">
        <v>2207</v>
      </c>
      <c r="B1209" s="32" t="s">
        <v>1243</v>
      </c>
      <c r="C1209" s="32" t="s">
        <v>28</v>
      </c>
      <c r="D1209" s="33" t="s">
        <v>116</v>
      </c>
      <c r="E1209" s="34">
        <v>3</v>
      </c>
      <c r="F1209" s="35">
        <v>2146.0700000000002</v>
      </c>
      <c r="G1209" s="36">
        <v>0.51</v>
      </c>
      <c r="H1209" s="35">
        <f t="shared" si="38"/>
        <v>6438.2100000000009</v>
      </c>
      <c r="I1209" s="37">
        <v>45647</v>
      </c>
      <c r="J1209" s="33" t="s">
        <v>43</v>
      </c>
      <c r="K1209" s="33" t="s">
        <v>16</v>
      </c>
      <c r="L1209" s="38">
        <f t="shared" si="39"/>
        <v>3154.7229000000002</v>
      </c>
      <c r="M1209" s="38">
        <v>199.99</v>
      </c>
      <c r="N1209" s="24">
        <f>_xlfn.XLOOKUP(Snitch_Fashion_Sales_cleaned!$J1209,Table2[City],Table2[City_Key],"not found")</f>
        <v>6</v>
      </c>
      <c r="O1209" s="23">
        <f>_xlfn.XLOOKUP(Snitch_Fashion_Sales_cleaned!$D1209,Table4[Product_Name],Table4[Product_Key],"not found")</f>
        <v>22</v>
      </c>
      <c r="P1209" s="32">
        <f>_xlfn.XLOOKUP(Snitch_Fashion_Sales_cleaned!$I1209,Table3[Order_Date],Table3[Date_Key])</f>
        <v>5</v>
      </c>
    </row>
    <row r="1210" spans="1:16" x14ac:dyDescent="0.3">
      <c r="A1210" s="27">
        <v>2208</v>
      </c>
      <c r="B1210" s="25" t="s">
        <v>1244</v>
      </c>
      <c r="C1210" s="25" t="s">
        <v>28</v>
      </c>
      <c r="D1210" s="26" t="s">
        <v>39</v>
      </c>
      <c r="E1210" s="27">
        <v>3</v>
      </c>
      <c r="F1210" s="28">
        <v>2577.6350000000002</v>
      </c>
      <c r="G1210" s="29">
        <v>0.51</v>
      </c>
      <c r="H1210" s="28">
        <f t="shared" si="38"/>
        <v>7732.9050000000007</v>
      </c>
      <c r="I1210" s="30">
        <v>45703</v>
      </c>
      <c r="J1210" s="26" t="s">
        <v>43</v>
      </c>
      <c r="K1210" s="26" t="s">
        <v>23</v>
      </c>
      <c r="L1210" s="31">
        <f t="shared" si="39"/>
        <v>3789.12345</v>
      </c>
      <c r="M1210" s="31">
        <v>2347.0500000000002</v>
      </c>
      <c r="N1210" s="22">
        <f>_xlfn.XLOOKUP(Snitch_Fashion_Sales_cleaned!$J1210,Table2[City],Table2[City_Key],"not found")</f>
        <v>6</v>
      </c>
      <c r="O1210" s="21">
        <f>_xlfn.XLOOKUP(Snitch_Fashion_Sales_cleaned!$D1210,Table4[Product_Name],Table4[Product_Key],"not found")</f>
        <v>8</v>
      </c>
      <c r="P1210" s="25">
        <f>_xlfn.XLOOKUP(Snitch_Fashion_Sales_cleaned!$I1210,Table3[Order_Date],Table3[Date_Key])</f>
        <v>242</v>
      </c>
    </row>
    <row r="1211" spans="1:16" x14ac:dyDescent="0.3">
      <c r="A1211" s="34">
        <v>2209</v>
      </c>
      <c r="B1211" s="32" t="s">
        <v>1245</v>
      </c>
      <c r="C1211" s="32" t="s">
        <v>31</v>
      </c>
      <c r="D1211" s="33" t="s">
        <v>32</v>
      </c>
      <c r="E1211" s="34">
        <v>4</v>
      </c>
      <c r="F1211" s="35">
        <v>2001.5500000000002</v>
      </c>
      <c r="G1211" s="36">
        <v>0.95</v>
      </c>
      <c r="H1211" s="35">
        <f t="shared" si="38"/>
        <v>8006.2000000000007</v>
      </c>
      <c r="I1211" s="37">
        <v>45647</v>
      </c>
      <c r="J1211" s="33" t="s">
        <v>43</v>
      </c>
      <c r="K1211" s="33" t="s">
        <v>23</v>
      </c>
      <c r="L1211" s="38">
        <f t="shared" si="39"/>
        <v>400.3100000000004</v>
      </c>
      <c r="M1211" s="38">
        <v>100.0775000000001</v>
      </c>
      <c r="N1211" s="24">
        <f>_xlfn.XLOOKUP(Snitch_Fashion_Sales_cleaned!$J1211,Table2[City],Table2[City_Key],"not found")</f>
        <v>6</v>
      </c>
      <c r="O1211" s="23">
        <f>_xlfn.XLOOKUP(Snitch_Fashion_Sales_cleaned!$D1211,Table4[Product_Name],Table4[Product_Key],"not found")</f>
        <v>5</v>
      </c>
      <c r="P1211" s="32">
        <f>_xlfn.XLOOKUP(Snitch_Fashion_Sales_cleaned!$I1211,Table3[Order_Date],Table3[Date_Key])</f>
        <v>5</v>
      </c>
    </row>
    <row r="1212" spans="1:16" x14ac:dyDescent="0.3">
      <c r="A1212" s="27">
        <v>2210</v>
      </c>
      <c r="B1212" s="25" t="s">
        <v>1246</v>
      </c>
      <c r="C1212" s="25" t="s">
        <v>20</v>
      </c>
      <c r="D1212" s="26" t="s">
        <v>76</v>
      </c>
      <c r="E1212" s="27">
        <v>3</v>
      </c>
      <c r="F1212" s="28">
        <v>4368.12</v>
      </c>
      <c r="G1212" s="29">
        <v>0.51</v>
      </c>
      <c r="H1212" s="28">
        <f t="shared" si="38"/>
        <v>13104.36</v>
      </c>
      <c r="I1212" s="30">
        <v>45779</v>
      </c>
      <c r="J1212" s="26" t="s">
        <v>15</v>
      </c>
      <c r="K1212" s="26" t="s">
        <v>16</v>
      </c>
      <c r="L1212" s="31">
        <f t="shared" si="39"/>
        <v>6421.1364000000003</v>
      </c>
      <c r="M1212" s="31">
        <v>2434.6</v>
      </c>
      <c r="N1212" s="22">
        <f>_xlfn.XLOOKUP(Snitch_Fashion_Sales_cleaned!$J1212,Table2[City],Table2[City_Key],"not found")</f>
        <v>1</v>
      </c>
      <c r="O1212" s="21">
        <f>_xlfn.XLOOKUP(Snitch_Fashion_Sales_cleaned!$D1212,Table4[Product_Name],Table4[Product_Key],"not found")</f>
        <v>16</v>
      </c>
      <c r="P1212" s="25">
        <f>_xlfn.XLOOKUP(Snitch_Fashion_Sales_cleaned!$I1212,Table3[Order_Date],Table3[Date_Key])</f>
        <v>74</v>
      </c>
    </row>
    <row r="1213" spans="1:16" x14ac:dyDescent="0.3">
      <c r="A1213" s="34">
        <v>2211</v>
      </c>
      <c r="B1213" s="32" t="s">
        <v>1247</v>
      </c>
      <c r="C1213" s="32" t="s">
        <v>20</v>
      </c>
      <c r="D1213" s="33" t="s">
        <v>84</v>
      </c>
      <c r="E1213" s="34">
        <v>2</v>
      </c>
      <c r="F1213" s="35">
        <v>2537.59</v>
      </c>
      <c r="G1213" s="36">
        <v>0.51</v>
      </c>
      <c r="H1213" s="35">
        <f t="shared" si="38"/>
        <v>5075.18</v>
      </c>
      <c r="I1213" s="37">
        <v>45416</v>
      </c>
      <c r="J1213" s="33" t="s">
        <v>22</v>
      </c>
      <c r="K1213" s="33" t="s">
        <v>23</v>
      </c>
      <c r="L1213" s="38">
        <f t="shared" si="39"/>
        <v>2486.8382000000001</v>
      </c>
      <c r="M1213" s="38">
        <v>902.93</v>
      </c>
      <c r="N1213" s="24">
        <f>_xlfn.XLOOKUP(Snitch_Fashion_Sales_cleaned!$J1213,Table2[City],Table2[City_Key],"not found")</f>
        <v>3</v>
      </c>
      <c r="O1213" s="23">
        <f>_xlfn.XLOOKUP(Snitch_Fashion_Sales_cleaned!$D1213,Table4[Product_Name],Table4[Product_Key],"not found")</f>
        <v>19</v>
      </c>
      <c r="P1213" s="32">
        <f>_xlfn.XLOOKUP(Snitch_Fashion_Sales_cleaned!$I1213,Table3[Order_Date],Table3[Date_Key])</f>
        <v>441</v>
      </c>
    </row>
    <row r="1214" spans="1:16" x14ac:dyDescent="0.3">
      <c r="A1214" s="27">
        <v>1031</v>
      </c>
      <c r="B1214" s="25" t="s">
        <v>1248</v>
      </c>
      <c r="C1214" s="25" t="s">
        <v>31</v>
      </c>
      <c r="D1214" s="26" t="s">
        <v>41</v>
      </c>
      <c r="E1214" s="27">
        <v>3</v>
      </c>
      <c r="F1214" s="28">
        <v>3027.66</v>
      </c>
      <c r="G1214" s="29">
        <v>0.57999999999999996</v>
      </c>
      <c r="H1214" s="28">
        <f t="shared" si="38"/>
        <v>9082.98</v>
      </c>
      <c r="I1214" s="30">
        <v>45647</v>
      </c>
      <c r="J1214" s="26" t="s">
        <v>15</v>
      </c>
      <c r="K1214" s="26" t="s">
        <v>16</v>
      </c>
      <c r="L1214" s="31">
        <f t="shared" si="39"/>
        <v>3814.8516</v>
      </c>
      <c r="M1214" s="31">
        <v>652.37</v>
      </c>
      <c r="N1214" s="22">
        <f>_xlfn.XLOOKUP(Snitch_Fashion_Sales_cleaned!$J1214,Table2[City],Table2[City_Key],"not found")</f>
        <v>1</v>
      </c>
      <c r="O1214" s="21">
        <f>_xlfn.XLOOKUP(Snitch_Fashion_Sales_cleaned!$D1214,Table4[Product_Name],Table4[Product_Key],"not found")</f>
        <v>9</v>
      </c>
      <c r="P1214" s="25">
        <f>_xlfn.XLOOKUP(Snitch_Fashion_Sales_cleaned!$I1214,Table3[Order_Date],Table3[Date_Key])</f>
        <v>5</v>
      </c>
    </row>
    <row r="1215" spans="1:16" x14ac:dyDescent="0.3">
      <c r="A1215" s="34">
        <v>2213</v>
      </c>
      <c r="B1215" s="32" t="s">
        <v>1249</v>
      </c>
      <c r="C1215" s="32" t="s">
        <v>13</v>
      </c>
      <c r="D1215" s="33" t="s">
        <v>34</v>
      </c>
      <c r="E1215" s="34">
        <v>3</v>
      </c>
      <c r="F1215" s="35">
        <v>2543.9299999999998</v>
      </c>
      <c r="G1215" s="36">
        <v>0.51</v>
      </c>
      <c r="H1215" s="35">
        <f t="shared" si="38"/>
        <v>7631.7899999999991</v>
      </c>
      <c r="I1215" s="37">
        <v>45824</v>
      </c>
      <c r="J1215" s="33" t="s">
        <v>18</v>
      </c>
      <c r="K1215" s="33" t="s">
        <v>16</v>
      </c>
      <c r="L1215" s="38">
        <f t="shared" si="39"/>
        <v>3739.5770999999995</v>
      </c>
      <c r="M1215" s="38">
        <v>2177.8200000000002</v>
      </c>
      <c r="N1215" s="24">
        <f>_xlfn.XLOOKUP(Snitch_Fashion_Sales_cleaned!$J1215,Table2[City],Table2[City_Key],"not found")</f>
        <v>2</v>
      </c>
      <c r="O1215" s="23">
        <f>_xlfn.XLOOKUP(Snitch_Fashion_Sales_cleaned!$D1215,Table4[Product_Name],Table4[Product_Key],"not found")</f>
        <v>6</v>
      </c>
      <c r="P1215" s="32">
        <f>_xlfn.XLOOKUP(Snitch_Fashion_Sales_cleaned!$I1215,Table3[Order_Date],Table3[Date_Key])</f>
        <v>110</v>
      </c>
    </row>
    <row r="1216" spans="1:16" x14ac:dyDescent="0.3">
      <c r="A1216" s="27">
        <v>2214</v>
      </c>
      <c r="B1216" s="25" t="s">
        <v>1250</v>
      </c>
      <c r="C1216" s="25" t="s">
        <v>36</v>
      </c>
      <c r="D1216" s="26" t="s">
        <v>37</v>
      </c>
      <c r="E1216" s="27">
        <v>4</v>
      </c>
      <c r="F1216" s="28">
        <v>4854.03</v>
      </c>
      <c r="G1216" s="29">
        <v>0.51</v>
      </c>
      <c r="H1216" s="28">
        <f t="shared" si="38"/>
        <v>19416.12</v>
      </c>
      <c r="I1216" s="30">
        <v>45577</v>
      </c>
      <c r="J1216" s="26" t="s">
        <v>18</v>
      </c>
      <c r="K1216" s="26" t="s">
        <v>23</v>
      </c>
      <c r="L1216" s="31">
        <f t="shared" si="39"/>
        <v>9513.898799999999</v>
      </c>
      <c r="M1216" s="31">
        <v>864.66</v>
      </c>
      <c r="N1216" s="22">
        <f>_xlfn.XLOOKUP(Snitch_Fashion_Sales_cleaned!$J1216,Table2[City],Table2[City_Key],"not found")</f>
        <v>2</v>
      </c>
      <c r="O1216" s="21">
        <f>_xlfn.XLOOKUP(Snitch_Fashion_Sales_cleaned!$D1216,Table4[Product_Name],Table4[Product_Key],"not found")</f>
        <v>7</v>
      </c>
      <c r="P1216" s="25">
        <f>_xlfn.XLOOKUP(Snitch_Fashion_Sales_cleaned!$I1216,Table3[Order_Date],Table3[Date_Key])</f>
        <v>254</v>
      </c>
    </row>
    <row r="1217" spans="1:16" x14ac:dyDescent="0.3">
      <c r="A1217" s="34">
        <v>2215</v>
      </c>
      <c r="B1217" s="32" t="s">
        <v>1251</v>
      </c>
      <c r="C1217" s="32" t="s">
        <v>20</v>
      </c>
      <c r="D1217" s="33" t="s">
        <v>118</v>
      </c>
      <c r="E1217" s="34">
        <v>3.5</v>
      </c>
      <c r="F1217" s="35">
        <v>442.41</v>
      </c>
      <c r="G1217" s="36">
        <v>0.51</v>
      </c>
      <c r="H1217" s="35">
        <f t="shared" si="38"/>
        <v>1548.4350000000002</v>
      </c>
      <c r="I1217" s="37">
        <v>45647</v>
      </c>
      <c r="J1217" s="33" t="s">
        <v>15</v>
      </c>
      <c r="K1217" s="33" t="s">
        <v>16</v>
      </c>
      <c r="L1217" s="38">
        <f t="shared" si="39"/>
        <v>758.73315000000002</v>
      </c>
      <c r="M1217" s="38">
        <v>189.68328750000001</v>
      </c>
      <c r="N1217" s="24">
        <f>_xlfn.XLOOKUP(Snitch_Fashion_Sales_cleaned!$J1217,Table2[City],Table2[City_Key],"not found")</f>
        <v>1</v>
      </c>
      <c r="O1217" s="23">
        <f>_xlfn.XLOOKUP(Snitch_Fashion_Sales_cleaned!$D1217,Table4[Product_Name],Table4[Product_Key],"not found")</f>
        <v>23</v>
      </c>
      <c r="P1217" s="32">
        <f>_xlfn.XLOOKUP(Snitch_Fashion_Sales_cleaned!$I1217,Table3[Order_Date],Table3[Date_Key])</f>
        <v>5</v>
      </c>
    </row>
    <row r="1218" spans="1:16" x14ac:dyDescent="0.3">
      <c r="A1218" s="27">
        <v>2216</v>
      </c>
      <c r="B1218" s="25" t="s">
        <v>1252</v>
      </c>
      <c r="C1218" s="25" t="s">
        <v>20</v>
      </c>
      <c r="D1218" s="26" t="s">
        <v>84</v>
      </c>
      <c r="E1218" s="27">
        <v>3</v>
      </c>
      <c r="F1218" s="28">
        <v>2537.59</v>
      </c>
      <c r="G1218" s="29">
        <v>0.05</v>
      </c>
      <c r="H1218" s="28">
        <f t="shared" si="38"/>
        <v>7612.77</v>
      </c>
      <c r="I1218" s="30">
        <v>45795</v>
      </c>
      <c r="J1218" s="26" t="s">
        <v>43</v>
      </c>
      <c r="K1218" s="26" t="s">
        <v>23</v>
      </c>
      <c r="L1218" s="31">
        <f t="shared" si="39"/>
        <v>7232.1315000000004</v>
      </c>
      <c r="M1218" s="31">
        <v>-823.2</v>
      </c>
      <c r="N1218" s="22">
        <f>_xlfn.XLOOKUP(Snitch_Fashion_Sales_cleaned!$J1218,Table2[City],Table2[City_Key],"not found")</f>
        <v>6</v>
      </c>
      <c r="O1218" s="21">
        <f>_xlfn.XLOOKUP(Snitch_Fashion_Sales_cleaned!$D1218,Table4[Product_Name],Table4[Product_Key],"not found")</f>
        <v>19</v>
      </c>
      <c r="P1218" s="25">
        <f>_xlfn.XLOOKUP(Snitch_Fashion_Sales_cleaned!$I1218,Table3[Order_Date],Table3[Date_Key])</f>
        <v>271</v>
      </c>
    </row>
    <row r="1219" spans="1:16" x14ac:dyDescent="0.3">
      <c r="A1219" s="34">
        <v>2217</v>
      </c>
      <c r="B1219" s="32" t="s">
        <v>1253</v>
      </c>
      <c r="C1219" s="32" t="s">
        <v>13</v>
      </c>
      <c r="D1219" s="33" t="s">
        <v>98</v>
      </c>
      <c r="E1219" s="34">
        <v>5</v>
      </c>
      <c r="F1219" s="35">
        <v>1540.5</v>
      </c>
      <c r="G1219" s="36">
        <v>0.51</v>
      </c>
      <c r="H1219" s="35">
        <f t="shared" si="38"/>
        <v>7702.5</v>
      </c>
      <c r="I1219" s="37">
        <v>45639</v>
      </c>
      <c r="J1219" s="33" t="s">
        <v>22</v>
      </c>
      <c r="K1219" s="33" t="s">
        <v>23</v>
      </c>
      <c r="L1219" s="38">
        <f t="shared" si="39"/>
        <v>3774.2249999999999</v>
      </c>
      <c r="M1219" s="38">
        <v>1385.44</v>
      </c>
      <c r="N1219" s="24">
        <f>_xlfn.XLOOKUP(Snitch_Fashion_Sales_cleaned!$J1219,Table2[City],Table2[City_Key],"not found")</f>
        <v>3</v>
      </c>
      <c r="O1219" s="23">
        <f>_xlfn.XLOOKUP(Snitch_Fashion_Sales_cleaned!$D1219,Table4[Product_Name],Table4[Product_Key],"not found")</f>
        <v>21</v>
      </c>
      <c r="P1219" s="32">
        <f>_xlfn.XLOOKUP(Snitch_Fashion_Sales_cleaned!$I1219,Table3[Order_Date],Table3[Date_Key])</f>
        <v>149</v>
      </c>
    </row>
    <row r="1220" spans="1:16" x14ac:dyDescent="0.3">
      <c r="A1220" s="27">
        <v>2218</v>
      </c>
      <c r="B1220" s="25" t="s">
        <v>1254</v>
      </c>
      <c r="C1220" s="25" t="s">
        <v>13</v>
      </c>
      <c r="D1220" s="26" t="s">
        <v>98</v>
      </c>
      <c r="E1220" s="27">
        <v>5</v>
      </c>
      <c r="F1220" s="28">
        <v>2750.33</v>
      </c>
      <c r="G1220" s="29">
        <v>0.51</v>
      </c>
      <c r="H1220" s="28">
        <f t="shared" si="38"/>
        <v>13751.65</v>
      </c>
      <c r="I1220" s="30">
        <v>45680</v>
      </c>
      <c r="J1220" s="26" t="s">
        <v>52</v>
      </c>
      <c r="K1220" s="26" t="s">
        <v>23</v>
      </c>
      <c r="L1220" s="31">
        <f t="shared" si="39"/>
        <v>6738.3085000000001</v>
      </c>
      <c r="M1220" s="31">
        <v>2077.4899999999998</v>
      </c>
      <c r="N1220" s="22">
        <f>_xlfn.XLOOKUP(Snitch_Fashion_Sales_cleaned!$J1220,Table2[City],Table2[City_Key],"not found")</f>
        <v>5</v>
      </c>
      <c r="O1220" s="21">
        <f>_xlfn.XLOOKUP(Snitch_Fashion_Sales_cleaned!$D1220,Table4[Product_Name],Table4[Product_Key],"not found")</f>
        <v>21</v>
      </c>
      <c r="P1220" s="25">
        <f>_xlfn.XLOOKUP(Snitch_Fashion_Sales_cleaned!$I1220,Table3[Order_Date],Table3[Date_Key])</f>
        <v>94</v>
      </c>
    </row>
    <row r="1221" spans="1:16" x14ac:dyDescent="0.3">
      <c r="A1221" s="34">
        <v>2219</v>
      </c>
      <c r="B1221" s="32" t="s">
        <v>1255</v>
      </c>
      <c r="C1221" s="32" t="s">
        <v>31</v>
      </c>
      <c r="D1221" s="33" t="s">
        <v>78</v>
      </c>
      <c r="E1221" s="34">
        <v>4</v>
      </c>
      <c r="F1221" s="35">
        <v>2403.9499999999998</v>
      </c>
      <c r="G1221" s="36">
        <v>0.51</v>
      </c>
      <c r="H1221" s="35">
        <f t="shared" si="38"/>
        <v>9615.7999999999993</v>
      </c>
      <c r="I1221" s="37">
        <v>45588</v>
      </c>
      <c r="J1221" s="33" t="s">
        <v>22</v>
      </c>
      <c r="K1221" s="33" t="s">
        <v>16</v>
      </c>
      <c r="L1221" s="38">
        <f t="shared" si="39"/>
        <v>4711.7419999999993</v>
      </c>
      <c r="M1221" s="38">
        <v>858.23</v>
      </c>
      <c r="N1221" s="24">
        <f>_xlfn.XLOOKUP(Snitch_Fashion_Sales_cleaned!$J1221,Table2[City],Table2[City_Key],"not found")</f>
        <v>3</v>
      </c>
      <c r="O1221" s="23">
        <f>_xlfn.XLOOKUP(Snitch_Fashion_Sales_cleaned!$D1221,Table4[Product_Name],Table4[Product_Key],"not found")</f>
        <v>17</v>
      </c>
      <c r="P1221" s="32">
        <f>_xlfn.XLOOKUP(Snitch_Fashion_Sales_cleaned!$I1221,Table3[Order_Date],Table3[Date_Key])</f>
        <v>85</v>
      </c>
    </row>
    <row r="1222" spans="1:16" x14ac:dyDescent="0.3">
      <c r="A1222" s="27">
        <v>2220</v>
      </c>
      <c r="B1222" s="25" t="s">
        <v>1256</v>
      </c>
      <c r="C1222" s="25" t="s">
        <v>28</v>
      </c>
      <c r="D1222" s="26" t="s">
        <v>29</v>
      </c>
      <c r="E1222" s="27">
        <v>3</v>
      </c>
      <c r="F1222" s="28">
        <v>2170.71</v>
      </c>
      <c r="G1222" s="29">
        <v>0.57999999999999996</v>
      </c>
      <c r="H1222" s="28">
        <f t="shared" ref="H1222:H1285" si="40">E1222*F1222</f>
        <v>6512.13</v>
      </c>
      <c r="I1222" s="30">
        <v>45810</v>
      </c>
      <c r="J1222" s="26" t="s">
        <v>2540</v>
      </c>
      <c r="K1222" s="26" t="s">
        <v>23</v>
      </c>
      <c r="L1222" s="31">
        <f t="shared" ref="L1222:L1285" si="41">H1222*(1-G1222)</f>
        <v>2735.0946000000004</v>
      </c>
      <c r="M1222" s="31">
        <v>1689.68</v>
      </c>
      <c r="N1222" s="22">
        <f>_xlfn.XLOOKUP(Snitch_Fashion_Sales_cleaned!$J1222,Table2[City],Table2[City_Key],"not found")</f>
        <v>4</v>
      </c>
      <c r="O1222" s="21">
        <f>_xlfn.XLOOKUP(Snitch_Fashion_Sales_cleaned!$D1222,Table4[Product_Name],Table4[Product_Key],"not found")</f>
        <v>4</v>
      </c>
      <c r="P1222" s="25">
        <f>_xlfn.XLOOKUP(Snitch_Fashion_Sales_cleaned!$I1222,Table3[Order_Date],Table3[Date_Key])</f>
        <v>180</v>
      </c>
    </row>
    <row r="1223" spans="1:16" x14ac:dyDescent="0.3">
      <c r="A1223" s="34">
        <v>2221</v>
      </c>
      <c r="B1223" s="32" t="s">
        <v>464</v>
      </c>
      <c r="C1223" s="32" t="s">
        <v>31</v>
      </c>
      <c r="D1223" s="33" t="s">
        <v>32</v>
      </c>
      <c r="E1223" s="34">
        <v>4</v>
      </c>
      <c r="F1223" s="35">
        <v>1762.23</v>
      </c>
      <c r="G1223" s="36">
        <v>0.51</v>
      </c>
      <c r="H1223" s="35">
        <f t="shared" si="40"/>
        <v>7048.92</v>
      </c>
      <c r="I1223" s="37">
        <v>45560</v>
      </c>
      <c r="J1223" s="33" t="s">
        <v>2540</v>
      </c>
      <c r="K1223" s="33" t="s">
        <v>16</v>
      </c>
      <c r="L1223" s="38">
        <f t="shared" si="41"/>
        <v>3453.9708000000001</v>
      </c>
      <c r="M1223" s="38">
        <v>-736.69</v>
      </c>
      <c r="N1223" s="24">
        <f>_xlfn.XLOOKUP(Snitch_Fashion_Sales_cleaned!$J1223,Table2[City],Table2[City_Key],"not found")</f>
        <v>4</v>
      </c>
      <c r="O1223" s="23">
        <f>_xlfn.XLOOKUP(Snitch_Fashion_Sales_cleaned!$D1223,Table4[Product_Name],Table4[Product_Key],"not found")</f>
        <v>5</v>
      </c>
      <c r="P1223" s="32">
        <f>_xlfn.XLOOKUP(Snitch_Fashion_Sales_cleaned!$I1223,Table3[Order_Date],Table3[Date_Key])</f>
        <v>274</v>
      </c>
    </row>
    <row r="1224" spans="1:16" x14ac:dyDescent="0.3">
      <c r="A1224" s="27">
        <v>2222</v>
      </c>
      <c r="B1224" s="25" t="s">
        <v>1257</v>
      </c>
      <c r="C1224" s="25" t="s">
        <v>36</v>
      </c>
      <c r="D1224" s="26" t="s">
        <v>59</v>
      </c>
      <c r="E1224" s="27">
        <v>3</v>
      </c>
      <c r="F1224" s="28">
        <v>2161.8000000000002</v>
      </c>
      <c r="G1224" s="29">
        <v>0.51</v>
      </c>
      <c r="H1224" s="28">
        <f t="shared" si="40"/>
        <v>6485.4000000000005</v>
      </c>
      <c r="I1224" s="30">
        <v>45647</v>
      </c>
      <c r="J1224" s="26" t="s">
        <v>18</v>
      </c>
      <c r="K1224" s="26" t="s">
        <v>23</v>
      </c>
      <c r="L1224" s="31">
        <f t="shared" si="41"/>
        <v>3177.846</v>
      </c>
      <c r="M1224" s="31">
        <v>1722.2</v>
      </c>
      <c r="N1224" s="22">
        <f>_xlfn.XLOOKUP(Snitch_Fashion_Sales_cleaned!$J1224,Table2[City],Table2[City_Key],"not found")</f>
        <v>2</v>
      </c>
      <c r="O1224" s="21">
        <f>_xlfn.XLOOKUP(Snitch_Fashion_Sales_cleaned!$D1224,Table4[Product_Name],Table4[Product_Key],"not found")</f>
        <v>13</v>
      </c>
      <c r="P1224" s="25">
        <f>_xlfn.XLOOKUP(Snitch_Fashion_Sales_cleaned!$I1224,Table3[Order_Date],Table3[Date_Key])</f>
        <v>5</v>
      </c>
    </row>
    <row r="1225" spans="1:16" x14ac:dyDescent="0.3">
      <c r="A1225" s="34">
        <v>2223</v>
      </c>
      <c r="B1225" s="32" t="s">
        <v>1258</v>
      </c>
      <c r="C1225" s="32" t="s">
        <v>13</v>
      </c>
      <c r="D1225" s="33" t="s">
        <v>46</v>
      </c>
      <c r="E1225" s="34">
        <v>4</v>
      </c>
      <c r="F1225" s="35">
        <v>3445.9</v>
      </c>
      <c r="G1225" s="36">
        <v>0.81</v>
      </c>
      <c r="H1225" s="35">
        <f t="shared" si="40"/>
        <v>13783.6</v>
      </c>
      <c r="I1225" s="37">
        <v>45654</v>
      </c>
      <c r="J1225" s="33" t="s">
        <v>22</v>
      </c>
      <c r="K1225" s="33" t="s">
        <v>23</v>
      </c>
      <c r="L1225" s="38">
        <f t="shared" si="41"/>
        <v>2618.8839999999996</v>
      </c>
      <c r="M1225" s="38">
        <v>2374.1799999999998</v>
      </c>
      <c r="N1225" s="24">
        <f>_xlfn.XLOOKUP(Snitch_Fashion_Sales_cleaned!$J1225,Table2[City],Table2[City_Key],"not found")</f>
        <v>3</v>
      </c>
      <c r="O1225" s="23">
        <f>_xlfn.XLOOKUP(Snitch_Fashion_Sales_cleaned!$D1225,Table4[Product_Name],Table4[Product_Key],"not found")</f>
        <v>10</v>
      </c>
      <c r="P1225" s="32">
        <f>_xlfn.XLOOKUP(Snitch_Fashion_Sales_cleaned!$I1225,Table3[Order_Date],Table3[Date_Key])</f>
        <v>333</v>
      </c>
    </row>
    <row r="1226" spans="1:16" x14ac:dyDescent="0.3">
      <c r="A1226" s="27">
        <v>2224</v>
      </c>
      <c r="B1226" s="25" t="s">
        <v>1259</v>
      </c>
      <c r="C1226" s="25" t="s">
        <v>25</v>
      </c>
      <c r="D1226" s="26" t="s">
        <v>62</v>
      </c>
      <c r="E1226" s="27">
        <v>4</v>
      </c>
      <c r="F1226" s="28">
        <v>2538.0450000000001</v>
      </c>
      <c r="G1226" s="29">
        <v>0.51</v>
      </c>
      <c r="H1226" s="28">
        <f t="shared" si="40"/>
        <v>10152.18</v>
      </c>
      <c r="I1226" s="30">
        <v>45621</v>
      </c>
      <c r="J1226" s="26" t="s">
        <v>18</v>
      </c>
      <c r="K1226" s="26" t="s">
        <v>23</v>
      </c>
      <c r="L1226" s="31">
        <f t="shared" si="41"/>
        <v>4974.5681999999997</v>
      </c>
      <c r="M1226" s="31">
        <v>691.31</v>
      </c>
      <c r="N1226" s="22">
        <f>_xlfn.XLOOKUP(Snitch_Fashion_Sales_cleaned!$J1226,Table2[City],Table2[City_Key],"not found")</f>
        <v>2</v>
      </c>
      <c r="O1226" s="21">
        <f>_xlfn.XLOOKUP(Snitch_Fashion_Sales_cleaned!$D1226,Table4[Product_Name],Table4[Product_Key],"not found")</f>
        <v>14</v>
      </c>
      <c r="P1226" s="25">
        <f>_xlfn.XLOOKUP(Snitch_Fashion_Sales_cleaned!$I1226,Table3[Order_Date],Table3[Date_Key])</f>
        <v>106</v>
      </c>
    </row>
    <row r="1227" spans="1:16" x14ac:dyDescent="0.3">
      <c r="A1227" s="34">
        <v>2225</v>
      </c>
      <c r="B1227" s="32" t="s">
        <v>1260</v>
      </c>
      <c r="C1227" s="32" t="s">
        <v>28</v>
      </c>
      <c r="D1227" s="33" t="s">
        <v>137</v>
      </c>
      <c r="E1227" s="34">
        <v>3.5</v>
      </c>
      <c r="F1227" s="35">
        <v>2338.04</v>
      </c>
      <c r="G1227" s="36">
        <v>0.51</v>
      </c>
      <c r="H1227" s="35">
        <f t="shared" si="40"/>
        <v>8183.1399999999994</v>
      </c>
      <c r="I1227" s="37">
        <v>45647</v>
      </c>
      <c r="J1227" s="33" t="s">
        <v>52</v>
      </c>
      <c r="K1227" s="33" t="s">
        <v>23</v>
      </c>
      <c r="L1227" s="38">
        <f t="shared" si="41"/>
        <v>4009.7385999999997</v>
      </c>
      <c r="M1227" s="38">
        <v>2362.63</v>
      </c>
      <c r="N1227" s="24">
        <f>_xlfn.XLOOKUP(Snitch_Fashion_Sales_cleaned!$J1227,Table2[City],Table2[City_Key],"not found")</f>
        <v>5</v>
      </c>
      <c r="O1227" s="23">
        <f>_xlfn.XLOOKUP(Snitch_Fashion_Sales_cleaned!$D1227,Table4[Product_Name],Table4[Product_Key],"not found")</f>
        <v>24</v>
      </c>
      <c r="P1227" s="32">
        <f>_xlfn.XLOOKUP(Snitch_Fashion_Sales_cleaned!$I1227,Table3[Order_Date],Table3[Date_Key])</f>
        <v>5</v>
      </c>
    </row>
    <row r="1228" spans="1:16" x14ac:dyDescent="0.3">
      <c r="A1228" s="27">
        <v>2226</v>
      </c>
      <c r="B1228" s="25" t="s">
        <v>1261</v>
      </c>
      <c r="C1228" s="25" t="s">
        <v>31</v>
      </c>
      <c r="D1228" s="26" t="s">
        <v>78</v>
      </c>
      <c r="E1228" s="27">
        <v>4</v>
      </c>
      <c r="F1228" s="28">
        <v>4484.13</v>
      </c>
      <c r="G1228" s="29">
        <v>0.79</v>
      </c>
      <c r="H1228" s="28">
        <f t="shared" si="40"/>
        <v>17936.52</v>
      </c>
      <c r="I1228" s="30">
        <v>45647</v>
      </c>
      <c r="J1228" s="26" t="s">
        <v>52</v>
      </c>
      <c r="K1228" s="26" t="s">
        <v>23</v>
      </c>
      <c r="L1228" s="31">
        <f t="shared" si="41"/>
        <v>3766.6691999999994</v>
      </c>
      <c r="M1228" s="31">
        <v>821.13</v>
      </c>
      <c r="N1228" s="22">
        <f>_xlfn.XLOOKUP(Snitch_Fashion_Sales_cleaned!$J1228,Table2[City],Table2[City_Key],"not found")</f>
        <v>5</v>
      </c>
      <c r="O1228" s="21">
        <f>_xlfn.XLOOKUP(Snitch_Fashion_Sales_cleaned!$D1228,Table4[Product_Name],Table4[Product_Key],"not found")</f>
        <v>17</v>
      </c>
      <c r="P1228" s="25">
        <f>_xlfn.XLOOKUP(Snitch_Fashion_Sales_cleaned!$I1228,Table3[Order_Date],Table3[Date_Key])</f>
        <v>5</v>
      </c>
    </row>
    <row r="1229" spans="1:16" x14ac:dyDescent="0.3">
      <c r="A1229" s="34">
        <v>2227</v>
      </c>
      <c r="B1229" s="32" t="s">
        <v>1262</v>
      </c>
      <c r="C1229" s="32" t="s">
        <v>36</v>
      </c>
      <c r="D1229" s="33" t="s">
        <v>59</v>
      </c>
      <c r="E1229" s="34">
        <v>3</v>
      </c>
      <c r="F1229" s="35">
        <v>2765.26</v>
      </c>
      <c r="G1229" s="36">
        <v>0.51</v>
      </c>
      <c r="H1229" s="35">
        <f t="shared" si="40"/>
        <v>8295.7800000000007</v>
      </c>
      <c r="I1229" s="37">
        <v>45846</v>
      </c>
      <c r="J1229" s="33" t="s">
        <v>43</v>
      </c>
      <c r="K1229" s="33" t="s">
        <v>23</v>
      </c>
      <c r="L1229" s="38">
        <f t="shared" si="41"/>
        <v>4064.9322000000002</v>
      </c>
      <c r="M1229" s="38">
        <v>2766.36</v>
      </c>
      <c r="N1229" s="24">
        <f>_xlfn.XLOOKUP(Snitch_Fashion_Sales_cleaned!$J1229,Table2[City],Table2[City_Key],"not found")</f>
        <v>6</v>
      </c>
      <c r="O1229" s="23">
        <f>_xlfn.XLOOKUP(Snitch_Fashion_Sales_cleaned!$D1229,Table4[Product_Name],Table4[Product_Key],"not found")</f>
        <v>13</v>
      </c>
      <c r="P1229" s="32">
        <f>_xlfn.XLOOKUP(Snitch_Fashion_Sales_cleaned!$I1229,Table3[Order_Date],Table3[Date_Key])</f>
        <v>35</v>
      </c>
    </row>
    <row r="1230" spans="1:16" x14ac:dyDescent="0.3">
      <c r="A1230" s="27">
        <v>2228</v>
      </c>
      <c r="B1230" s="25" t="s">
        <v>1263</v>
      </c>
      <c r="C1230" s="25" t="s">
        <v>28</v>
      </c>
      <c r="D1230" s="26" t="s">
        <v>39</v>
      </c>
      <c r="E1230" s="27">
        <v>3</v>
      </c>
      <c r="F1230" s="28">
        <v>2577.6350000000002</v>
      </c>
      <c r="G1230" s="29">
        <v>0.93</v>
      </c>
      <c r="H1230" s="28">
        <f t="shared" si="40"/>
        <v>7732.9050000000007</v>
      </c>
      <c r="I1230" s="30">
        <v>45675</v>
      </c>
      <c r="J1230" s="26" t="s">
        <v>52</v>
      </c>
      <c r="K1230" s="26" t="s">
        <v>16</v>
      </c>
      <c r="L1230" s="31">
        <f t="shared" si="41"/>
        <v>541.30334999999968</v>
      </c>
      <c r="M1230" s="31">
        <v>-980.89</v>
      </c>
      <c r="N1230" s="22">
        <f>_xlfn.XLOOKUP(Snitch_Fashion_Sales_cleaned!$J1230,Table2[City],Table2[City_Key],"not found")</f>
        <v>5</v>
      </c>
      <c r="O1230" s="21">
        <f>_xlfn.XLOOKUP(Snitch_Fashion_Sales_cleaned!$D1230,Table4[Product_Name],Table4[Product_Key],"not found")</f>
        <v>8</v>
      </c>
      <c r="P1230" s="25">
        <f>_xlfn.XLOOKUP(Snitch_Fashion_Sales_cleaned!$I1230,Table3[Order_Date],Table3[Date_Key])</f>
        <v>64</v>
      </c>
    </row>
    <row r="1231" spans="1:16" x14ac:dyDescent="0.3">
      <c r="A1231" s="34">
        <v>2229</v>
      </c>
      <c r="B1231" s="32" t="s">
        <v>1264</v>
      </c>
      <c r="C1231" s="32" t="s">
        <v>20</v>
      </c>
      <c r="D1231" s="33" t="s">
        <v>21</v>
      </c>
      <c r="E1231" s="34">
        <v>1</v>
      </c>
      <c r="F1231" s="35">
        <v>2579.8000000000002</v>
      </c>
      <c r="G1231" s="36">
        <v>0.51</v>
      </c>
      <c r="H1231" s="35">
        <f t="shared" si="40"/>
        <v>2579.8000000000002</v>
      </c>
      <c r="I1231" s="37">
        <v>45495</v>
      </c>
      <c r="J1231" s="33" t="s">
        <v>22</v>
      </c>
      <c r="K1231" s="33" t="s">
        <v>23</v>
      </c>
      <c r="L1231" s="38">
        <f t="shared" si="41"/>
        <v>1264.1020000000001</v>
      </c>
      <c r="M1231" s="38">
        <v>623.39</v>
      </c>
      <c r="N1231" s="24">
        <f>_xlfn.XLOOKUP(Snitch_Fashion_Sales_cleaned!$J1231,Table2[City],Table2[City_Key],"not found")</f>
        <v>3</v>
      </c>
      <c r="O1231" s="23">
        <f>_xlfn.XLOOKUP(Snitch_Fashion_Sales_cleaned!$D1231,Table4[Product_Name],Table4[Product_Key],"not found")</f>
        <v>2</v>
      </c>
      <c r="P1231" s="32">
        <f>_xlfn.XLOOKUP(Snitch_Fashion_Sales_cleaned!$I1231,Table3[Order_Date],Table3[Date_Key])</f>
        <v>132</v>
      </c>
    </row>
    <row r="1232" spans="1:16" x14ac:dyDescent="0.3">
      <c r="A1232" s="27">
        <v>2230</v>
      </c>
      <c r="B1232" s="25" t="s">
        <v>1265</v>
      </c>
      <c r="C1232" s="25" t="s">
        <v>36</v>
      </c>
      <c r="D1232" s="26" t="s">
        <v>59</v>
      </c>
      <c r="E1232" s="27">
        <v>3</v>
      </c>
      <c r="F1232" s="28">
        <v>4524.6400000000003</v>
      </c>
      <c r="G1232" s="29">
        <v>0.51</v>
      </c>
      <c r="H1232" s="28">
        <f t="shared" si="40"/>
        <v>13573.920000000002</v>
      </c>
      <c r="I1232" s="30">
        <v>45806</v>
      </c>
      <c r="J1232" s="26" t="s">
        <v>43</v>
      </c>
      <c r="K1232" s="26" t="s">
        <v>16</v>
      </c>
      <c r="L1232" s="31">
        <f t="shared" si="41"/>
        <v>6651.220800000001</v>
      </c>
      <c r="M1232" s="31">
        <v>1906</v>
      </c>
      <c r="N1232" s="22">
        <f>_xlfn.XLOOKUP(Snitch_Fashion_Sales_cleaned!$J1232,Table2[City],Table2[City_Key],"not found")</f>
        <v>6</v>
      </c>
      <c r="O1232" s="21">
        <f>_xlfn.XLOOKUP(Snitch_Fashion_Sales_cleaned!$D1232,Table4[Product_Name],Table4[Product_Key],"not found")</f>
        <v>13</v>
      </c>
      <c r="P1232" s="25">
        <f>_xlfn.XLOOKUP(Snitch_Fashion_Sales_cleaned!$I1232,Table3[Order_Date],Table3[Date_Key])</f>
        <v>183</v>
      </c>
    </row>
    <row r="1233" spans="1:16" x14ac:dyDescent="0.3">
      <c r="A1233" s="34">
        <v>2231</v>
      </c>
      <c r="B1233" s="32" t="s">
        <v>1266</v>
      </c>
      <c r="C1233" s="32" t="s">
        <v>25</v>
      </c>
      <c r="D1233" s="33" t="s">
        <v>26</v>
      </c>
      <c r="E1233" s="34">
        <v>4</v>
      </c>
      <c r="F1233" s="35">
        <v>2933.45</v>
      </c>
      <c r="G1233" s="36">
        <v>0.51</v>
      </c>
      <c r="H1233" s="35">
        <f t="shared" si="40"/>
        <v>11733.8</v>
      </c>
      <c r="I1233" s="37">
        <v>45709</v>
      </c>
      <c r="J1233" s="33" t="s">
        <v>18</v>
      </c>
      <c r="K1233" s="33" t="s">
        <v>16</v>
      </c>
      <c r="L1233" s="38">
        <f t="shared" si="41"/>
        <v>5749.5619999999999</v>
      </c>
      <c r="M1233" s="38">
        <v>1342.52</v>
      </c>
      <c r="N1233" s="24">
        <f>_xlfn.XLOOKUP(Snitch_Fashion_Sales_cleaned!$J1233,Table2[City],Table2[City_Key],"not found")</f>
        <v>2</v>
      </c>
      <c r="O1233" s="23">
        <f>_xlfn.XLOOKUP(Snitch_Fashion_Sales_cleaned!$D1233,Table4[Product_Name],Table4[Product_Key],"not found")</f>
        <v>3</v>
      </c>
      <c r="P1233" s="32">
        <f>_xlfn.XLOOKUP(Snitch_Fashion_Sales_cleaned!$I1233,Table3[Order_Date],Table3[Date_Key])</f>
        <v>359</v>
      </c>
    </row>
    <row r="1234" spans="1:16" x14ac:dyDescent="0.3">
      <c r="A1234" s="27">
        <v>2232</v>
      </c>
      <c r="B1234" s="25" t="s">
        <v>1267</v>
      </c>
      <c r="C1234" s="25" t="s">
        <v>36</v>
      </c>
      <c r="D1234" s="26" t="s">
        <v>37</v>
      </c>
      <c r="E1234" s="27">
        <v>4</v>
      </c>
      <c r="F1234" s="28">
        <v>2975.64</v>
      </c>
      <c r="G1234" s="29">
        <v>0.51</v>
      </c>
      <c r="H1234" s="28">
        <f t="shared" si="40"/>
        <v>11902.56</v>
      </c>
      <c r="I1234" s="30">
        <v>45800</v>
      </c>
      <c r="J1234" s="26" t="s">
        <v>15</v>
      </c>
      <c r="K1234" s="26" t="s">
        <v>23</v>
      </c>
      <c r="L1234" s="31">
        <f t="shared" si="41"/>
        <v>5832.2543999999998</v>
      </c>
      <c r="M1234" s="31">
        <v>2915.25</v>
      </c>
      <c r="N1234" s="22">
        <f>_xlfn.XLOOKUP(Snitch_Fashion_Sales_cleaned!$J1234,Table2[City],Table2[City_Key],"not found")</f>
        <v>1</v>
      </c>
      <c r="O1234" s="21">
        <f>_xlfn.XLOOKUP(Snitch_Fashion_Sales_cleaned!$D1234,Table4[Product_Name],Table4[Product_Key],"not found")</f>
        <v>7</v>
      </c>
      <c r="P1234" s="25">
        <f>_xlfn.XLOOKUP(Snitch_Fashion_Sales_cleaned!$I1234,Table3[Order_Date],Table3[Date_Key])</f>
        <v>442</v>
      </c>
    </row>
    <row r="1235" spans="1:16" x14ac:dyDescent="0.3">
      <c r="A1235" s="34">
        <v>2233</v>
      </c>
      <c r="B1235" s="32" t="s">
        <v>1268</v>
      </c>
      <c r="C1235" s="32" t="s">
        <v>36</v>
      </c>
      <c r="D1235" s="33" t="s">
        <v>37</v>
      </c>
      <c r="E1235" s="34">
        <v>1</v>
      </c>
      <c r="F1235" s="35">
        <v>4604.8500000000004</v>
      </c>
      <c r="G1235" s="36">
        <v>0.14000000000000001</v>
      </c>
      <c r="H1235" s="35">
        <f t="shared" si="40"/>
        <v>4604.8500000000004</v>
      </c>
      <c r="I1235" s="37">
        <v>45854</v>
      </c>
      <c r="J1235" s="33" t="s">
        <v>52</v>
      </c>
      <c r="K1235" s="33" t="s">
        <v>23</v>
      </c>
      <c r="L1235" s="38">
        <f t="shared" si="41"/>
        <v>3960.1710000000003</v>
      </c>
      <c r="M1235" s="38">
        <v>-627.16999999999996</v>
      </c>
      <c r="N1235" s="24">
        <f>_xlfn.XLOOKUP(Snitch_Fashion_Sales_cleaned!$J1235,Table2[City],Table2[City_Key],"not found")</f>
        <v>5</v>
      </c>
      <c r="O1235" s="23">
        <f>_xlfn.XLOOKUP(Snitch_Fashion_Sales_cleaned!$D1235,Table4[Product_Name],Table4[Product_Key],"not found")</f>
        <v>7</v>
      </c>
      <c r="P1235" s="32">
        <f>_xlfn.XLOOKUP(Snitch_Fashion_Sales_cleaned!$I1235,Table3[Order_Date],Table3[Date_Key])</f>
        <v>428</v>
      </c>
    </row>
    <row r="1236" spans="1:16" x14ac:dyDescent="0.3">
      <c r="A1236" s="27">
        <v>2234</v>
      </c>
      <c r="B1236" s="25" t="s">
        <v>1269</v>
      </c>
      <c r="C1236" s="25" t="s">
        <v>28</v>
      </c>
      <c r="D1236" s="26" t="s">
        <v>137</v>
      </c>
      <c r="E1236" s="27">
        <v>3.5</v>
      </c>
      <c r="F1236" s="28">
        <v>2338.04</v>
      </c>
      <c r="G1236" s="29">
        <v>0.51</v>
      </c>
      <c r="H1236" s="28">
        <f t="shared" si="40"/>
        <v>8183.1399999999994</v>
      </c>
      <c r="I1236" s="30">
        <v>45248</v>
      </c>
      <c r="J1236" s="26" t="s">
        <v>22</v>
      </c>
      <c r="K1236" s="26" t="s">
        <v>16</v>
      </c>
      <c r="L1236" s="31">
        <f t="shared" si="41"/>
        <v>4009.7385999999997</v>
      </c>
      <c r="M1236" s="31">
        <v>-345.61</v>
      </c>
      <c r="N1236" s="22">
        <f>_xlfn.XLOOKUP(Snitch_Fashion_Sales_cleaned!$J1236,Table2[City],Table2[City_Key],"not found")</f>
        <v>3</v>
      </c>
      <c r="O1236" s="21">
        <f>_xlfn.XLOOKUP(Snitch_Fashion_Sales_cleaned!$D1236,Table4[Product_Name],Table4[Product_Key],"not found")</f>
        <v>24</v>
      </c>
      <c r="P1236" s="25">
        <f>_xlfn.XLOOKUP(Snitch_Fashion_Sales_cleaned!$I1236,Table3[Order_Date],Table3[Date_Key])</f>
        <v>443</v>
      </c>
    </row>
    <row r="1237" spans="1:16" x14ac:dyDescent="0.3">
      <c r="A1237" s="34">
        <v>2235</v>
      </c>
      <c r="B1237" s="32" t="s">
        <v>1270</v>
      </c>
      <c r="C1237" s="32" t="s">
        <v>13</v>
      </c>
      <c r="D1237" s="33" t="s">
        <v>46</v>
      </c>
      <c r="E1237" s="34">
        <v>4</v>
      </c>
      <c r="F1237" s="35">
        <v>2891.64</v>
      </c>
      <c r="G1237" s="36">
        <v>0.51</v>
      </c>
      <c r="H1237" s="35">
        <f t="shared" si="40"/>
        <v>11566.56</v>
      </c>
      <c r="I1237" s="37">
        <v>45696</v>
      </c>
      <c r="J1237" s="33" t="s">
        <v>22</v>
      </c>
      <c r="K1237" s="33" t="s">
        <v>23</v>
      </c>
      <c r="L1237" s="38">
        <f t="shared" si="41"/>
        <v>5667.6143999999995</v>
      </c>
      <c r="M1237" s="38">
        <v>-758.81</v>
      </c>
      <c r="N1237" s="24">
        <f>_xlfn.XLOOKUP(Snitch_Fashion_Sales_cleaned!$J1237,Table2[City],Table2[City_Key],"not found")</f>
        <v>3</v>
      </c>
      <c r="O1237" s="23">
        <f>_xlfn.XLOOKUP(Snitch_Fashion_Sales_cleaned!$D1237,Table4[Product_Name],Table4[Product_Key],"not found")</f>
        <v>10</v>
      </c>
      <c r="P1237" s="32">
        <f>_xlfn.XLOOKUP(Snitch_Fashion_Sales_cleaned!$I1237,Table3[Order_Date],Table3[Date_Key])</f>
        <v>367</v>
      </c>
    </row>
    <row r="1238" spans="1:16" x14ac:dyDescent="0.3">
      <c r="A1238" s="27">
        <v>2236</v>
      </c>
      <c r="B1238" s="25" t="s">
        <v>1271</v>
      </c>
      <c r="C1238" s="25" t="s">
        <v>25</v>
      </c>
      <c r="D1238" s="26" t="s">
        <v>62</v>
      </c>
      <c r="E1238" s="27">
        <v>4</v>
      </c>
      <c r="F1238" s="28">
        <v>2420.16</v>
      </c>
      <c r="G1238" s="29">
        <v>0.51</v>
      </c>
      <c r="H1238" s="28">
        <f t="shared" si="40"/>
        <v>9680.64</v>
      </c>
      <c r="I1238" s="30">
        <v>45800</v>
      </c>
      <c r="J1238" s="26" t="s">
        <v>15</v>
      </c>
      <c r="K1238" s="26" t="s">
        <v>16</v>
      </c>
      <c r="L1238" s="31">
        <f t="shared" si="41"/>
        <v>4743.5135999999993</v>
      </c>
      <c r="M1238" s="31">
        <v>2707.96</v>
      </c>
      <c r="N1238" s="22">
        <f>_xlfn.XLOOKUP(Snitch_Fashion_Sales_cleaned!$J1238,Table2[City],Table2[City_Key],"not found")</f>
        <v>1</v>
      </c>
      <c r="O1238" s="21">
        <f>_xlfn.XLOOKUP(Snitch_Fashion_Sales_cleaned!$D1238,Table4[Product_Name],Table4[Product_Key],"not found")</f>
        <v>14</v>
      </c>
      <c r="P1238" s="25">
        <f>_xlfn.XLOOKUP(Snitch_Fashion_Sales_cleaned!$I1238,Table3[Order_Date],Table3[Date_Key])</f>
        <v>442</v>
      </c>
    </row>
    <row r="1239" spans="1:16" x14ac:dyDescent="0.3">
      <c r="A1239" s="34">
        <v>2237</v>
      </c>
      <c r="B1239" s="32" t="s">
        <v>1272</v>
      </c>
      <c r="C1239" s="32" t="s">
        <v>36</v>
      </c>
      <c r="D1239" s="33" t="s">
        <v>37</v>
      </c>
      <c r="E1239" s="34">
        <v>1</v>
      </c>
      <c r="F1239" s="35">
        <v>2496.17</v>
      </c>
      <c r="G1239" s="36">
        <v>0.51</v>
      </c>
      <c r="H1239" s="35">
        <f t="shared" si="40"/>
        <v>2496.17</v>
      </c>
      <c r="I1239" s="37">
        <v>45669</v>
      </c>
      <c r="J1239" s="33" t="s">
        <v>43</v>
      </c>
      <c r="K1239" s="33" t="s">
        <v>16</v>
      </c>
      <c r="L1239" s="38">
        <f t="shared" si="41"/>
        <v>1223.1233</v>
      </c>
      <c r="M1239" s="38">
        <v>810.82</v>
      </c>
      <c r="N1239" s="24">
        <f>_xlfn.XLOOKUP(Snitch_Fashion_Sales_cleaned!$J1239,Table2[City],Table2[City_Key],"not found")</f>
        <v>6</v>
      </c>
      <c r="O1239" s="23">
        <f>_xlfn.XLOOKUP(Snitch_Fashion_Sales_cleaned!$D1239,Table4[Product_Name],Table4[Product_Key],"not found")</f>
        <v>7</v>
      </c>
      <c r="P1239" s="32">
        <f>_xlfn.XLOOKUP(Snitch_Fashion_Sales_cleaned!$I1239,Table3[Order_Date],Table3[Date_Key])</f>
        <v>296</v>
      </c>
    </row>
    <row r="1240" spans="1:16" x14ac:dyDescent="0.3">
      <c r="A1240" s="27">
        <v>2238</v>
      </c>
      <c r="B1240" s="25" t="s">
        <v>1273</v>
      </c>
      <c r="C1240" s="25" t="s">
        <v>31</v>
      </c>
      <c r="D1240" s="26" t="s">
        <v>68</v>
      </c>
      <c r="E1240" s="27">
        <v>4</v>
      </c>
      <c r="F1240" s="28">
        <v>4808.3500000000004</v>
      </c>
      <c r="G1240" s="29">
        <v>0.51</v>
      </c>
      <c r="H1240" s="28">
        <f t="shared" si="40"/>
        <v>19233.400000000001</v>
      </c>
      <c r="I1240" s="30">
        <v>45744</v>
      </c>
      <c r="J1240" s="26" t="s">
        <v>18</v>
      </c>
      <c r="K1240" s="26" t="s">
        <v>23</v>
      </c>
      <c r="L1240" s="31">
        <f t="shared" si="41"/>
        <v>9424.366</v>
      </c>
      <c r="M1240" s="31">
        <v>-282.61</v>
      </c>
      <c r="N1240" s="22">
        <f>_xlfn.XLOOKUP(Snitch_Fashion_Sales_cleaned!$J1240,Table2[City],Table2[City_Key],"not found")</f>
        <v>2</v>
      </c>
      <c r="O1240" s="21">
        <f>_xlfn.XLOOKUP(Snitch_Fashion_Sales_cleaned!$D1240,Table4[Product_Name],Table4[Product_Key],"not found")</f>
        <v>15</v>
      </c>
      <c r="P1240" s="25">
        <f>_xlfn.XLOOKUP(Snitch_Fashion_Sales_cleaned!$I1240,Table3[Order_Date],Table3[Date_Key])</f>
        <v>225</v>
      </c>
    </row>
    <row r="1241" spans="1:16" x14ac:dyDescent="0.3">
      <c r="A1241" s="34">
        <v>2239</v>
      </c>
      <c r="B1241" s="32" t="s">
        <v>1274</v>
      </c>
      <c r="C1241" s="32" t="s">
        <v>28</v>
      </c>
      <c r="D1241" s="33" t="s">
        <v>116</v>
      </c>
      <c r="E1241" s="34">
        <v>4</v>
      </c>
      <c r="F1241" s="35">
        <v>3427.66</v>
      </c>
      <c r="G1241" s="36">
        <v>0.51</v>
      </c>
      <c r="H1241" s="35">
        <f t="shared" si="40"/>
        <v>13710.64</v>
      </c>
      <c r="I1241" s="37">
        <v>45627</v>
      </c>
      <c r="J1241" s="33" t="s">
        <v>22</v>
      </c>
      <c r="K1241" s="33" t="s">
        <v>16</v>
      </c>
      <c r="L1241" s="38">
        <f t="shared" si="41"/>
        <v>6718.2136</v>
      </c>
      <c r="M1241" s="38">
        <v>1441.3</v>
      </c>
      <c r="N1241" s="24">
        <f>_xlfn.XLOOKUP(Snitch_Fashion_Sales_cleaned!$J1241,Table2[City],Table2[City_Key],"not found")</f>
        <v>3</v>
      </c>
      <c r="O1241" s="23">
        <f>_xlfn.XLOOKUP(Snitch_Fashion_Sales_cleaned!$D1241,Table4[Product_Name],Table4[Product_Key],"not found")</f>
        <v>22</v>
      </c>
      <c r="P1241" s="32">
        <f>_xlfn.XLOOKUP(Snitch_Fashion_Sales_cleaned!$I1241,Table3[Order_Date],Table3[Date_Key])</f>
        <v>300</v>
      </c>
    </row>
    <row r="1242" spans="1:16" x14ac:dyDescent="0.3">
      <c r="A1242" s="27">
        <v>2240</v>
      </c>
      <c r="B1242" s="25" t="s">
        <v>1275</v>
      </c>
      <c r="C1242" s="25" t="s">
        <v>31</v>
      </c>
      <c r="D1242" s="26" t="s">
        <v>41</v>
      </c>
      <c r="E1242" s="27">
        <v>3</v>
      </c>
      <c r="F1242" s="28">
        <v>4205.29</v>
      </c>
      <c r="G1242" s="29">
        <v>0.51</v>
      </c>
      <c r="H1242" s="28">
        <f t="shared" si="40"/>
        <v>12615.869999999999</v>
      </c>
      <c r="I1242" s="30">
        <v>45562</v>
      </c>
      <c r="J1242" s="26" t="s">
        <v>52</v>
      </c>
      <c r="K1242" s="26" t="s">
        <v>23</v>
      </c>
      <c r="L1242" s="31">
        <f t="shared" si="41"/>
        <v>6181.7762999999995</v>
      </c>
      <c r="M1242" s="31">
        <v>2223.0300000000002</v>
      </c>
      <c r="N1242" s="22">
        <f>_xlfn.XLOOKUP(Snitch_Fashion_Sales_cleaned!$J1242,Table2[City],Table2[City_Key],"not found")</f>
        <v>5</v>
      </c>
      <c r="O1242" s="21">
        <f>_xlfn.XLOOKUP(Snitch_Fashion_Sales_cleaned!$D1242,Table4[Product_Name],Table4[Product_Key],"not found")</f>
        <v>9</v>
      </c>
      <c r="P1242" s="25">
        <f>_xlfn.XLOOKUP(Snitch_Fashion_Sales_cleaned!$I1242,Table3[Order_Date],Table3[Date_Key])</f>
        <v>337</v>
      </c>
    </row>
    <row r="1243" spans="1:16" x14ac:dyDescent="0.3">
      <c r="A1243" s="34">
        <v>2241</v>
      </c>
      <c r="B1243" s="32" t="s">
        <v>1276</v>
      </c>
      <c r="C1243" s="32" t="s">
        <v>31</v>
      </c>
      <c r="D1243" s="33" t="s">
        <v>41</v>
      </c>
      <c r="E1243" s="34">
        <v>2</v>
      </c>
      <c r="F1243" s="35">
        <v>1600.21</v>
      </c>
      <c r="G1243" s="36">
        <v>0.51</v>
      </c>
      <c r="H1243" s="35">
        <f t="shared" si="40"/>
        <v>3200.42</v>
      </c>
      <c r="I1243" s="37">
        <v>45647</v>
      </c>
      <c r="J1243" s="33" t="s">
        <v>43</v>
      </c>
      <c r="K1243" s="33" t="s">
        <v>23</v>
      </c>
      <c r="L1243" s="38">
        <f t="shared" si="41"/>
        <v>1568.2058</v>
      </c>
      <c r="M1243" s="38">
        <v>392.05144999999999</v>
      </c>
      <c r="N1243" s="24">
        <f>_xlfn.XLOOKUP(Snitch_Fashion_Sales_cleaned!$J1243,Table2[City],Table2[City_Key],"not found")</f>
        <v>6</v>
      </c>
      <c r="O1243" s="23">
        <f>_xlfn.XLOOKUP(Snitch_Fashion_Sales_cleaned!$D1243,Table4[Product_Name],Table4[Product_Key],"not found")</f>
        <v>9</v>
      </c>
      <c r="P1243" s="32">
        <f>_xlfn.XLOOKUP(Snitch_Fashion_Sales_cleaned!$I1243,Table3[Order_Date],Table3[Date_Key])</f>
        <v>5</v>
      </c>
    </row>
    <row r="1244" spans="1:16" x14ac:dyDescent="0.3">
      <c r="A1244" s="27">
        <v>2242</v>
      </c>
      <c r="B1244" s="25" t="s">
        <v>1277</v>
      </c>
      <c r="C1244" s="25" t="s">
        <v>25</v>
      </c>
      <c r="D1244" s="26" t="s">
        <v>26</v>
      </c>
      <c r="E1244" s="27">
        <v>6</v>
      </c>
      <c r="F1244" s="28">
        <v>4450.17</v>
      </c>
      <c r="G1244" s="29">
        <v>0.51</v>
      </c>
      <c r="H1244" s="28">
        <f t="shared" si="40"/>
        <v>26701.02</v>
      </c>
      <c r="I1244" s="30">
        <v>45613</v>
      </c>
      <c r="J1244" s="26" t="s">
        <v>18</v>
      </c>
      <c r="K1244" s="26" t="s">
        <v>23</v>
      </c>
      <c r="L1244" s="31">
        <f t="shared" si="41"/>
        <v>13083.4998</v>
      </c>
      <c r="M1244" s="31">
        <v>-96.55</v>
      </c>
      <c r="N1244" s="22">
        <f>_xlfn.XLOOKUP(Snitch_Fashion_Sales_cleaned!$J1244,Table2[City],Table2[City_Key],"not found")</f>
        <v>2</v>
      </c>
      <c r="O1244" s="21">
        <f>_xlfn.XLOOKUP(Snitch_Fashion_Sales_cleaned!$D1244,Table4[Product_Name],Table4[Product_Key],"not found")</f>
        <v>3</v>
      </c>
      <c r="P1244" s="25">
        <f>_xlfn.XLOOKUP(Snitch_Fashion_Sales_cleaned!$I1244,Table3[Order_Date],Table3[Date_Key])</f>
        <v>375</v>
      </c>
    </row>
    <row r="1245" spans="1:16" x14ac:dyDescent="0.3">
      <c r="A1245" s="34">
        <v>2243</v>
      </c>
      <c r="B1245" s="32" t="s">
        <v>1278</v>
      </c>
      <c r="C1245" s="32" t="s">
        <v>28</v>
      </c>
      <c r="D1245" s="33" t="s">
        <v>137</v>
      </c>
      <c r="E1245" s="34">
        <v>2</v>
      </c>
      <c r="F1245" s="35">
        <v>2338.04</v>
      </c>
      <c r="G1245" s="36">
        <v>0.51</v>
      </c>
      <c r="H1245" s="35">
        <f t="shared" si="40"/>
        <v>4676.08</v>
      </c>
      <c r="I1245" s="37">
        <v>45814</v>
      </c>
      <c r="J1245" s="33" t="s">
        <v>18</v>
      </c>
      <c r="K1245" s="33" t="s">
        <v>16</v>
      </c>
      <c r="L1245" s="38">
        <f t="shared" si="41"/>
        <v>2291.2791999999999</v>
      </c>
      <c r="M1245" s="38">
        <v>773.71</v>
      </c>
      <c r="N1245" s="24">
        <f>_xlfn.XLOOKUP(Snitch_Fashion_Sales_cleaned!$J1245,Table2[City],Table2[City_Key],"not found")</f>
        <v>2</v>
      </c>
      <c r="O1245" s="23">
        <f>_xlfn.XLOOKUP(Snitch_Fashion_Sales_cleaned!$D1245,Table4[Product_Name],Table4[Product_Key],"not found")</f>
        <v>24</v>
      </c>
      <c r="P1245" s="32">
        <f>_xlfn.XLOOKUP(Snitch_Fashion_Sales_cleaned!$I1245,Table3[Order_Date],Table3[Date_Key])</f>
        <v>198</v>
      </c>
    </row>
    <row r="1246" spans="1:16" x14ac:dyDescent="0.3">
      <c r="A1246" s="27">
        <v>2244</v>
      </c>
      <c r="B1246" s="25" t="s">
        <v>1279</v>
      </c>
      <c r="C1246" s="25" t="s">
        <v>36</v>
      </c>
      <c r="D1246" s="26" t="s">
        <v>55</v>
      </c>
      <c r="E1246" s="27">
        <v>3</v>
      </c>
      <c r="F1246" s="28">
        <v>2731.6350000000002</v>
      </c>
      <c r="G1246" s="29">
        <v>0.62</v>
      </c>
      <c r="H1246" s="28">
        <f t="shared" si="40"/>
        <v>8194.9050000000007</v>
      </c>
      <c r="I1246" s="30">
        <v>45568</v>
      </c>
      <c r="J1246" s="26" t="s">
        <v>2540</v>
      </c>
      <c r="K1246" s="26" t="s">
        <v>16</v>
      </c>
      <c r="L1246" s="31">
        <f t="shared" si="41"/>
        <v>3114.0639000000001</v>
      </c>
      <c r="M1246" s="31">
        <v>-835.44</v>
      </c>
      <c r="N1246" s="22">
        <f>_xlfn.XLOOKUP(Snitch_Fashion_Sales_cleaned!$J1246,Table2[City],Table2[City_Key],"not found")</f>
        <v>4</v>
      </c>
      <c r="O1246" s="21">
        <f>_xlfn.XLOOKUP(Snitch_Fashion_Sales_cleaned!$D1246,Table4[Product_Name],Table4[Product_Key],"not found")</f>
        <v>12</v>
      </c>
      <c r="P1246" s="25">
        <f>_xlfn.XLOOKUP(Snitch_Fashion_Sales_cleaned!$I1246,Table3[Order_Date],Table3[Date_Key])</f>
        <v>238</v>
      </c>
    </row>
    <row r="1247" spans="1:16" x14ac:dyDescent="0.3">
      <c r="A1247" s="34">
        <v>2245</v>
      </c>
      <c r="B1247" s="32" t="s">
        <v>1280</v>
      </c>
      <c r="C1247" s="32" t="s">
        <v>31</v>
      </c>
      <c r="D1247" s="33" t="s">
        <v>78</v>
      </c>
      <c r="E1247" s="34">
        <v>4</v>
      </c>
      <c r="F1247" s="35">
        <v>2599.75</v>
      </c>
      <c r="G1247" s="36">
        <v>0.51</v>
      </c>
      <c r="H1247" s="35">
        <f t="shared" si="40"/>
        <v>10399</v>
      </c>
      <c r="I1247" s="37">
        <v>45647</v>
      </c>
      <c r="J1247" s="33" t="s">
        <v>2540</v>
      </c>
      <c r="K1247" s="33" t="s">
        <v>23</v>
      </c>
      <c r="L1247" s="38">
        <f t="shared" si="41"/>
        <v>5095.51</v>
      </c>
      <c r="M1247" s="38">
        <v>1929.41</v>
      </c>
      <c r="N1247" s="24">
        <f>_xlfn.XLOOKUP(Snitch_Fashion_Sales_cleaned!$J1247,Table2[City],Table2[City_Key],"not found")</f>
        <v>4</v>
      </c>
      <c r="O1247" s="23">
        <f>_xlfn.XLOOKUP(Snitch_Fashion_Sales_cleaned!$D1247,Table4[Product_Name],Table4[Product_Key],"not found")</f>
        <v>17</v>
      </c>
      <c r="P1247" s="32">
        <f>_xlfn.XLOOKUP(Snitch_Fashion_Sales_cleaned!$I1247,Table3[Order_Date],Table3[Date_Key])</f>
        <v>5</v>
      </c>
    </row>
    <row r="1248" spans="1:16" x14ac:dyDescent="0.3">
      <c r="A1248" s="27">
        <v>2246</v>
      </c>
      <c r="B1248" s="25" t="s">
        <v>1281</v>
      </c>
      <c r="C1248" s="25" t="s">
        <v>25</v>
      </c>
      <c r="D1248" s="26" t="s">
        <v>62</v>
      </c>
      <c r="E1248" s="27">
        <v>4</v>
      </c>
      <c r="F1248" s="28">
        <v>2538.0450000000001</v>
      </c>
      <c r="G1248" s="29">
        <v>0.51</v>
      </c>
      <c r="H1248" s="28">
        <f t="shared" si="40"/>
        <v>10152.18</v>
      </c>
      <c r="I1248" s="30">
        <v>45321</v>
      </c>
      <c r="J1248" s="26" t="s">
        <v>43</v>
      </c>
      <c r="K1248" s="26" t="s">
        <v>23</v>
      </c>
      <c r="L1248" s="31">
        <f t="shared" si="41"/>
        <v>4974.5681999999997</v>
      </c>
      <c r="M1248" s="31">
        <v>311.56</v>
      </c>
      <c r="N1248" s="22">
        <f>_xlfn.XLOOKUP(Snitch_Fashion_Sales_cleaned!$J1248,Table2[City],Table2[City_Key],"not found")</f>
        <v>6</v>
      </c>
      <c r="O1248" s="21">
        <f>_xlfn.XLOOKUP(Snitch_Fashion_Sales_cleaned!$D1248,Table4[Product_Name],Table4[Product_Key],"not found")</f>
        <v>14</v>
      </c>
      <c r="P1248" s="25">
        <f>_xlfn.XLOOKUP(Snitch_Fashion_Sales_cleaned!$I1248,Table3[Order_Date],Table3[Date_Key])</f>
        <v>444</v>
      </c>
    </row>
    <row r="1249" spans="1:16" x14ac:dyDescent="0.3">
      <c r="A1249" s="34">
        <v>2247</v>
      </c>
      <c r="B1249" s="32" t="s">
        <v>1282</v>
      </c>
      <c r="C1249" s="32" t="s">
        <v>36</v>
      </c>
      <c r="D1249" s="33" t="s">
        <v>59</v>
      </c>
      <c r="E1249" s="34">
        <v>3</v>
      </c>
      <c r="F1249" s="35">
        <v>2209.4899999999998</v>
      </c>
      <c r="G1249" s="36">
        <v>0.51</v>
      </c>
      <c r="H1249" s="35">
        <f t="shared" si="40"/>
        <v>6628.4699999999993</v>
      </c>
      <c r="I1249" s="37">
        <v>45769</v>
      </c>
      <c r="J1249" s="33" t="s">
        <v>52</v>
      </c>
      <c r="K1249" s="33" t="s">
        <v>16</v>
      </c>
      <c r="L1249" s="38">
        <f t="shared" si="41"/>
        <v>3247.9502999999995</v>
      </c>
      <c r="M1249" s="38">
        <v>1944.57</v>
      </c>
      <c r="N1249" s="24">
        <f>_xlfn.XLOOKUP(Snitch_Fashion_Sales_cleaned!$J1249,Table2[City],Table2[City_Key],"not found")</f>
        <v>5</v>
      </c>
      <c r="O1249" s="23">
        <f>_xlfn.XLOOKUP(Snitch_Fashion_Sales_cleaned!$D1249,Table4[Product_Name],Table4[Product_Key],"not found")</f>
        <v>13</v>
      </c>
      <c r="P1249" s="32">
        <f>_xlfn.XLOOKUP(Snitch_Fashion_Sales_cleaned!$I1249,Table3[Order_Date],Table3[Date_Key])</f>
        <v>187</v>
      </c>
    </row>
    <row r="1250" spans="1:16" x14ac:dyDescent="0.3">
      <c r="A1250" s="27">
        <v>2248</v>
      </c>
      <c r="B1250" s="25" t="s">
        <v>1283</v>
      </c>
      <c r="C1250" s="25" t="s">
        <v>13</v>
      </c>
      <c r="D1250" s="26" t="s">
        <v>46</v>
      </c>
      <c r="E1250" s="27">
        <v>4</v>
      </c>
      <c r="F1250" s="28">
        <v>2891.64</v>
      </c>
      <c r="G1250" s="29">
        <v>0.51</v>
      </c>
      <c r="H1250" s="28">
        <f t="shared" si="40"/>
        <v>11566.56</v>
      </c>
      <c r="I1250" s="30">
        <v>45849</v>
      </c>
      <c r="J1250" s="26" t="s">
        <v>52</v>
      </c>
      <c r="K1250" s="26" t="s">
        <v>16</v>
      </c>
      <c r="L1250" s="31">
        <f t="shared" si="41"/>
        <v>5667.6143999999995</v>
      </c>
      <c r="M1250" s="31">
        <v>-306.57</v>
      </c>
      <c r="N1250" s="22">
        <f>_xlfn.XLOOKUP(Snitch_Fashion_Sales_cleaned!$J1250,Table2[City],Table2[City_Key],"not found")</f>
        <v>5</v>
      </c>
      <c r="O1250" s="21">
        <f>_xlfn.XLOOKUP(Snitch_Fashion_Sales_cleaned!$D1250,Table4[Product_Name],Table4[Product_Key],"not found")</f>
        <v>10</v>
      </c>
      <c r="P1250" s="25">
        <f>_xlfn.XLOOKUP(Snitch_Fashion_Sales_cleaned!$I1250,Table3[Order_Date],Table3[Date_Key])</f>
        <v>41</v>
      </c>
    </row>
    <row r="1251" spans="1:16" x14ac:dyDescent="0.3">
      <c r="A1251" s="34">
        <v>2249</v>
      </c>
      <c r="B1251" s="32" t="s">
        <v>1284</v>
      </c>
      <c r="C1251" s="32" t="s">
        <v>36</v>
      </c>
      <c r="D1251" s="33" t="s">
        <v>55</v>
      </c>
      <c r="E1251" s="34">
        <v>1</v>
      </c>
      <c r="F1251" s="35">
        <v>2731.6350000000002</v>
      </c>
      <c r="G1251" s="36">
        <v>0.51</v>
      </c>
      <c r="H1251" s="35">
        <f t="shared" si="40"/>
        <v>2731.6350000000002</v>
      </c>
      <c r="I1251" s="37">
        <v>45398</v>
      </c>
      <c r="J1251" s="33" t="s">
        <v>22</v>
      </c>
      <c r="K1251" s="33" t="s">
        <v>23</v>
      </c>
      <c r="L1251" s="38">
        <f t="shared" si="41"/>
        <v>1338.5011500000001</v>
      </c>
      <c r="M1251" s="38">
        <v>-132.08000000000001</v>
      </c>
      <c r="N1251" s="24">
        <f>_xlfn.XLOOKUP(Snitch_Fashion_Sales_cleaned!$J1251,Table2[City],Table2[City_Key],"not found")</f>
        <v>3</v>
      </c>
      <c r="O1251" s="23">
        <f>_xlfn.XLOOKUP(Snitch_Fashion_Sales_cleaned!$D1251,Table4[Product_Name],Table4[Product_Key],"not found")</f>
        <v>12</v>
      </c>
      <c r="P1251" s="32">
        <f>_xlfn.XLOOKUP(Snitch_Fashion_Sales_cleaned!$I1251,Table3[Order_Date],Table3[Date_Key])</f>
        <v>445</v>
      </c>
    </row>
    <row r="1252" spans="1:16" x14ac:dyDescent="0.3">
      <c r="A1252" s="27">
        <v>2250</v>
      </c>
      <c r="B1252" s="25" t="s">
        <v>1285</v>
      </c>
      <c r="C1252" s="25" t="s">
        <v>20</v>
      </c>
      <c r="D1252" s="26" t="s">
        <v>21</v>
      </c>
      <c r="E1252" s="27">
        <v>4</v>
      </c>
      <c r="F1252" s="28">
        <v>2579.8000000000002</v>
      </c>
      <c r="G1252" s="29">
        <v>0.51</v>
      </c>
      <c r="H1252" s="28">
        <f t="shared" si="40"/>
        <v>10319.200000000001</v>
      </c>
      <c r="I1252" s="30">
        <v>45647</v>
      </c>
      <c r="J1252" s="26" t="s">
        <v>22</v>
      </c>
      <c r="K1252" s="26" t="s">
        <v>23</v>
      </c>
      <c r="L1252" s="31">
        <f t="shared" si="41"/>
        <v>5056.4080000000004</v>
      </c>
      <c r="M1252" s="31">
        <v>2594.9</v>
      </c>
      <c r="N1252" s="22">
        <f>_xlfn.XLOOKUP(Snitch_Fashion_Sales_cleaned!$J1252,Table2[City],Table2[City_Key],"not found")</f>
        <v>3</v>
      </c>
      <c r="O1252" s="21">
        <f>_xlfn.XLOOKUP(Snitch_Fashion_Sales_cleaned!$D1252,Table4[Product_Name],Table4[Product_Key],"not found")</f>
        <v>2</v>
      </c>
      <c r="P1252" s="25">
        <f>_xlfn.XLOOKUP(Snitch_Fashion_Sales_cleaned!$I1252,Table3[Order_Date],Table3[Date_Key])</f>
        <v>5</v>
      </c>
    </row>
    <row r="1253" spans="1:16" x14ac:dyDescent="0.3">
      <c r="A1253" s="34">
        <v>2251</v>
      </c>
      <c r="B1253" s="32" t="s">
        <v>1286</v>
      </c>
      <c r="C1253" s="32" t="s">
        <v>36</v>
      </c>
      <c r="D1253" s="33" t="s">
        <v>37</v>
      </c>
      <c r="E1253" s="34">
        <v>4</v>
      </c>
      <c r="F1253" s="35">
        <v>1438.68</v>
      </c>
      <c r="G1253" s="36">
        <v>0.51</v>
      </c>
      <c r="H1253" s="35">
        <f t="shared" si="40"/>
        <v>5754.72</v>
      </c>
      <c r="I1253" s="37">
        <v>45722</v>
      </c>
      <c r="J1253" s="33" t="s">
        <v>18</v>
      </c>
      <c r="K1253" s="33" t="s">
        <v>16</v>
      </c>
      <c r="L1253" s="38">
        <f t="shared" si="41"/>
        <v>2819.8128000000002</v>
      </c>
      <c r="M1253" s="38">
        <v>2726.72</v>
      </c>
      <c r="N1253" s="24">
        <f>_xlfn.XLOOKUP(Snitch_Fashion_Sales_cleaned!$J1253,Table2[City],Table2[City_Key],"not found")</f>
        <v>2</v>
      </c>
      <c r="O1253" s="23">
        <f>_xlfn.XLOOKUP(Snitch_Fashion_Sales_cleaned!$D1253,Table4[Product_Name],Table4[Product_Key],"not found")</f>
        <v>7</v>
      </c>
      <c r="P1253" s="32">
        <f>_xlfn.XLOOKUP(Snitch_Fashion_Sales_cleaned!$I1253,Table3[Order_Date],Table3[Date_Key])</f>
        <v>358</v>
      </c>
    </row>
    <row r="1254" spans="1:16" x14ac:dyDescent="0.3">
      <c r="A1254" s="27">
        <v>2252</v>
      </c>
      <c r="B1254" s="25" t="s">
        <v>1287</v>
      </c>
      <c r="C1254" s="25" t="s">
        <v>25</v>
      </c>
      <c r="D1254" s="26" t="s">
        <v>50</v>
      </c>
      <c r="E1254" s="27">
        <v>6</v>
      </c>
      <c r="F1254" s="28">
        <v>2755.37</v>
      </c>
      <c r="G1254" s="29">
        <v>0.51</v>
      </c>
      <c r="H1254" s="28">
        <f t="shared" si="40"/>
        <v>16532.22</v>
      </c>
      <c r="I1254" s="30">
        <v>45793</v>
      </c>
      <c r="J1254" s="26" t="s">
        <v>15</v>
      </c>
      <c r="K1254" s="26" t="s">
        <v>16</v>
      </c>
      <c r="L1254" s="31">
        <f t="shared" si="41"/>
        <v>8100.7878000000001</v>
      </c>
      <c r="M1254" s="31">
        <v>613.59</v>
      </c>
      <c r="N1254" s="22">
        <f>_xlfn.XLOOKUP(Snitch_Fashion_Sales_cleaned!$J1254,Table2[City],Table2[City_Key],"not found")</f>
        <v>1</v>
      </c>
      <c r="O1254" s="21">
        <f>_xlfn.XLOOKUP(Snitch_Fashion_Sales_cleaned!$D1254,Table4[Product_Name],Table4[Product_Key],"not found")</f>
        <v>11</v>
      </c>
      <c r="P1254" s="25">
        <f>_xlfn.XLOOKUP(Snitch_Fashion_Sales_cleaned!$I1254,Table3[Order_Date],Table3[Date_Key])</f>
        <v>366</v>
      </c>
    </row>
    <row r="1255" spans="1:16" x14ac:dyDescent="0.3">
      <c r="A1255" s="34">
        <v>2253</v>
      </c>
      <c r="B1255" s="32" t="s">
        <v>1288</v>
      </c>
      <c r="C1255" s="32" t="s">
        <v>20</v>
      </c>
      <c r="D1255" s="33" t="s">
        <v>118</v>
      </c>
      <c r="E1255" s="34">
        <v>3.5</v>
      </c>
      <c r="F1255" s="35">
        <v>2752.99</v>
      </c>
      <c r="G1255" s="36">
        <v>0.51</v>
      </c>
      <c r="H1255" s="35">
        <f t="shared" si="40"/>
        <v>9635.4650000000001</v>
      </c>
      <c r="I1255" s="37">
        <v>45700</v>
      </c>
      <c r="J1255" s="33" t="s">
        <v>2540</v>
      </c>
      <c r="K1255" s="33" t="s">
        <v>23</v>
      </c>
      <c r="L1255" s="38">
        <f t="shared" si="41"/>
        <v>4721.3778499999999</v>
      </c>
      <c r="M1255" s="38">
        <v>716.99</v>
      </c>
      <c r="N1255" s="24">
        <f>_xlfn.XLOOKUP(Snitch_Fashion_Sales_cleaned!$J1255,Table2[City],Table2[City_Key],"not found")</f>
        <v>4</v>
      </c>
      <c r="O1255" s="23">
        <f>_xlfn.XLOOKUP(Snitch_Fashion_Sales_cleaned!$D1255,Table4[Product_Name],Table4[Product_Key],"not found")</f>
        <v>23</v>
      </c>
      <c r="P1255" s="32">
        <f>_xlfn.XLOOKUP(Snitch_Fashion_Sales_cleaned!$I1255,Table3[Order_Date],Table3[Date_Key])</f>
        <v>39</v>
      </c>
    </row>
    <row r="1256" spans="1:16" x14ac:dyDescent="0.3">
      <c r="A1256" s="27">
        <v>2254</v>
      </c>
      <c r="B1256" s="25" t="s">
        <v>1289</v>
      </c>
      <c r="C1256" s="25" t="s">
        <v>31</v>
      </c>
      <c r="D1256" s="26" t="s">
        <v>68</v>
      </c>
      <c r="E1256" s="27">
        <v>4</v>
      </c>
      <c r="F1256" s="28">
        <v>4998.91</v>
      </c>
      <c r="G1256" s="29">
        <v>0.51</v>
      </c>
      <c r="H1256" s="28">
        <f t="shared" si="40"/>
        <v>19995.64</v>
      </c>
      <c r="I1256" s="30">
        <v>45647</v>
      </c>
      <c r="J1256" s="26" t="s">
        <v>22</v>
      </c>
      <c r="K1256" s="26" t="s">
        <v>23</v>
      </c>
      <c r="L1256" s="31">
        <f t="shared" si="41"/>
        <v>9797.8635999999988</v>
      </c>
      <c r="M1256" s="31">
        <v>-396.07</v>
      </c>
      <c r="N1256" s="22">
        <f>_xlfn.XLOOKUP(Snitch_Fashion_Sales_cleaned!$J1256,Table2[City],Table2[City_Key],"not found")</f>
        <v>3</v>
      </c>
      <c r="O1256" s="21">
        <f>_xlfn.XLOOKUP(Snitch_Fashion_Sales_cleaned!$D1256,Table4[Product_Name],Table4[Product_Key],"not found")</f>
        <v>15</v>
      </c>
      <c r="P1256" s="25">
        <f>_xlfn.XLOOKUP(Snitch_Fashion_Sales_cleaned!$I1256,Table3[Order_Date],Table3[Date_Key])</f>
        <v>5</v>
      </c>
    </row>
    <row r="1257" spans="1:16" x14ac:dyDescent="0.3">
      <c r="A1257" s="34">
        <v>2255</v>
      </c>
      <c r="B1257" s="32" t="s">
        <v>1290</v>
      </c>
      <c r="C1257" s="32" t="s">
        <v>28</v>
      </c>
      <c r="D1257" s="33" t="s">
        <v>29</v>
      </c>
      <c r="E1257" s="34">
        <v>3</v>
      </c>
      <c r="F1257" s="35">
        <v>4478.08</v>
      </c>
      <c r="G1257" s="36">
        <v>0.51</v>
      </c>
      <c r="H1257" s="35">
        <f t="shared" si="40"/>
        <v>13434.24</v>
      </c>
      <c r="I1257" s="37">
        <v>45782</v>
      </c>
      <c r="J1257" s="33" t="s">
        <v>43</v>
      </c>
      <c r="K1257" s="33" t="s">
        <v>23</v>
      </c>
      <c r="L1257" s="38">
        <f t="shared" si="41"/>
        <v>6582.7775999999994</v>
      </c>
      <c r="M1257" s="38">
        <v>2090.38</v>
      </c>
      <c r="N1257" s="24">
        <f>_xlfn.XLOOKUP(Snitch_Fashion_Sales_cleaned!$J1257,Table2[City],Table2[City_Key],"not found")</f>
        <v>6</v>
      </c>
      <c r="O1257" s="23">
        <f>_xlfn.XLOOKUP(Snitch_Fashion_Sales_cleaned!$D1257,Table4[Product_Name],Table4[Product_Key],"not found")</f>
        <v>4</v>
      </c>
      <c r="P1257" s="32">
        <f>_xlfn.XLOOKUP(Snitch_Fashion_Sales_cleaned!$I1257,Table3[Order_Date],Table3[Date_Key])</f>
        <v>80</v>
      </c>
    </row>
    <row r="1258" spans="1:16" x14ac:dyDescent="0.3">
      <c r="A1258" s="27">
        <v>2256</v>
      </c>
      <c r="B1258" s="25" t="s">
        <v>1291</v>
      </c>
      <c r="C1258" s="25" t="s">
        <v>36</v>
      </c>
      <c r="D1258" s="26" t="s">
        <v>37</v>
      </c>
      <c r="E1258" s="27">
        <v>4</v>
      </c>
      <c r="F1258" s="28">
        <v>535.27</v>
      </c>
      <c r="G1258" s="29">
        <v>0.51</v>
      </c>
      <c r="H1258" s="28">
        <f t="shared" si="40"/>
        <v>2141.08</v>
      </c>
      <c r="I1258" s="30">
        <v>45740</v>
      </c>
      <c r="J1258" s="26" t="s">
        <v>18</v>
      </c>
      <c r="K1258" s="26" t="s">
        <v>23</v>
      </c>
      <c r="L1258" s="31">
        <f t="shared" si="41"/>
        <v>1049.1291999999999</v>
      </c>
      <c r="M1258" s="31">
        <v>262.28229999999996</v>
      </c>
      <c r="N1258" s="22">
        <f>_xlfn.XLOOKUP(Snitch_Fashion_Sales_cleaned!$J1258,Table2[City],Table2[City_Key],"not found")</f>
        <v>2</v>
      </c>
      <c r="O1258" s="21">
        <f>_xlfn.XLOOKUP(Snitch_Fashion_Sales_cleaned!$D1258,Table4[Product_Name],Table4[Product_Key],"not found")</f>
        <v>7</v>
      </c>
      <c r="P1258" s="25">
        <f>_xlfn.XLOOKUP(Snitch_Fashion_Sales_cleaned!$I1258,Table3[Order_Date],Table3[Date_Key])</f>
        <v>160</v>
      </c>
    </row>
    <row r="1259" spans="1:16" x14ac:dyDescent="0.3">
      <c r="A1259" s="34">
        <v>2257</v>
      </c>
      <c r="B1259" s="32" t="s">
        <v>1292</v>
      </c>
      <c r="C1259" s="32" t="s">
        <v>36</v>
      </c>
      <c r="D1259" s="33" t="s">
        <v>87</v>
      </c>
      <c r="E1259" s="34">
        <v>4</v>
      </c>
      <c r="F1259" s="35">
        <v>2889.5349999999999</v>
      </c>
      <c r="G1259" s="36">
        <v>0.51</v>
      </c>
      <c r="H1259" s="35">
        <f t="shared" si="40"/>
        <v>11558.14</v>
      </c>
      <c r="I1259" s="37">
        <v>45678</v>
      </c>
      <c r="J1259" s="33" t="s">
        <v>22</v>
      </c>
      <c r="K1259" s="33" t="s">
        <v>16</v>
      </c>
      <c r="L1259" s="38">
        <f t="shared" si="41"/>
        <v>5663.4885999999997</v>
      </c>
      <c r="M1259" s="38">
        <v>980.52</v>
      </c>
      <c r="N1259" s="24">
        <f>_xlfn.XLOOKUP(Snitch_Fashion_Sales_cleaned!$J1259,Table2[City],Table2[City_Key],"not found")</f>
        <v>3</v>
      </c>
      <c r="O1259" s="23">
        <f>_xlfn.XLOOKUP(Snitch_Fashion_Sales_cleaned!$D1259,Table4[Product_Name],Table4[Product_Key],"not found")</f>
        <v>20</v>
      </c>
      <c r="P1259" s="32">
        <f>_xlfn.XLOOKUP(Snitch_Fashion_Sales_cleaned!$I1259,Table3[Order_Date],Table3[Date_Key])</f>
        <v>208</v>
      </c>
    </row>
    <row r="1260" spans="1:16" x14ac:dyDescent="0.3">
      <c r="A1260" s="27">
        <v>2258</v>
      </c>
      <c r="B1260" s="25" t="s">
        <v>1293</v>
      </c>
      <c r="C1260" s="25" t="s">
        <v>25</v>
      </c>
      <c r="D1260" s="26" t="s">
        <v>82</v>
      </c>
      <c r="E1260" s="27">
        <v>3</v>
      </c>
      <c r="F1260" s="28">
        <v>2385.5749999999998</v>
      </c>
      <c r="G1260" s="29">
        <v>0.51</v>
      </c>
      <c r="H1260" s="28">
        <f t="shared" si="40"/>
        <v>7156.7249999999995</v>
      </c>
      <c r="I1260" s="30">
        <v>45810</v>
      </c>
      <c r="J1260" s="26" t="s">
        <v>2540</v>
      </c>
      <c r="K1260" s="26" t="s">
        <v>23</v>
      </c>
      <c r="L1260" s="31">
        <f t="shared" si="41"/>
        <v>3506.7952499999997</v>
      </c>
      <c r="M1260" s="31">
        <v>1444.24</v>
      </c>
      <c r="N1260" s="22">
        <f>_xlfn.XLOOKUP(Snitch_Fashion_Sales_cleaned!$J1260,Table2[City],Table2[City_Key],"not found")</f>
        <v>4</v>
      </c>
      <c r="O1260" s="21">
        <f>_xlfn.XLOOKUP(Snitch_Fashion_Sales_cleaned!$D1260,Table4[Product_Name],Table4[Product_Key],"not found")</f>
        <v>18</v>
      </c>
      <c r="P1260" s="25">
        <f>_xlfn.XLOOKUP(Snitch_Fashion_Sales_cleaned!$I1260,Table3[Order_Date],Table3[Date_Key])</f>
        <v>180</v>
      </c>
    </row>
    <row r="1261" spans="1:16" x14ac:dyDescent="0.3">
      <c r="A1261" s="34">
        <v>2259</v>
      </c>
      <c r="B1261" s="32" t="s">
        <v>1294</v>
      </c>
      <c r="C1261" s="32" t="s">
        <v>25</v>
      </c>
      <c r="D1261" s="33" t="s">
        <v>50</v>
      </c>
      <c r="E1261" s="34">
        <v>1</v>
      </c>
      <c r="F1261" s="35">
        <v>2854.4</v>
      </c>
      <c r="G1261" s="36">
        <v>0.51</v>
      </c>
      <c r="H1261" s="35">
        <f t="shared" si="40"/>
        <v>2854.4</v>
      </c>
      <c r="I1261" s="37">
        <v>45508</v>
      </c>
      <c r="J1261" s="33" t="s">
        <v>2540</v>
      </c>
      <c r="K1261" s="33" t="s">
        <v>16</v>
      </c>
      <c r="L1261" s="38">
        <f t="shared" si="41"/>
        <v>1398.6559999999999</v>
      </c>
      <c r="M1261" s="38">
        <v>542.9</v>
      </c>
      <c r="N1261" s="24">
        <f>_xlfn.XLOOKUP(Snitch_Fashion_Sales_cleaned!$J1261,Table2[City],Table2[City_Key],"not found")</f>
        <v>4</v>
      </c>
      <c r="O1261" s="23">
        <f>_xlfn.XLOOKUP(Snitch_Fashion_Sales_cleaned!$D1261,Table4[Product_Name],Table4[Product_Key],"not found")</f>
        <v>11</v>
      </c>
      <c r="P1261" s="32">
        <f>_xlfn.XLOOKUP(Snitch_Fashion_Sales_cleaned!$I1261,Table3[Order_Date],Table3[Date_Key])</f>
        <v>188</v>
      </c>
    </row>
    <row r="1262" spans="1:16" x14ac:dyDescent="0.3">
      <c r="A1262" s="27">
        <v>2260</v>
      </c>
      <c r="B1262" s="25" t="s">
        <v>1295</v>
      </c>
      <c r="C1262" s="25" t="s">
        <v>13</v>
      </c>
      <c r="D1262" s="26" t="s">
        <v>98</v>
      </c>
      <c r="E1262" s="27">
        <v>5</v>
      </c>
      <c r="F1262" s="28">
        <v>2750.33</v>
      </c>
      <c r="G1262" s="29">
        <v>0.51</v>
      </c>
      <c r="H1262" s="28">
        <f t="shared" si="40"/>
        <v>13751.65</v>
      </c>
      <c r="I1262" s="30">
        <v>45647</v>
      </c>
      <c r="J1262" s="26" t="s">
        <v>52</v>
      </c>
      <c r="K1262" s="26" t="s">
        <v>23</v>
      </c>
      <c r="L1262" s="31">
        <f t="shared" si="41"/>
        <v>6738.3085000000001</v>
      </c>
      <c r="M1262" s="31">
        <v>2697.38</v>
      </c>
      <c r="N1262" s="22">
        <f>_xlfn.XLOOKUP(Snitch_Fashion_Sales_cleaned!$J1262,Table2[City],Table2[City_Key],"not found")</f>
        <v>5</v>
      </c>
      <c r="O1262" s="21">
        <f>_xlfn.XLOOKUP(Snitch_Fashion_Sales_cleaned!$D1262,Table4[Product_Name],Table4[Product_Key],"not found")</f>
        <v>21</v>
      </c>
      <c r="P1262" s="25">
        <f>_xlfn.XLOOKUP(Snitch_Fashion_Sales_cleaned!$I1262,Table3[Order_Date],Table3[Date_Key])</f>
        <v>5</v>
      </c>
    </row>
    <row r="1263" spans="1:16" x14ac:dyDescent="0.3">
      <c r="A1263" s="34">
        <v>1039</v>
      </c>
      <c r="B1263" s="32" t="s">
        <v>1296</v>
      </c>
      <c r="C1263" s="32" t="s">
        <v>31</v>
      </c>
      <c r="D1263" s="33" t="s">
        <v>32</v>
      </c>
      <c r="E1263" s="34">
        <v>4</v>
      </c>
      <c r="F1263" s="35">
        <v>633.23</v>
      </c>
      <c r="G1263" s="36">
        <v>0.51</v>
      </c>
      <c r="H1263" s="35">
        <f t="shared" si="40"/>
        <v>2532.92</v>
      </c>
      <c r="I1263" s="37">
        <v>45539</v>
      </c>
      <c r="J1263" s="33" t="s">
        <v>22</v>
      </c>
      <c r="K1263" s="33" t="s">
        <v>16</v>
      </c>
      <c r="L1263" s="38">
        <f t="shared" si="41"/>
        <v>1241.1307999999999</v>
      </c>
      <c r="M1263" s="38">
        <v>232.2</v>
      </c>
      <c r="N1263" s="24">
        <f>_xlfn.XLOOKUP(Snitch_Fashion_Sales_cleaned!$J1263,Table2[City],Table2[City_Key],"not found")</f>
        <v>3</v>
      </c>
      <c r="O1263" s="23">
        <f>_xlfn.XLOOKUP(Snitch_Fashion_Sales_cleaned!$D1263,Table4[Product_Name],Table4[Product_Key],"not found")</f>
        <v>5</v>
      </c>
      <c r="P1263" s="32">
        <f>_xlfn.XLOOKUP(Snitch_Fashion_Sales_cleaned!$I1263,Table3[Order_Date],Table3[Date_Key])</f>
        <v>231</v>
      </c>
    </row>
    <row r="1264" spans="1:16" x14ac:dyDescent="0.3">
      <c r="A1264" s="27">
        <v>2262</v>
      </c>
      <c r="B1264" s="25" t="s">
        <v>1297</v>
      </c>
      <c r="C1264" s="25" t="s">
        <v>36</v>
      </c>
      <c r="D1264" s="26" t="s">
        <v>55</v>
      </c>
      <c r="E1264" s="27">
        <v>3</v>
      </c>
      <c r="F1264" s="28">
        <v>2957.48</v>
      </c>
      <c r="G1264" s="29">
        <v>0.51</v>
      </c>
      <c r="H1264" s="28">
        <f t="shared" si="40"/>
        <v>8872.44</v>
      </c>
      <c r="I1264" s="30">
        <v>45544</v>
      </c>
      <c r="J1264" s="26" t="s">
        <v>52</v>
      </c>
      <c r="K1264" s="26" t="s">
        <v>23</v>
      </c>
      <c r="L1264" s="31">
        <f t="shared" si="41"/>
        <v>4347.4956000000002</v>
      </c>
      <c r="M1264" s="31">
        <v>2744.25</v>
      </c>
      <c r="N1264" s="22">
        <f>_xlfn.XLOOKUP(Snitch_Fashion_Sales_cleaned!$J1264,Table2[City],Table2[City_Key],"not found")</f>
        <v>5</v>
      </c>
      <c r="O1264" s="21">
        <f>_xlfn.XLOOKUP(Snitch_Fashion_Sales_cleaned!$D1264,Table4[Product_Name],Table4[Product_Key],"not found")</f>
        <v>12</v>
      </c>
      <c r="P1264" s="25">
        <f>_xlfn.XLOOKUP(Snitch_Fashion_Sales_cleaned!$I1264,Table3[Order_Date],Table3[Date_Key])</f>
        <v>446</v>
      </c>
    </row>
    <row r="1265" spans="1:16" x14ac:dyDescent="0.3">
      <c r="A1265" s="34">
        <v>2263</v>
      </c>
      <c r="B1265" s="32" t="s">
        <v>1298</v>
      </c>
      <c r="C1265" s="32" t="s">
        <v>25</v>
      </c>
      <c r="D1265" s="33" t="s">
        <v>82</v>
      </c>
      <c r="E1265" s="34">
        <v>3</v>
      </c>
      <c r="F1265" s="35">
        <v>4252.05</v>
      </c>
      <c r="G1265" s="36">
        <v>0.51</v>
      </c>
      <c r="H1265" s="35">
        <f t="shared" si="40"/>
        <v>12756.150000000001</v>
      </c>
      <c r="I1265" s="37">
        <v>45647</v>
      </c>
      <c r="J1265" s="33" t="s">
        <v>22</v>
      </c>
      <c r="K1265" s="33" t="s">
        <v>16</v>
      </c>
      <c r="L1265" s="38">
        <f t="shared" si="41"/>
        <v>6250.5135000000009</v>
      </c>
      <c r="M1265" s="38">
        <v>-396.3</v>
      </c>
      <c r="N1265" s="24">
        <f>_xlfn.XLOOKUP(Snitch_Fashion_Sales_cleaned!$J1265,Table2[City],Table2[City_Key],"not found")</f>
        <v>3</v>
      </c>
      <c r="O1265" s="23">
        <f>_xlfn.XLOOKUP(Snitch_Fashion_Sales_cleaned!$D1265,Table4[Product_Name],Table4[Product_Key],"not found")</f>
        <v>18</v>
      </c>
      <c r="P1265" s="32">
        <f>_xlfn.XLOOKUP(Snitch_Fashion_Sales_cleaned!$I1265,Table3[Order_Date],Table3[Date_Key])</f>
        <v>5</v>
      </c>
    </row>
    <row r="1266" spans="1:16" x14ac:dyDescent="0.3">
      <c r="A1266" s="27">
        <v>2264</v>
      </c>
      <c r="B1266" s="25" t="s">
        <v>1299</v>
      </c>
      <c r="C1266" s="25" t="s">
        <v>13</v>
      </c>
      <c r="D1266" s="26" t="s">
        <v>46</v>
      </c>
      <c r="E1266" s="27">
        <v>4</v>
      </c>
      <c r="F1266" s="28">
        <v>3541.13</v>
      </c>
      <c r="G1266" s="29">
        <v>0.51</v>
      </c>
      <c r="H1266" s="28">
        <f t="shared" si="40"/>
        <v>14164.52</v>
      </c>
      <c r="I1266" s="30">
        <v>45647</v>
      </c>
      <c r="J1266" s="26" t="s">
        <v>52</v>
      </c>
      <c r="K1266" s="26" t="s">
        <v>23</v>
      </c>
      <c r="L1266" s="31">
        <f t="shared" si="41"/>
        <v>6940.6148000000003</v>
      </c>
      <c r="M1266" s="31">
        <v>1711.99</v>
      </c>
      <c r="N1266" s="22">
        <f>_xlfn.XLOOKUP(Snitch_Fashion_Sales_cleaned!$J1266,Table2[City],Table2[City_Key],"not found")</f>
        <v>5</v>
      </c>
      <c r="O1266" s="21">
        <f>_xlfn.XLOOKUP(Snitch_Fashion_Sales_cleaned!$D1266,Table4[Product_Name],Table4[Product_Key],"not found")</f>
        <v>10</v>
      </c>
      <c r="P1266" s="25">
        <f>_xlfn.XLOOKUP(Snitch_Fashion_Sales_cleaned!$I1266,Table3[Order_Date],Table3[Date_Key])</f>
        <v>5</v>
      </c>
    </row>
    <row r="1267" spans="1:16" x14ac:dyDescent="0.3">
      <c r="A1267" s="34">
        <v>2265</v>
      </c>
      <c r="B1267" s="32" t="s">
        <v>1300</v>
      </c>
      <c r="C1267" s="32" t="s">
        <v>31</v>
      </c>
      <c r="D1267" s="33" t="s">
        <v>78</v>
      </c>
      <c r="E1267" s="34">
        <v>4</v>
      </c>
      <c r="F1267" s="35">
        <v>2599.75</v>
      </c>
      <c r="G1267" s="36">
        <v>0.5</v>
      </c>
      <c r="H1267" s="35">
        <f t="shared" si="40"/>
        <v>10399</v>
      </c>
      <c r="I1267" s="37">
        <v>45736</v>
      </c>
      <c r="J1267" s="33" t="s">
        <v>2540</v>
      </c>
      <c r="K1267" s="33" t="s">
        <v>16</v>
      </c>
      <c r="L1267" s="38">
        <f t="shared" si="41"/>
        <v>5199.5</v>
      </c>
      <c r="M1267" s="38">
        <v>399.62</v>
      </c>
      <c r="N1267" s="24">
        <f>_xlfn.XLOOKUP(Snitch_Fashion_Sales_cleaned!$J1267,Table2[City],Table2[City_Key],"not found")</f>
        <v>4</v>
      </c>
      <c r="O1267" s="23">
        <f>_xlfn.XLOOKUP(Snitch_Fashion_Sales_cleaned!$D1267,Table4[Product_Name],Table4[Product_Key],"not found")</f>
        <v>17</v>
      </c>
      <c r="P1267" s="32">
        <f>_xlfn.XLOOKUP(Snitch_Fashion_Sales_cleaned!$I1267,Table3[Order_Date],Table3[Date_Key])</f>
        <v>423</v>
      </c>
    </row>
    <row r="1268" spans="1:16" x14ac:dyDescent="0.3">
      <c r="A1268" s="27">
        <v>1036</v>
      </c>
      <c r="B1268" s="25" t="s">
        <v>1301</v>
      </c>
      <c r="C1268" s="25" t="s">
        <v>25</v>
      </c>
      <c r="D1268" s="26" t="s">
        <v>82</v>
      </c>
      <c r="E1268" s="27">
        <v>6</v>
      </c>
      <c r="F1268" s="28">
        <v>4437.4399999999996</v>
      </c>
      <c r="G1268" s="29">
        <v>0.51</v>
      </c>
      <c r="H1268" s="28">
        <f t="shared" si="40"/>
        <v>26624.639999999999</v>
      </c>
      <c r="I1268" s="30">
        <v>45539</v>
      </c>
      <c r="J1268" s="26" t="s">
        <v>43</v>
      </c>
      <c r="K1268" s="26" t="s">
        <v>16</v>
      </c>
      <c r="L1268" s="31">
        <f t="shared" si="41"/>
        <v>13046.0736</v>
      </c>
      <c r="M1268" s="31">
        <v>493.76</v>
      </c>
      <c r="N1268" s="22">
        <f>_xlfn.XLOOKUP(Snitch_Fashion_Sales_cleaned!$J1268,Table2[City],Table2[City_Key],"not found")</f>
        <v>6</v>
      </c>
      <c r="O1268" s="21">
        <f>_xlfn.XLOOKUP(Snitch_Fashion_Sales_cleaned!$D1268,Table4[Product_Name],Table4[Product_Key],"not found")</f>
        <v>18</v>
      </c>
      <c r="P1268" s="25">
        <f>_xlfn.XLOOKUP(Snitch_Fashion_Sales_cleaned!$I1268,Table3[Order_Date],Table3[Date_Key])</f>
        <v>231</v>
      </c>
    </row>
    <row r="1269" spans="1:16" x14ac:dyDescent="0.3">
      <c r="A1269" s="34">
        <v>2267</v>
      </c>
      <c r="B1269" s="32" t="s">
        <v>1302</v>
      </c>
      <c r="C1269" s="32" t="s">
        <v>36</v>
      </c>
      <c r="D1269" s="33" t="s">
        <v>37</v>
      </c>
      <c r="E1269" s="34">
        <v>4</v>
      </c>
      <c r="F1269" s="35">
        <v>2975.64</v>
      </c>
      <c r="G1269" s="36">
        <v>0.51</v>
      </c>
      <c r="H1269" s="35">
        <f t="shared" si="40"/>
        <v>11902.56</v>
      </c>
      <c r="I1269" s="37">
        <v>45647</v>
      </c>
      <c r="J1269" s="33" t="s">
        <v>2540</v>
      </c>
      <c r="K1269" s="33" t="s">
        <v>23</v>
      </c>
      <c r="L1269" s="38">
        <f t="shared" si="41"/>
        <v>5832.2543999999998</v>
      </c>
      <c r="M1269" s="38">
        <v>1989.07</v>
      </c>
      <c r="N1269" s="24">
        <f>_xlfn.XLOOKUP(Snitch_Fashion_Sales_cleaned!$J1269,Table2[City],Table2[City_Key],"not found")</f>
        <v>4</v>
      </c>
      <c r="O1269" s="23">
        <f>_xlfn.XLOOKUP(Snitch_Fashion_Sales_cleaned!$D1269,Table4[Product_Name],Table4[Product_Key],"not found")</f>
        <v>7</v>
      </c>
      <c r="P1269" s="32">
        <f>_xlfn.XLOOKUP(Snitch_Fashion_Sales_cleaned!$I1269,Table3[Order_Date],Table3[Date_Key])</f>
        <v>5</v>
      </c>
    </row>
    <row r="1270" spans="1:16" x14ac:dyDescent="0.3">
      <c r="A1270" s="27">
        <v>2268</v>
      </c>
      <c r="B1270" s="25" t="s">
        <v>1303</v>
      </c>
      <c r="C1270" s="25" t="s">
        <v>25</v>
      </c>
      <c r="D1270" s="26" t="s">
        <v>26</v>
      </c>
      <c r="E1270" s="27">
        <v>4</v>
      </c>
      <c r="F1270" s="28">
        <v>4300.05</v>
      </c>
      <c r="G1270" s="29">
        <v>0.51</v>
      </c>
      <c r="H1270" s="28">
        <f t="shared" si="40"/>
        <v>17200.2</v>
      </c>
      <c r="I1270" s="30">
        <v>45618</v>
      </c>
      <c r="J1270" s="26" t="s">
        <v>2540</v>
      </c>
      <c r="K1270" s="26" t="s">
        <v>23</v>
      </c>
      <c r="L1270" s="31">
        <f t="shared" si="41"/>
        <v>8428.098</v>
      </c>
      <c r="M1270" s="31">
        <v>-589.26</v>
      </c>
      <c r="N1270" s="22">
        <f>_xlfn.XLOOKUP(Snitch_Fashion_Sales_cleaned!$J1270,Table2[City],Table2[City_Key],"not found")</f>
        <v>4</v>
      </c>
      <c r="O1270" s="21">
        <f>_xlfn.XLOOKUP(Snitch_Fashion_Sales_cleaned!$D1270,Table4[Product_Name],Table4[Product_Key],"not found")</f>
        <v>3</v>
      </c>
      <c r="P1270" s="25">
        <f>_xlfn.XLOOKUP(Snitch_Fashion_Sales_cleaned!$I1270,Table3[Order_Date],Table3[Date_Key])</f>
        <v>447</v>
      </c>
    </row>
    <row r="1271" spans="1:16" x14ac:dyDescent="0.3">
      <c r="A1271" s="34">
        <v>2269</v>
      </c>
      <c r="B1271" s="32" t="s">
        <v>1304</v>
      </c>
      <c r="C1271" s="32" t="s">
        <v>25</v>
      </c>
      <c r="D1271" s="33" t="s">
        <v>82</v>
      </c>
      <c r="E1271" s="34">
        <v>3</v>
      </c>
      <c r="F1271" s="35">
        <v>2385.5749999999998</v>
      </c>
      <c r="G1271" s="36">
        <v>0.51</v>
      </c>
      <c r="H1271" s="35">
        <f t="shared" si="40"/>
        <v>7156.7249999999995</v>
      </c>
      <c r="I1271" s="37">
        <v>45834</v>
      </c>
      <c r="J1271" s="33" t="s">
        <v>52</v>
      </c>
      <c r="K1271" s="33" t="s">
        <v>23</v>
      </c>
      <c r="L1271" s="38">
        <f t="shared" si="41"/>
        <v>3506.7952499999997</v>
      </c>
      <c r="M1271" s="38">
        <v>742.42</v>
      </c>
      <c r="N1271" s="24">
        <f>_xlfn.XLOOKUP(Snitch_Fashion_Sales_cleaned!$J1271,Table2[City],Table2[City_Key],"not found")</f>
        <v>5</v>
      </c>
      <c r="O1271" s="23">
        <f>_xlfn.XLOOKUP(Snitch_Fashion_Sales_cleaned!$D1271,Table4[Product_Name],Table4[Product_Key],"not found")</f>
        <v>18</v>
      </c>
      <c r="P1271" s="32">
        <f>_xlfn.XLOOKUP(Snitch_Fashion_Sales_cleaned!$I1271,Table3[Order_Date],Table3[Date_Key])</f>
        <v>75</v>
      </c>
    </row>
    <row r="1272" spans="1:16" x14ac:dyDescent="0.3">
      <c r="A1272" s="27">
        <v>2270</v>
      </c>
      <c r="B1272" s="25" t="s">
        <v>1305</v>
      </c>
      <c r="C1272" s="25" t="s">
        <v>36</v>
      </c>
      <c r="D1272" s="26" t="s">
        <v>55</v>
      </c>
      <c r="E1272" s="27">
        <v>1</v>
      </c>
      <c r="F1272" s="28">
        <v>2710.56</v>
      </c>
      <c r="G1272" s="29">
        <v>0.51</v>
      </c>
      <c r="H1272" s="28">
        <f t="shared" si="40"/>
        <v>2710.56</v>
      </c>
      <c r="I1272" s="30">
        <v>45783</v>
      </c>
      <c r="J1272" s="26" t="s">
        <v>15</v>
      </c>
      <c r="K1272" s="26" t="s">
        <v>23</v>
      </c>
      <c r="L1272" s="31">
        <f t="shared" si="41"/>
        <v>1328.1743999999999</v>
      </c>
      <c r="M1272" s="31">
        <v>332.04359999999997</v>
      </c>
      <c r="N1272" s="22">
        <f>_xlfn.XLOOKUP(Snitch_Fashion_Sales_cleaned!$J1272,Table2[City],Table2[City_Key],"not found")</f>
        <v>1</v>
      </c>
      <c r="O1272" s="21">
        <f>_xlfn.XLOOKUP(Snitch_Fashion_Sales_cleaned!$D1272,Table4[Product_Name],Table4[Product_Key],"not found")</f>
        <v>12</v>
      </c>
      <c r="P1272" s="25">
        <f>_xlfn.XLOOKUP(Snitch_Fashion_Sales_cleaned!$I1272,Table3[Order_Date],Table3[Date_Key])</f>
        <v>257</v>
      </c>
    </row>
    <row r="1273" spans="1:16" x14ac:dyDescent="0.3">
      <c r="A1273" s="34">
        <v>2271</v>
      </c>
      <c r="B1273" s="32" t="s">
        <v>1306</v>
      </c>
      <c r="C1273" s="32" t="s">
        <v>28</v>
      </c>
      <c r="D1273" s="33" t="s">
        <v>39</v>
      </c>
      <c r="E1273" s="34">
        <v>3</v>
      </c>
      <c r="F1273" s="35">
        <v>2577.6350000000002</v>
      </c>
      <c r="G1273" s="36">
        <v>0.36</v>
      </c>
      <c r="H1273" s="35">
        <f t="shared" si="40"/>
        <v>7732.9050000000007</v>
      </c>
      <c r="I1273" s="37">
        <v>45647</v>
      </c>
      <c r="J1273" s="33" t="s">
        <v>2540</v>
      </c>
      <c r="K1273" s="33" t="s">
        <v>16</v>
      </c>
      <c r="L1273" s="38">
        <f t="shared" si="41"/>
        <v>4949.0592000000006</v>
      </c>
      <c r="M1273" s="38">
        <v>999.24</v>
      </c>
      <c r="N1273" s="24">
        <f>_xlfn.XLOOKUP(Snitch_Fashion_Sales_cleaned!$J1273,Table2[City],Table2[City_Key],"not found")</f>
        <v>4</v>
      </c>
      <c r="O1273" s="23">
        <f>_xlfn.XLOOKUP(Snitch_Fashion_Sales_cleaned!$D1273,Table4[Product_Name],Table4[Product_Key],"not found")</f>
        <v>8</v>
      </c>
      <c r="P1273" s="32">
        <f>_xlfn.XLOOKUP(Snitch_Fashion_Sales_cleaned!$I1273,Table3[Order_Date],Table3[Date_Key])</f>
        <v>5</v>
      </c>
    </row>
    <row r="1274" spans="1:16" x14ac:dyDescent="0.3">
      <c r="A1274" s="27">
        <v>2272</v>
      </c>
      <c r="B1274" s="25" t="s">
        <v>1307</v>
      </c>
      <c r="C1274" s="25" t="s">
        <v>20</v>
      </c>
      <c r="D1274" s="26" t="s">
        <v>118</v>
      </c>
      <c r="E1274" s="27">
        <v>4</v>
      </c>
      <c r="F1274" s="28">
        <v>2540.1</v>
      </c>
      <c r="G1274" s="29">
        <v>0.69</v>
      </c>
      <c r="H1274" s="28">
        <f t="shared" si="40"/>
        <v>10160.4</v>
      </c>
      <c r="I1274" s="30">
        <v>45803</v>
      </c>
      <c r="J1274" s="26" t="s">
        <v>22</v>
      </c>
      <c r="K1274" s="26" t="s">
        <v>16</v>
      </c>
      <c r="L1274" s="31">
        <f t="shared" si="41"/>
        <v>3149.7240000000006</v>
      </c>
      <c r="M1274" s="31">
        <v>733.06</v>
      </c>
      <c r="N1274" s="22">
        <f>_xlfn.XLOOKUP(Snitch_Fashion_Sales_cleaned!$J1274,Table2[City],Table2[City_Key],"not found")</f>
        <v>3</v>
      </c>
      <c r="O1274" s="21">
        <f>_xlfn.XLOOKUP(Snitch_Fashion_Sales_cleaned!$D1274,Table4[Product_Name],Table4[Product_Key],"not found")</f>
        <v>23</v>
      </c>
      <c r="P1274" s="25">
        <f>_xlfn.XLOOKUP(Snitch_Fashion_Sales_cleaned!$I1274,Table3[Order_Date],Table3[Date_Key])</f>
        <v>129</v>
      </c>
    </row>
    <row r="1275" spans="1:16" x14ac:dyDescent="0.3">
      <c r="A1275" s="34">
        <v>2273</v>
      </c>
      <c r="B1275" s="32" t="s">
        <v>1308</v>
      </c>
      <c r="C1275" s="32" t="s">
        <v>13</v>
      </c>
      <c r="D1275" s="33" t="s">
        <v>98</v>
      </c>
      <c r="E1275" s="34">
        <v>6</v>
      </c>
      <c r="F1275" s="35">
        <v>3064.21</v>
      </c>
      <c r="G1275" s="36">
        <v>0.51</v>
      </c>
      <c r="H1275" s="35">
        <f t="shared" si="40"/>
        <v>18385.260000000002</v>
      </c>
      <c r="I1275" s="37">
        <v>45571</v>
      </c>
      <c r="J1275" s="33" t="s">
        <v>15</v>
      </c>
      <c r="K1275" s="33" t="s">
        <v>16</v>
      </c>
      <c r="L1275" s="38">
        <f t="shared" si="41"/>
        <v>9008.7774000000009</v>
      </c>
      <c r="M1275" s="38">
        <v>1569.81</v>
      </c>
      <c r="N1275" s="24">
        <f>_xlfn.XLOOKUP(Snitch_Fashion_Sales_cleaned!$J1275,Table2[City],Table2[City_Key],"not found")</f>
        <v>1</v>
      </c>
      <c r="O1275" s="23">
        <f>_xlfn.XLOOKUP(Snitch_Fashion_Sales_cleaned!$D1275,Table4[Product_Name],Table4[Product_Key],"not found")</f>
        <v>21</v>
      </c>
      <c r="P1275" s="32">
        <f>_xlfn.XLOOKUP(Snitch_Fashion_Sales_cleaned!$I1275,Table3[Order_Date],Table3[Date_Key])</f>
        <v>448</v>
      </c>
    </row>
    <row r="1276" spans="1:16" x14ac:dyDescent="0.3">
      <c r="A1276" s="27">
        <v>2274</v>
      </c>
      <c r="B1276" s="25" t="s">
        <v>1309</v>
      </c>
      <c r="C1276" s="25" t="s">
        <v>36</v>
      </c>
      <c r="D1276" s="26" t="s">
        <v>59</v>
      </c>
      <c r="E1276" s="27">
        <v>3</v>
      </c>
      <c r="F1276" s="28">
        <v>4456.6499999999996</v>
      </c>
      <c r="G1276" s="29">
        <v>0.51</v>
      </c>
      <c r="H1276" s="28">
        <f t="shared" si="40"/>
        <v>13369.949999999999</v>
      </c>
      <c r="I1276" s="30">
        <v>45572</v>
      </c>
      <c r="J1276" s="26" t="s">
        <v>15</v>
      </c>
      <c r="K1276" s="26" t="s">
        <v>16</v>
      </c>
      <c r="L1276" s="31">
        <f t="shared" si="41"/>
        <v>6551.2754999999997</v>
      </c>
      <c r="M1276" s="31">
        <v>9.1</v>
      </c>
      <c r="N1276" s="22">
        <f>_xlfn.XLOOKUP(Snitch_Fashion_Sales_cleaned!$J1276,Table2[City],Table2[City_Key],"not found")</f>
        <v>1</v>
      </c>
      <c r="O1276" s="21">
        <f>_xlfn.XLOOKUP(Snitch_Fashion_Sales_cleaned!$D1276,Table4[Product_Name],Table4[Product_Key],"not found")</f>
        <v>13</v>
      </c>
      <c r="P1276" s="25">
        <f>_xlfn.XLOOKUP(Snitch_Fashion_Sales_cleaned!$I1276,Table3[Order_Date],Table3[Date_Key])</f>
        <v>425</v>
      </c>
    </row>
    <row r="1277" spans="1:16" x14ac:dyDescent="0.3">
      <c r="A1277" s="34">
        <v>2275</v>
      </c>
      <c r="B1277" s="32" t="s">
        <v>1310</v>
      </c>
      <c r="C1277" s="32" t="s">
        <v>28</v>
      </c>
      <c r="D1277" s="33" t="s">
        <v>39</v>
      </c>
      <c r="E1277" s="34">
        <v>3</v>
      </c>
      <c r="F1277" s="35">
        <v>3899.04</v>
      </c>
      <c r="G1277" s="36">
        <v>0.51</v>
      </c>
      <c r="H1277" s="35">
        <f t="shared" si="40"/>
        <v>11697.119999999999</v>
      </c>
      <c r="I1277" s="37">
        <v>45497</v>
      </c>
      <c r="J1277" s="33" t="s">
        <v>18</v>
      </c>
      <c r="K1277" s="33" t="s">
        <v>23</v>
      </c>
      <c r="L1277" s="38">
        <f t="shared" si="41"/>
        <v>5731.5887999999995</v>
      </c>
      <c r="M1277" s="38">
        <v>2522.67</v>
      </c>
      <c r="N1277" s="24">
        <f>_xlfn.XLOOKUP(Snitch_Fashion_Sales_cleaned!$J1277,Table2[City],Table2[City_Key],"not found")</f>
        <v>2</v>
      </c>
      <c r="O1277" s="23">
        <f>_xlfn.XLOOKUP(Snitch_Fashion_Sales_cleaned!$D1277,Table4[Product_Name],Table4[Product_Key],"not found")</f>
        <v>8</v>
      </c>
      <c r="P1277" s="32">
        <f>_xlfn.XLOOKUP(Snitch_Fashion_Sales_cleaned!$I1277,Table3[Order_Date],Table3[Date_Key])</f>
        <v>449</v>
      </c>
    </row>
    <row r="1278" spans="1:16" x14ac:dyDescent="0.3">
      <c r="A1278" s="27">
        <v>2276</v>
      </c>
      <c r="B1278" s="25" t="s">
        <v>1311</v>
      </c>
      <c r="C1278" s="25" t="s">
        <v>20</v>
      </c>
      <c r="D1278" s="26" t="s">
        <v>118</v>
      </c>
      <c r="E1278" s="27">
        <v>3</v>
      </c>
      <c r="F1278" s="28">
        <v>2752.99</v>
      </c>
      <c r="G1278" s="29">
        <v>0.51</v>
      </c>
      <c r="H1278" s="28">
        <f t="shared" si="40"/>
        <v>8258.9699999999993</v>
      </c>
      <c r="I1278" s="30">
        <v>45216</v>
      </c>
      <c r="J1278" s="26" t="s">
        <v>2540</v>
      </c>
      <c r="K1278" s="26" t="s">
        <v>16</v>
      </c>
      <c r="L1278" s="31">
        <f t="shared" si="41"/>
        <v>4046.8952999999997</v>
      </c>
      <c r="M1278" s="31">
        <v>2089.34</v>
      </c>
      <c r="N1278" s="22">
        <f>_xlfn.XLOOKUP(Snitch_Fashion_Sales_cleaned!$J1278,Table2[City],Table2[City_Key],"not found")</f>
        <v>4</v>
      </c>
      <c r="O1278" s="21">
        <f>_xlfn.XLOOKUP(Snitch_Fashion_Sales_cleaned!$D1278,Table4[Product_Name],Table4[Product_Key],"not found")</f>
        <v>23</v>
      </c>
      <c r="P1278" s="25">
        <f>_xlfn.XLOOKUP(Snitch_Fashion_Sales_cleaned!$I1278,Table3[Order_Date],Table3[Date_Key])</f>
        <v>450</v>
      </c>
    </row>
    <row r="1279" spans="1:16" x14ac:dyDescent="0.3">
      <c r="A1279" s="34">
        <v>2277</v>
      </c>
      <c r="B1279" s="32" t="s">
        <v>1312</v>
      </c>
      <c r="C1279" s="32" t="s">
        <v>13</v>
      </c>
      <c r="D1279" s="33" t="s">
        <v>34</v>
      </c>
      <c r="E1279" s="34">
        <v>3</v>
      </c>
      <c r="F1279" s="35">
        <v>3008.6549999999997</v>
      </c>
      <c r="G1279" s="36">
        <v>0.51</v>
      </c>
      <c r="H1279" s="35">
        <f t="shared" si="40"/>
        <v>9025.9650000000001</v>
      </c>
      <c r="I1279" s="37">
        <v>45597</v>
      </c>
      <c r="J1279" s="33" t="s">
        <v>22</v>
      </c>
      <c r="K1279" s="33" t="s">
        <v>23</v>
      </c>
      <c r="L1279" s="38">
        <f t="shared" si="41"/>
        <v>4422.7228500000001</v>
      </c>
      <c r="M1279" s="38">
        <v>2814.36</v>
      </c>
      <c r="N1279" s="24">
        <f>_xlfn.XLOOKUP(Snitch_Fashion_Sales_cleaned!$J1279,Table2[City],Table2[City_Key],"not found")</f>
        <v>3</v>
      </c>
      <c r="O1279" s="23">
        <f>_xlfn.XLOOKUP(Snitch_Fashion_Sales_cleaned!$D1279,Table4[Product_Name],Table4[Product_Key],"not found")</f>
        <v>6</v>
      </c>
      <c r="P1279" s="32">
        <f>_xlfn.XLOOKUP(Snitch_Fashion_Sales_cleaned!$I1279,Table3[Order_Date],Table3[Date_Key])</f>
        <v>342</v>
      </c>
    </row>
    <row r="1280" spans="1:16" x14ac:dyDescent="0.3">
      <c r="A1280" s="27">
        <v>2278</v>
      </c>
      <c r="B1280" s="25" t="s">
        <v>1313</v>
      </c>
      <c r="C1280" s="25" t="s">
        <v>36</v>
      </c>
      <c r="D1280" s="26" t="s">
        <v>37</v>
      </c>
      <c r="E1280" s="27">
        <v>4</v>
      </c>
      <c r="F1280" s="28">
        <v>2975.64</v>
      </c>
      <c r="G1280" s="29">
        <v>0.95</v>
      </c>
      <c r="H1280" s="28">
        <f t="shared" si="40"/>
        <v>11902.56</v>
      </c>
      <c r="I1280" s="30">
        <v>45816</v>
      </c>
      <c r="J1280" s="26" t="s">
        <v>22</v>
      </c>
      <c r="K1280" s="26" t="s">
        <v>23</v>
      </c>
      <c r="L1280" s="31">
        <f t="shared" si="41"/>
        <v>595.1280000000005</v>
      </c>
      <c r="M1280" s="31">
        <v>148.78200000000012</v>
      </c>
      <c r="N1280" s="22">
        <f>_xlfn.XLOOKUP(Snitch_Fashion_Sales_cleaned!$J1280,Table2[City],Table2[City_Key],"not found")</f>
        <v>3</v>
      </c>
      <c r="O1280" s="21">
        <f>_xlfn.XLOOKUP(Snitch_Fashion_Sales_cleaned!$D1280,Table4[Product_Name],Table4[Product_Key],"not found")</f>
        <v>7</v>
      </c>
      <c r="P1280" s="25">
        <f>_xlfn.XLOOKUP(Snitch_Fashion_Sales_cleaned!$I1280,Table3[Order_Date],Table3[Date_Key])</f>
        <v>205</v>
      </c>
    </row>
    <row r="1281" spans="1:16" x14ac:dyDescent="0.3">
      <c r="A1281" s="34">
        <v>2279</v>
      </c>
      <c r="B1281" s="32" t="s">
        <v>1314</v>
      </c>
      <c r="C1281" s="32" t="s">
        <v>28</v>
      </c>
      <c r="D1281" s="33" t="s">
        <v>29</v>
      </c>
      <c r="E1281" s="34">
        <v>6</v>
      </c>
      <c r="F1281" s="35">
        <v>3294.21</v>
      </c>
      <c r="G1281" s="36">
        <v>0.89</v>
      </c>
      <c r="H1281" s="35">
        <f t="shared" si="40"/>
        <v>19765.260000000002</v>
      </c>
      <c r="I1281" s="37">
        <v>45572</v>
      </c>
      <c r="J1281" s="33" t="s">
        <v>43</v>
      </c>
      <c r="K1281" s="33" t="s">
        <v>16</v>
      </c>
      <c r="L1281" s="38">
        <f t="shared" si="41"/>
        <v>2174.1786000000002</v>
      </c>
      <c r="M1281" s="38">
        <v>1874.46</v>
      </c>
      <c r="N1281" s="24">
        <f>_xlfn.XLOOKUP(Snitch_Fashion_Sales_cleaned!$J1281,Table2[City],Table2[City_Key],"not found")</f>
        <v>6</v>
      </c>
      <c r="O1281" s="23">
        <f>_xlfn.XLOOKUP(Snitch_Fashion_Sales_cleaned!$D1281,Table4[Product_Name],Table4[Product_Key],"not found")</f>
        <v>4</v>
      </c>
      <c r="P1281" s="32">
        <f>_xlfn.XLOOKUP(Snitch_Fashion_Sales_cleaned!$I1281,Table3[Order_Date],Table3[Date_Key])</f>
        <v>425</v>
      </c>
    </row>
    <row r="1282" spans="1:16" x14ac:dyDescent="0.3">
      <c r="A1282" s="27">
        <v>2280</v>
      </c>
      <c r="B1282" s="25" t="s">
        <v>1315</v>
      </c>
      <c r="C1282" s="25" t="s">
        <v>31</v>
      </c>
      <c r="D1282" s="26" t="s">
        <v>32</v>
      </c>
      <c r="E1282" s="27">
        <v>4</v>
      </c>
      <c r="F1282" s="28">
        <v>2001.5500000000002</v>
      </c>
      <c r="G1282" s="29">
        <v>0.51</v>
      </c>
      <c r="H1282" s="28">
        <f t="shared" si="40"/>
        <v>8006.2000000000007</v>
      </c>
      <c r="I1282" s="30">
        <v>45860</v>
      </c>
      <c r="J1282" s="26" t="s">
        <v>18</v>
      </c>
      <c r="K1282" s="26" t="s">
        <v>23</v>
      </c>
      <c r="L1282" s="31">
        <f t="shared" si="41"/>
        <v>3923.0380000000005</v>
      </c>
      <c r="M1282" s="31">
        <v>-230.98</v>
      </c>
      <c r="N1282" s="22">
        <f>_xlfn.XLOOKUP(Snitch_Fashion_Sales_cleaned!$J1282,Table2[City],Table2[City_Key],"not found")</f>
        <v>2</v>
      </c>
      <c r="O1282" s="21">
        <f>_xlfn.XLOOKUP(Snitch_Fashion_Sales_cleaned!$D1282,Table4[Product_Name],Table4[Product_Key],"not found")</f>
        <v>5</v>
      </c>
      <c r="P1282" s="25">
        <f>_xlfn.XLOOKUP(Snitch_Fashion_Sales_cleaned!$I1282,Table3[Order_Date],Table3[Date_Key])</f>
        <v>244</v>
      </c>
    </row>
    <row r="1283" spans="1:16" x14ac:dyDescent="0.3">
      <c r="A1283" s="34">
        <v>2281</v>
      </c>
      <c r="B1283" s="32" t="s">
        <v>1316</v>
      </c>
      <c r="C1283" s="32" t="s">
        <v>36</v>
      </c>
      <c r="D1283" s="33" t="s">
        <v>37</v>
      </c>
      <c r="E1283" s="34">
        <v>4</v>
      </c>
      <c r="F1283" s="35">
        <v>2975.64</v>
      </c>
      <c r="G1283" s="36">
        <v>0.51</v>
      </c>
      <c r="H1283" s="35">
        <f t="shared" si="40"/>
        <v>11902.56</v>
      </c>
      <c r="I1283" s="37">
        <v>45647</v>
      </c>
      <c r="J1283" s="33" t="s">
        <v>43</v>
      </c>
      <c r="K1283" s="33" t="s">
        <v>16</v>
      </c>
      <c r="L1283" s="38">
        <f t="shared" si="41"/>
        <v>5832.2543999999998</v>
      </c>
      <c r="M1283" s="38">
        <v>-308.93</v>
      </c>
      <c r="N1283" s="24">
        <f>_xlfn.XLOOKUP(Snitch_Fashion_Sales_cleaned!$J1283,Table2[City],Table2[City_Key],"not found")</f>
        <v>6</v>
      </c>
      <c r="O1283" s="23">
        <f>_xlfn.XLOOKUP(Snitch_Fashion_Sales_cleaned!$D1283,Table4[Product_Name],Table4[Product_Key],"not found")</f>
        <v>7</v>
      </c>
      <c r="P1283" s="32">
        <f>_xlfn.XLOOKUP(Snitch_Fashion_Sales_cleaned!$I1283,Table3[Order_Date],Table3[Date_Key])</f>
        <v>5</v>
      </c>
    </row>
    <row r="1284" spans="1:16" x14ac:dyDescent="0.3">
      <c r="A1284" s="27">
        <v>2282</v>
      </c>
      <c r="B1284" s="25" t="s">
        <v>1317</v>
      </c>
      <c r="C1284" s="25" t="s">
        <v>20</v>
      </c>
      <c r="D1284" s="26" t="s">
        <v>21</v>
      </c>
      <c r="E1284" s="27">
        <v>4</v>
      </c>
      <c r="F1284" s="28">
        <v>491.36</v>
      </c>
      <c r="G1284" s="29">
        <v>0.42</v>
      </c>
      <c r="H1284" s="28">
        <f t="shared" si="40"/>
        <v>1965.44</v>
      </c>
      <c r="I1284" s="30">
        <v>45276</v>
      </c>
      <c r="J1284" s="26" t="s">
        <v>15</v>
      </c>
      <c r="K1284" s="26" t="s">
        <v>23</v>
      </c>
      <c r="L1284" s="31">
        <f t="shared" si="41"/>
        <v>1139.9552000000001</v>
      </c>
      <c r="M1284" s="31">
        <v>284.98880000000003</v>
      </c>
      <c r="N1284" s="22">
        <f>_xlfn.XLOOKUP(Snitch_Fashion_Sales_cleaned!$J1284,Table2[City],Table2[City_Key],"not found")</f>
        <v>1</v>
      </c>
      <c r="O1284" s="21">
        <f>_xlfn.XLOOKUP(Snitch_Fashion_Sales_cleaned!$D1284,Table4[Product_Name],Table4[Product_Key],"not found")</f>
        <v>2</v>
      </c>
      <c r="P1284" s="25">
        <f>_xlfn.XLOOKUP(Snitch_Fashion_Sales_cleaned!$I1284,Table3[Order_Date],Table3[Date_Key])</f>
        <v>284</v>
      </c>
    </row>
    <row r="1285" spans="1:16" x14ac:dyDescent="0.3">
      <c r="A1285" s="34">
        <v>2283</v>
      </c>
      <c r="B1285" s="32" t="s">
        <v>1318</v>
      </c>
      <c r="C1285" s="32" t="s">
        <v>20</v>
      </c>
      <c r="D1285" s="33" t="s">
        <v>84</v>
      </c>
      <c r="E1285" s="34">
        <v>6</v>
      </c>
      <c r="F1285" s="35">
        <v>2537.59</v>
      </c>
      <c r="G1285" s="36">
        <v>0.94</v>
      </c>
      <c r="H1285" s="35">
        <f t="shared" si="40"/>
        <v>15225.54</v>
      </c>
      <c r="I1285" s="37">
        <v>45762</v>
      </c>
      <c r="J1285" s="33" t="s">
        <v>2540</v>
      </c>
      <c r="K1285" s="33" t="s">
        <v>23</v>
      </c>
      <c r="L1285" s="38">
        <f t="shared" si="41"/>
        <v>913.53240000000085</v>
      </c>
      <c r="M1285" s="38">
        <v>228.38310000000021</v>
      </c>
      <c r="N1285" s="24">
        <f>_xlfn.XLOOKUP(Snitch_Fashion_Sales_cleaned!$J1285,Table2[City],Table2[City_Key],"not found")</f>
        <v>4</v>
      </c>
      <c r="O1285" s="23">
        <f>_xlfn.XLOOKUP(Snitch_Fashion_Sales_cleaned!$D1285,Table4[Product_Name],Table4[Product_Key],"not found")</f>
        <v>19</v>
      </c>
      <c r="P1285" s="32">
        <f>_xlfn.XLOOKUP(Snitch_Fashion_Sales_cleaned!$I1285,Table3[Order_Date],Table3[Date_Key])</f>
        <v>69</v>
      </c>
    </row>
    <row r="1286" spans="1:16" x14ac:dyDescent="0.3">
      <c r="A1286" s="27">
        <v>2284</v>
      </c>
      <c r="B1286" s="25" t="s">
        <v>1319</v>
      </c>
      <c r="C1286" s="25" t="s">
        <v>28</v>
      </c>
      <c r="D1286" s="26" t="s">
        <v>137</v>
      </c>
      <c r="E1286" s="27">
        <v>3.5</v>
      </c>
      <c r="F1286" s="28">
        <v>3736.2</v>
      </c>
      <c r="G1286" s="29">
        <v>0.51</v>
      </c>
      <c r="H1286" s="28">
        <f t="shared" ref="H1286:H1349" si="42">E1286*F1286</f>
        <v>13076.699999999999</v>
      </c>
      <c r="I1286" s="30">
        <v>45743</v>
      </c>
      <c r="J1286" s="26" t="s">
        <v>15</v>
      </c>
      <c r="K1286" s="26" t="s">
        <v>16</v>
      </c>
      <c r="L1286" s="31">
        <f t="shared" ref="L1286:L1349" si="43">H1286*(1-G1286)</f>
        <v>6407.5829999999996</v>
      </c>
      <c r="M1286" s="31">
        <v>-440.98</v>
      </c>
      <c r="N1286" s="22">
        <f>_xlfn.XLOOKUP(Snitch_Fashion_Sales_cleaned!$J1286,Table2[City],Table2[City_Key],"not found")</f>
        <v>1</v>
      </c>
      <c r="O1286" s="21">
        <f>_xlfn.XLOOKUP(Snitch_Fashion_Sales_cleaned!$D1286,Table4[Product_Name],Table4[Product_Key],"not found")</f>
        <v>24</v>
      </c>
      <c r="P1286" s="25">
        <f>_xlfn.XLOOKUP(Snitch_Fashion_Sales_cleaned!$I1286,Table3[Order_Date],Table3[Date_Key])</f>
        <v>138</v>
      </c>
    </row>
    <row r="1287" spans="1:16" x14ac:dyDescent="0.3">
      <c r="A1287" s="34">
        <v>2285</v>
      </c>
      <c r="B1287" s="32" t="s">
        <v>1320</v>
      </c>
      <c r="C1287" s="32" t="s">
        <v>25</v>
      </c>
      <c r="D1287" s="33" t="s">
        <v>26</v>
      </c>
      <c r="E1287" s="34">
        <v>4</v>
      </c>
      <c r="F1287" s="35">
        <v>2287.67</v>
      </c>
      <c r="G1287" s="36">
        <v>0.56000000000000005</v>
      </c>
      <c r="H1287" s="35">
        <f t="shared" si="42"/>
        <v>9150.68</v>
      </c>
      <c r="I1287" s="37">
        <v>45391</v>
      </c>
      <c r="J1287" s="33" t="s">
        <v>52</v>
      </c>
      <c r="K1287" s="33" t="s">
        <v>23</v>
      </c>
      <c r="L1287" s="38">
        <f t="shared" si="43"/>
        <v>4026.2991999999995</v>
      </c>
      <c r="M1287" s="38">
        <v>-827.66</v>
      </c>
      <c r="N1287" s="24">
        <f>_xlfn.XLOOKUP(Snitch_Fashion_Sales_cleaned!$J1287,Table2[City],Table2[City_Key],"not found")</f>
        <v>5</v>
      </c>
      <c r="O1287" s="23">
        <f>_xlfn.XLOOKUP(Snitch_Fashion_Sales_cleaned!$D1287,Table4[Product_Name],Table4[Product_Key],"not found")</f>
        <v>3</v>
      </c>
      <c r="P1287" s="32">
        <f>_xlfn.XLOOKUP(Snitch_Fashion_Sales_cleaned!$I1287,Table3[Order_Date],Table3[Date_Key])</f>
        <v>451</v>
      </c>
    </row>
    <row r="1288" spans="1:16" x14ac:dyDescent="0.3">
      <c r="A1288" s="27">
        <v>2286</v>
      </c>
      <c r="B1288" s="25" t="s">
        <v>1321</v>
      </c>
      <c r="C1288" s="25" t="s">
        <v>20</v>
      </c>
      <c r="D1288" s="26" t="s">
        <v>84</v>
      </c>
      <c r="E1288" s="27">
        <v>1</v>
      </c>
      <c r="F1288" s="28">
        <v>2537.59</v>
      </c>
      <c r="G1288" s="29">
        <v>0.51</v>
      </c>
      <c r="H1288" s="28">
        <f t="shared" si="42"/>
        <v>2537.59</v>
      </c>
      <c r="I1288" s="30">
        <v>45770</v>
      </c>
      <c r="J1288" s="26" t="s">
        <v>43</v>
      </c>
      <c r="K1288" s="26" t="s">
        <v>16</v>
      </c>
      <c r="L1288" s="31">
        <f t="shared" si="43"/>
        <v>1243.4191000000001</v>
      </c>
      <c r="M1288" s="31">
        <v>-810.33</v>
      </c>
      <c r="N1288" s="22">
        <f>_xlfn.XLOOKUP(Snitch_Fashion_Sales_cleaned!$J1288,Table2[City],Table2[City_Key],"not found")</f>
        <v>6</v>
      </c>
      <c r="O1288" s="21">
        <f>_xlfn.XLOOKUP(Snitch_Fashion_Sales_cleaned!$D1288,Table4[Product_Name],Table4[Product_Key],"not found")</f>
        <v>19</v>
      </c>
      <c r="P1288" s="25">
        <f>_xlfn.XLOOKUP(Snitch_Fashion_Sales_cleaned!$I1288,Table3[Order_Date],Table3[Date_Key])</f>
        <v>87</v>
      </c>
    </row>
    <row r="1289" spans="1:16" x14ac:dyDescent="0.3">
      <c r="A1289" s="34">
        <v>2287</v>
      </c>
      <c r="B1289" s="32" t="s">
        <v>1322</v>
      </c>
      <c r="C1289" s="32" t="s">
        <v>25</v>
      </c>
      <c r="D1289" s="33" t="s">
        <v>26</v>
      </c>
      <c r="E1289" s="34">
        <v>4</v>
      </c>
      <c r="F1289" s="35">
        <v>2933.45</v>
      </c>
      <c r="G1289" s="36">
        <v>0.51</v>
      </c>
      <c r="H1289" s="35">
        <f t="shared" si="42"/>
        <v>11733.8</v>
      </c>
      <c r="I1289" s="37">
        <v>45647</v>
      </c>
      <c r="J1289" s="33" t="s">
        <v>2540</v>
      </c>
      <c r="K1289" s="33" t="s">
        <v>23</v>
      </c>
      <c r="L1289" s="38">
        <f t="shared" si="43"/>
        <v>5749.5619999999999</v>
      </c>
      <c r="M1289" s="38">
        <v>715.96</v>
      </c>
      <c r="N1289" s="24">
        <f>_xlfn.XLOOKUP(Snitch_Fashion_Sales_cleaned!$J1289,Table2[City],Table2[City_Key],"not found")</f>
        <v>4</v>
      </c>
      <c r="O1289" s="23">
        <f>_xlfn.XLOOKUP(Snitch_Fashion_Sales_cleaned!$D1289,Table4[Product_Name],Table4[Product_Key],"not found")</f>
        <v>3</v>
      </c>
      <c r="P1289" s="32">
        <f>_xlfn.XLOOKUP(Snitch_Fashion_Sales_cleaned!$I1289,Table3[Order_Date],Table3[Date_Key])</f>
        <v>5</v>
      </c>
    </row>
    <row r="1290" spans="1:16" x14ac:dyDescent="0.3">
      <c r="A1290" s="27">
        <v>2288</v>
      </c>
      <c r="B1290" s="25" t="s">
        <v>1323</v>
      </c>
      <c r="C1290" s="25" t="s">
        <v>36</v>
      </c>
      <c r="D1290" s="26" t="s">
        <v>59</v>
      </c>
      <c r="E1290" s="27">
        <v>4</v>
      </c>
      <c r="F1290" s="28">
        <v>2765.26</v>
      </c>
      <c r="G1290" s="29">
        <v>0.51</v>
      </c>
      <c r="H1290" s="28">
        <f t="shared" si="42"/>
        <v>11061.04</v>
      </c>
      <c r="I1290" s="30">
        <v>45647</v>
      </c>
      <c r="J1290" s="26" t="s">
        <v>2540</v>
      </c>
      <c r="K1290" s="26" t="s">
        <v>23</v>
      </c>
      <c r="L1290" s="31">
        <f t="shared" si="43"/>
        <v>5419.9096</v>
      </c>
      <c r="M1290" s="31">
        <v>1167.1600000000001</v>
      </c>
      <c r="N1290" s="22">
        <f>_xlfn.XLOOKUP(Snitch_Fashion_Sales_cleaned!$J1290,Table2[City],Table2[City_Key],"not found")</f>
        <v>4</v>
      </c>
      <c r="O1290" s="21">
        <f>_xlfn.XLOOKUP(Snitch_Fashion_Sales_cleaned!$D1290,Table4[Product_Name],Table4[Product_Key],"not found")</f>
        <v>13</v>
      </c>
      <c r="P1290" s="25">
        <f>_xlfn.XLOOKUP(Snitch_Fashion_Sales_cleaned!$I1290,Table3[Order_Date],Table3[Date_Key])</f>
        <v>5</v>
      </c>
    </row>
    <row r="1291" spans="1:16" x14ac:dyDescent="0.3">
      <c r="A1291" s="34">
        <v>2289</v>
      </c>
      <c r="B1291" s="32" t="s">
        <v>1324</v>
      </c>
      <c r="C1291" s="32" t="s">
        <v>36</v>
      </c>
      <c r="D1291" s="33" t="s">
        <v>37</v>
      </c>
      <c r="E1291" s="34">
        <v>4</v>
      </c>
      <c r="F1291" s="35">
        <v>3407.2</v>
      </c>
      <c r="G1291" s="36">
        <v>0.51</v>
      </c>
      <c r="H1291" s="35">
        <f t="shared" si="42"/>
        <v>13628.8</v>
      </c>
      <c r="I1291" s="37">
        <v>45647</v>
      </c>
      <c r="J1291" s="33" t="s">
        <v>18</v>
      </c>
      <c r="K1291" s="33" t="s">
        <v>16</v>
      </c>
      <c r="L1291" s="38">
        <f t="shared" si="43"/>
        <v>6678.1119999999992</v>
      </c>
      <c r="M1291" s="38">
        <v>2344.16</v>
      </c>
      <c r="N1291" s="24">
        <f>_xlfn.XLOOKUP(Snitch_Fashion_Sales_cleaned!$J1291,Table2[City],Table2[City_Key],"not found")</f>
        <v>2</v>
      </c>
      <c r="O1291" s="23">
        <f>_xlfn.XLOOKUP(Snitch_Fashion_Sales_cleaned!$D1291,Table4[Product_Name],Table4[Product_Key],"not found")</f>
        <v>7</v>
      </c>
      <c r="P1291" s="32">
        <f>_xlfn.XLOOKUP(Snitch_Fashion_Sales_cleaned!$I1291,Table3[Order_Date],Table3[Date_Key])</f>
        <v>5</v>
      </c>
    </row>
    <row r="1292" spans="1:16" x14ac:dyDescent="0.3">
      <c r="A1292" s="27">
        <v>2290</v>
      </c>
      <c r="B1292" s="25" t="s">
        <v>1325</v>
      </c>
      <c r="C1292" s="25" t="s">
        <v>36</v>
      </c>
      <c r="D1292" s="26" t="s">
        <v>37</v>
      </c>
      <c r="E1292" s="27">
        <v>4</v>
      </c>
      <c r="F1292" s="28">
        <v>1405.39</v>
      </c>
      <c r="G1292" s="29">
        <v>0.51</v>
      </c>
      <c r="H1292" s="28">
        <f t="shared" si="42"/>
        <v>5621.56</v>
      </c>
      <c r="I1292" s="30">
        <v>45527</v>
      </c>
      <c r="J1292" s="26" t="s">
        <v>2540</v>
      </c>
      <c r="K1292" s="26" t="s">
        <v>16</v>
      </c>
      <c r="L1292" s="31">
        <f t="shared" si="43"/>
        <v>2754.5644000000002</v>
      </c>
      <c r="M1292" s="31">
        <v>712.37</v>
      </c>
      <c r="N1292" s="22">
        <f>_xlfn.XLOOKUP(Snitch_Fashion_Sales_cleaned!$J1292,Table2[City],Table2[City_Key],"not found")</f>
        <v>4</v>
      </c>
      <c r="O1292" s="21">
        <f>_xlfn.XLOOKUP(Snitch_Fashion_Sales_cleaned!$D1292,Table4[Product_Name],Table4[Product_Key],"not found")</f>
        <v>7</v>
      </c>
      <c r="P1292" s="25">
        <f>_xlfn.XLOOKUP(Snitch_Fashion_Sales_cleaned!$I1292,Table3[Order_Date],Table3[Date_Key])</f>
        <v>452</v>
      </c>
    </row>
    <row r="1293" spans="1:16" x14ac:dyDescent="0.3">
      <c r="A1293" s="34">
        <v>2291</v>
      </c>
      <c r="B1293" s="32" t="s">
        <v>1326</v>
      </c>
      <c r="C1293" s="32" t="s">
        <v>36</v>
      </c>
      <c r="D1293" s="33" t="s">
        <v>87</v>
      </c>
      <c r="E1293" s="34">
        <v>4</v>
      </c>
      <c r="F1293" s="35">
        <v>3217.82</v>
      </c>
      <c r="G1293" s="36">
        <v>0.51</v>
      </c>
      <c r="H1293" s="35">
        <f t="shared" si="42"/>
        <v>12871.28</v>
      </c>
      <c r="I1293" s="37">
        <v>45647</v>
      </c>
      <c r="J1293" s="33" t="s">
        <v>2540</v>
      </c>
      <c r="K1293" s="33" t="s">
        <v>23</v>
      </c>
      <c r="L1293" s="38">
        <f t="shared" si="43"/>
        <v>6306.9272000000001</v>
      </c>
      <c r="M1293" s="38">
        <v>2909.8</v>
      </c>
      <c r="N1293" s="24">
        <f>_xlfn.XLOOKUP(Snitch_Fashion_Sales_cleaned!$J1293,Table2[City],Table2[City_Key],"not found")</f>
        <v>4</v>
      </c>
      <c r="O1293" s="23">
        <f>_xlfn.XLOOKUP(Snitch_Fashion_Sales_cleaned!$D1293,Table4[Product_Name],Table4[Product_Key],"not found")</f>
        <v>20</v>
      </c>
      <c r="P1293" s="32">
        <f>_xlfn.XLOOKUP(Snitch_Fashion_Sales_cleaned!$I1293,Table3[Order_Date],Table3[Date_Key])</f>
        <v>5</v>
      </c>
    </row>
    <row r="1294" spans="1:16" x14ac:dyDescent="0.3">
      <c r="A1294" s="27">
        <v>2292</v>
      </c>
      <c r="B1294" s="25" t="s">
        <v>1327</v>
      </c>
      <c r="C1294" s="25" t="s">
        <v>36</v>
      </c>
      <c r="D1294" s="26" t="s">
        <v>87</v>
      </c>
      <c r="E1294" s="27">
        <v>4</v>
      </c>
      <c r="F1294" s="28">
        <v>3974.58</v>
      </c>
      <c r="G1294" s="29">
        <v>0.51</v>
      </c>
      <c r="H1294" s="28">
        <f t="shared" si="42"/>
        <v>15898.32</v>
      </c>
      <c r="I1294" s="30">
        <v>45726</v>
      </c>
      <c r="J1294" s="26" t="s">
        <v>52</v>
      </c>
      <c r="K1294" s="26" t="s">
        <v>23</v>
      </c>
      <c r="L1294" s="31">
        <f t="shared" si="43"/>
        <v>7790.1767999999993</v>
      </c>
      <c r="M1294" s="31">
        <v>-0.12</v>
      </c>
      <c r="N1294" s="22">
        <f>_xlfn.XLOOKUP(Snitch_Fashion_Sales_cleaned!$J1294,Table2[City],Table2[City_Key],"not found")</f>
        <v>5</v>
      </c>
      <c r="O1294" s="21">
        <f>_xlfn.XLOOKUP(Snitch_Fashion_Sales_cleaned!$D1294,Table4[Product_Name],Table4[Product_Key],"not found")</f>
        <v>20</v>
      </c>
      <c r="P1294" s="25">
        <f>_xlfn.XLOOKUP(Snitch_Fashion_Sales_cleaned!$I1294,Table3[Order_Date],Table3[Date_Key])</f>
        <v>237</v>
      </c>
    </row>
    <row r="1295" spans="1:16" x14ac:dyDescent="0.3">
      <c r="A1295" s="34">
        <v>2293</v>
      </c>
      <c r="B1295" s="32" t="s">
        <v>1328</v>
      </c>
      <c r="C1295" s="32" t="s">
        <v>25</v>
      </c>
      <c r="D1295" s="33" t="s">
        <v>26</v>
      </c>
      <c r="E1295" s="34">
        <v>4</v>
      </c>
      <c r="F1295" s="35">
        <v>3241.57</v>
      </c>
      <c r="G1295" s="36">
        <v>0.51</v>
      </c>
      <c r="H1295" s="35">
        <f t="shared" si="42"/>
        <v>12966.28</v>
      </c>
      <c r="I1295" s="37">
        <v>45500</v>
      </c>
      <c r="J1295" s="33" t="s">
        <v>18</v>
      </c>
      <c r="K1295" s="33" t="s">
        <v>16</v>
      </c>
      <c r="L1295" s="38">
        <f t="shared" si="43"/>
        <v>6353.4772000000003</v>
      </c>
      <c r="M1295" s="38">
        <v>2518.36</v>
      </c>
      <c r="N1295" s="24">
        <f>_xlfn.XLOOKUP(Snitch_Fashion_Sales_cleaned!$J1295,Table2[City],Table2[City_Key],"not found")</f>
        <v>2</v>
      </c>
      <c r="O1295" s="23">
        <f>_xlfn.XLOOKUP(Snitch_Fashion_Sales_cleaned!$D1295,Table4[Product_Name],Table4[Product_Key],"not found")</f>
        <v>3</v>
      </c>
      <c r="P1295" s="32">
        <f>_xlfn.XLOOKUP(Snitch_Fashion_Sales_cleaned!$I1295,Table3[Order_Date],Table3[Date_Key])</f>
        <v>216</v>
      </c>
    </row>
    <row r="1296" spans="1:16" x14ac:dyDescent="0.3">
      <c r="A1296" s="27">
        <v>2294</v>
      </c>
      <c r="B1296" s="25" t="s">
        <v>1329</v>
      </c>
      <c r="C1296" s="25" t="s">
        <v>36</v>
      </c>
      <c r="D1296" s="26" t="s">
        <v>55</v>
      </c>
      <c r="E1296" s="27">
        <v>3</v>
      </c>
      <c r="F1296" s="28">
        <v>2731.6350000000002</v>
      </c>
      <c r="G1296" s="29">
        <v>0.16</v>
      </c>
      <c r="H1296" s="28">
        <f t="shared" si="42"/>
        <v>8194.9050000000007</v>
      </c>
      <c r="I1296" s="30">
        <v>45147</v>
      </c>
      <c r="J1296" s="26" t="s">
        <v>15</v>
      </c>
      <c r="K1296" s="26" t="s">
        <v>23</v>
      </c>
      <c r="L1296" s="31">
        <f t="shared" si="43"/>
        <v>6883.7202000000007</v>
      </c>
      <c r="M1296" s="31">
        <v>1019.45</v>
      </c>
      <c r="N1296" s="22">
        <f>_xlfn.XLOOKUP(Snitch_Fashion_Sales_cleaned!$J1296,Table2[City],Table2[City_Key],"not found")</f>
        <v>1</v>
      </c>
      <c r="O1296" s="21">
        <f>_xlfn.XLOOKUP(Snitch_Fashion_Sales_cleaned!$D1296,Table4[Product_Name],Table4[Product_Key],"not found")</f>
        <v>12</v>
      </c>
      <c r="P1296" s="25">
        <f>_xlfn.XLOOKUP(Snitch_Fashion_Sales_cleaned!$I1296,Table3[Order_Date],Table3[Date_Key])</f>
        <v>453</v>
      </c>
    </row>
    <row r="1297" spans="1:16" x14ac:dyDescent="0.3">
      <c r="A1297" s="34">
        <v>2295</v>
      </c>
      <c r="B1297" s="32" t="s">
        <v>1330</v>
      </c>
      <c r="C1297" s="32" t="s">
        <v>25</v>
      </c>
      <c r="D1297" s="33" t="s">
        <v>50</v>
      </c>
      <c r="E1297" s="34">
        <v>4</v>
      </c>
      <c r="F1297" s="35">
        <v>3189.35</v>
      </c>
      <c r="G1297" s="36">
        <v>0.51</v>
      </c>
      <c r="H1297" s="35">
        <f t="shared" si="42"/>
        <v>12757.4</v>
      </c>
      <c r="I1297" s="37">
        <v>45569</v>
      </c>
      <c r="J1297" s="33" t="s">
        <v>2540</v>
      </c>
      <c r="K1297" s="33" t="s">
        <v>23</v>
      </c>
      <c r="L1297" s="38">
        <f t="shared" si="43"/>
        <v>6251.1259999999993</v>
      </c>
      <c r="M1297" s="38">
        <v>-683.11</v>
      </c>
      <c r="N1297" s="24">
        <f>_xlfn.XLOOKUP(Snitch_Fashion_Sales_cleaned!$J1297,Table2[City],Table2[City_Key],"not found")</f>
        <v>4</v>
      </c>
      <c r="O1297" s="23">
        <f>_xlfn.XLOOKUP(Snitch_Fashion_Sales_cleaned!$D1297,Table4[Product_Name],Table4[Product_Key],"not found")</f>
        <v>11</v>
      </c>
      <c r="P1297" s="32">
        <f>_xlfn.XLOOKUP(Snitch_Fashion_Sales_cleaned!$I1297,Table3[Order_Date],Table3[Date_Key])</f>
        <v>108</v>
      </c>
    </row>
    <row r="1298" spans="1:16" x14ac:dyDescent="0.3">
      <c r="A1298" s="27">
        <v>1014</v>
      </c>
      <c r="B1298" s="25" t="s">
        <v>1331</v>
      </c>
      <c r="C1298" s="25" t="s">
        <v>31</v>
      </c>
      <c r="D1298" s="26" t="s">
        <v>78</v>
      </c>
      <c r="E1298" s="27">
        <v>6</v>
      </c>
      <c r="F1298" s="28">
        <v>2599.75</v>
      </c>
      <c r="G1298" s="29">
        <v>0.28999999999999998</v>
      </c>
      <c r="H1298" s="28">
        <f t="shared" si="42"/>
        <v>15598.5</v>
      </c>
      <c r="I1298" s="30">
        <v>45840</v>
      </c>
      <c r="J1298" s="26" t="s">
        <v>43</v>
      </c>
      <c r="K1298" s="26" t="s">
        <v>16</v>
      </c>
      <c r="L1298" s="31">
        <f t="shared" si="43"/>
        <v>11074.934999999999</v>
      </c>
      <c r="M1298" s="31">
        <v>-958.22</v>
      </c>
      <c r="N1298" s="22">
        <f>_xlfn.XLOOKUP(Snitch_Fashion_Sales_cleaned!$J1298,Table2[City],Table2[City_Key],"not found")</f>
        <v>6</v>
      </c>
      <c r="O1298" s="21">
        <f>_xlfn.XLOOKUP(Snitch_Fashion_Sales_cleaned!$D1298,Table4[Product_Name],Table4[Product_Key],"not found")</f>
        <v>17</v>
      </c>
      <c r="P1298" s="25">
        <f>_xlfn.XLOOKUP(Snitch_Fashion_Sales_cleaned!$I1298,Table3[Order_Date],Table3[Date_Key])</f>
        <v>322</v>
      </c>
    </row>
    <row r="1299" spans="1:16" x14ac:dyDescent="0.3">
      <c r="A1299" s="34">
        <v>2297</v>
      </c>
      <c r="B1299" s="32" t="s">
        <v>1332</v>
      </c>
      <c r="C1299" s="32" t="s">
        <v>36</v>
      </c>
      <c r="D1299" s="33" t="s">
        <v>87</v>
      </c>
      <c r="E1299" s="34">
        <v>4</v>
      </c>
      <c r="F1299" s="35">
        <v>2889.5349999999999</v>
      </c>
      <c r="G1299" s="36">
        <v>0.28999999999999998</v>
      </c>
      <c r="H1299" s="35">
        <f t="shared" si="42"/>
        <v>11558.14</v>
      </c>
      <c r="I1299" s="37">
        <v>45666</v>
      </c>
      <c r="J1299" s="33" t="s">
        <v>15</v>
      </c>
      <c r="K1299" s="33" t="s">
        <v>23</v>
      </c>
      <c r="L1299" s="38">
        <f t="shared" si="43"/>
        <v>8206.2793999999994</v>
      </c>
      <c r="M1299" s="38">
        <v>2879.59</v>
      </c>
      <c r="N1299" s="24">
        <f>_xlfn.XLOOKUP(Snitch_Fashion_Sales_cleaned!$J1299,Table2[City],Table2[City_Key],"not found")</f>
        <v>1</v>
      </c>
      <c r="O1299" s="23">
        <f>_xlfn.XLOOKUP(Snitch_Fashion_Sales_cleaned!$D1299,Table4[Product_Name],Table4[Product_Key],"not found")</f>
        <v>20</v>
      </c>
      <c r="P1299" s="32">
        <f>_xlfn.XLOOKUP(Snitch_Fashion_Sales_cleaned!$I1299,Table3[Order_Date],Table3[Date_Key])</f>
        <v>107</v>
      </c>
    </row>
    <row r="1300" spans="1:16" x14ac:dyDescent="0.3">
      <c r="A1300" s="27">
        <v>2298</v>
      </c>
      <c r="B1300" s="25" t="s">
        <v>1333</v>
      </c>
      <c r="C1300" s="25" t="s">
        <v>31</v>
      </c>
      <c r="D1300" s="26" t="s">
        <v>78</v>
      </c>
      <c r="E1300" s="27">
        <v>4</v>
      </c>
      <c r="F1300" s="28">
        <v>2599.75</v>
      </c>
      <c r="G1300" s="29">
        <v>0.51</v>
      </c>
      <c r="H1300" s="28">
        <f t="shared" si="42"/>
        <v>10399</v>
      </c>
      <c r="I1300" s="30">
        <v>45812</v>
      </c>
      <c r="J1300" s="26" t="s">
        <v>18</v>
      </c>
      <c r="K1300" s="26" t="s">
        <v>23</v>
      </c>
      <c r="L1300" s="31">
        <f t="shared" si="43"/>
        <v>5095.51</v>
      </c>
      <c r="M1300" s="31">
        <v>-778.84</v>
      </c>
      <c r="N1300" s="22">
        <f>_xlfn.XLOOKUP(Snitch_Fashion_Sales_cleaned!$J1300,Table2[City],Table2[City_Key],"not found")</f>
        <v>2</v>
      </c>
      <c r="O1300" s="21">
        <f>_xlfn.XLOOKUP(Snitch_Fashion_Sales_cleaned!$D1300,Table4[Product_Name],Table4[Product_Key],"not found")</f>
        <v>17</v>
      </c>
      <c r="P1300" s="25">
        <f>_xlfn.XLOOKUP(Snitch_Fashion_Sales_cleaned!$I1300,Table3[Order_Date],Table3[Date_Key])</f>
        <v>233</v>
      </c>
    </row>
    <row r="1301" spans="1:16" x14ac:dyDescent="0.3">
      <c r="A1301" s="34">
        <v>2299</v>
      </c>
      <c r="B1301" s="32" t="s">
        <v>1334</v>
      </c>
      <c r="C1301" s="32" t="s">
        <v>31</v>
      </c>
      <c r="D1301" s="33" t="s">
        <v>78</v>
      </c>
      <c r="E1301" s="34">
        <v>4</v>
      </c>
      <c r="F1301" s="35">
        <v>2599.75</v>
      </c>
      <c r="G1301" s="36">
        <v>0.51</v>
      </c>
      <c r="H1301" s="35">
        <f t="shared" si="42"/>
        <v>10399</v>
      </c>
      <c r="I1301" s="37">
        <v>45770</v>
      </c>
      <c r="J1301" s="33" t="s">
        <v>22</v>
      </c>
      <c r="K1301" s="33" t="s">
        <v>16</v>
      </c>
      <c r="L1301" s="38">
        <f t="shared" si="43"/>
        <v>5095.51</v>
      </c>
      <c r="M1301" s="38">
        <v>2892.16</v>
      </c>
      <c r="N1301" s="24">
        <f>_xlfn.XLOOKUP(Snitch_Fashion_Sales_cleaned!$J1301,Table2[City],Table2[City_Key],"not found")</f>
        <v>3</v>
      </c>
      <c r="O1301" s="23">
        <f>_xlfn.XLOOKUP(Snitch_Fashion_Sales_cleaned!$D1301,Table4[Product_Name],Table4[Product_Key],"not found")</f>
        <v>17</v>
      </c>
      <c r="P1301" s="32">
        <f>_xlfn.XLOOKUP(Snitch_Fashion_Sales_cleaned!$I1301,Table3[Order_Date],Table3[Date_Key])</f>
        <v>87</v>
      </c>
    </row>
    <row r="1302" spans="1:16" x14ac:dyDescent="0.3">
      <c r="A1302" s="27">
        <v>2300</v>
      </c>
      <c r="B1302" s="25" t="s">
        <v>1335</v>
      </c>
      <c r="C1302" s="25" t="s">
        <v>28</v>
      </c>
      <c r="D1302" s="26" t="s">
        <v>39</v>
      </c>
      <c r="E1302" s="27">
        <v>3</v>
      </c>
      <c r="F1302" s="28">
        <v>2577.6350000000002</v>
      </c>
      <c r="G1302" s="29">
        <v>0.51</v>
      </c>
      <c r="H1302" s="28">
        <f t="shared" si="42"/>
        <v>7732.9050000000007</v>
      </c>
      <c r="I1302" s="30">
        <v>45647</v>
      </c>
      <c r="J1302" s="26" t="s">
        <v>52</v>
      </c>
      <c r="K1302" s="26" t="s">
        <v>23</v>
      </c>
      <c r="L1302" s="31">
        <f t="shared" si="43"/>
        <v>3789.12345</v>
      </c>
      <c r="M1302" s="31">
        <v>-59.16</v>
      </c>
      <c r="N1302" s="22">
        <f>_xlfn.XLOOKUP(Snitch_Fashion_Sales_cleaned!$J1302,Table2[City],Table2[City_Key],"not found")</f>
        <v>5</v>
      </c>
      <c r="O1302" s="21">
        <f>_xlfn.XLOOKUP(Snitch_Fashion_Sales_cleaned!$D1302,Table4[Product_Name],Table4[Product_Key],"not found")</f>
        <v>8</v>
      </c>
      <c r="P1302" s="25">
        <f>_xlfn.XLOOKUP(Snitch_Fashion_Sales_cleaned!$I1302,Table3[Order_Date],Table3[Date_Key])</f>
        <v>5</v>
      </c>
    </row>
    <row r="1303" spans="1:16" x14ac:dyDescent="0.3">
      <c r="A1303" s="34">
        <v>2301</v>
      </c>
      <c r="B1303" s="32" t="s">
        <v>1336</v>
      </c>
      <c r="C1303" s="32" t="s">
        <v>36</v>
      </c>
      <c r="D1303" s="33" t="s">
        <v>55</v>
      </c>
      <c r="E1303" s="34">
        <v>3</v>
      </c>
      <c r="F1303" s="35">
        <v>3335.27</v>
      </c>
      <c r="G1303" s="36">
        <v>0.51</v>
      </c>
      <c r="H1303" s="35">
        <f t="shared" si="42"/>
        <v>10005.81</v>
      </c>
      <c r="I1303" s="37">
        <v>45626</v>
      </c>
      <c r="J1303" s="33" t="s">
        <v>22</v>
      </c>
      <c r="K1303" s="33" t="s">
        <v>23</v>
      </c>
      <c r="L1303" s="38">
        <f t="shared" si="43"/>
        <v>4902.8468999999996</v>
      </c>
      <c r="M1303" s="38">
        <v>1415.8</v>
      </c>
      <c r="N1303" s="24">
        <f>_xlfn.XLOOKUP(Snitch_Fashion_Sales_cleaned!$J1303,Table2[City],Table2[City_Key],"not found")</f>
        <v>3</v>
      </c>
      <c r="O1303" s="23">
        <f>_xlfn.XLOOKUP(Snitch_Fashion_Sales_cleaned!$D1303,Table4[Product_Name],Table4[Product_Key],"not found")</f>
        <v>12</v>
      </c>
      <c r="P1303" s="32">
        <f>_xlfn.XLOOKUP(Snitch_Fashion_Sales_cleaned!$I1303,Table3[Order_Date],Table3[Date_Key])</f>
        <v>185</v>
      </c>
    </row>
    <row r="1304" spans="1:16" x14ac:dyDescent="0.3">
      <c r="A1304" s="27">
        <v>2302</v>
      </c>
      <c r="B1304" s="25" t="s">
        <v>1337</v>
      </c>
      <c r="C1304" s="25" t="s">
        <v>36</v>
      </c>
      <c r="D1304" s="26" t="s">
        <v>87</v>
      </c>
      <c r="E1304" s="27">
        <v>1</v>
      </c>
      <c r="F1304" s="28">
        <v>2889.5349999999999</v>
      </c>
      <c r="G1304" s="29">
        <v>0.51</v>
      </c>
      <c r="H1304" s="28">
        <f t="shared" si="42"/>
        <v>2889.5349999999999</v>
      </c>
      <c r="I1304" s="30">
        <v>45647</v>
      </c>
      <c r="J1304" s="26" t="s">
        <v>18</v>
      </c>
      <c r="K1304" s="26" t="s">
        <v>16</v>
      </c>
      <c r="L1304" s="31">
        <f t="shared" si="43"/>
        <v>1415.8721499999999</v>
      </c>
      <c r="M1304" s="31">
        <v>353.96803749999998</v>
      </c>
      <c r="N1304" s="22">
        <f>_xlfn.XLOOKUP(Snitch_Fashion_Sales_cleaned!$J1304,Table2[City],Table2[City_Key],"not found")</f>
        <v>2</v>
      </c>
      <c r="O1304" s="21">
        <f>_xlfn.XLOOKUP(Snitch_Fashion_Sales_cleaned!$D1304,Table4[Product_Name],Table4[Product_Key],"not found")</f>
        <v>20</v>
      </c>
      <c r="P1304" s="25">
        <f>_xlfn.XLOOKUP(Snitch_Fashion_Sales_cleaned!$I1304,Table3[Order_Date],Table3[Date_Key])</f>
        <v>5</v>
      </c>
    </row>
    <row r="1305" spans="1:16" x14ac:dyDescent="0.3">
      <c r="A1305" s="34">
        <v>2303</v>
      </c>
      <c r="B1305" s="32" t="s">
        <v>1338</v>
      </c>
      <c r="C1305" s="32" t="s">
        <v>25</v>
      </c>
      <c r="D1305" s="33" t="s">
        <v>50</v>
      </c>
      <c r="E1305" s="34">
        <v>6</v>
      </c>
      <c r="F1305" s="35">
        <v>2201.87</v>
      </c>
      <c r="G1305" s="36">
        <v>0.51</v>
      </c>
      <c r="H1305" s="35">
        <f t="shared" si="42"/>
        <v>13211.22</v>
      </c>
      <c r="I1305" s="37">
        <v>45647</v>
      </c>
      <c r="J1305" s="33" t="s">
        <v>52</v>
      </c>
      <c r="K1305" s="33" t="s">
        <v>23</v>
      </c>
      <c r="L1305" s="38">
        <f t="shared" si="43"/>
        <v>6473.4977999999992</v>
      </c>
      <c r="M1305" s="38">
        <v>1919.35</v>
      </c>
      <c r="N1305" s="24">
        <f>_xlfn.XLOOKUP(Snitch_Fashion_Sales_cleaned!$J1305,Table2[City],Table2[City_Key],"not found")</f>
        <v>5</v>
      </c>
      <c r="O1305" s="23">
        <f>_xlfn.XLOOKUP(Snitch_Fashion_Sales_cleaned!$D1305,Table4[Product_Name],Table4[Product_Key],"not found")</f>
        <v>11</v>
      </c>
      <c r="P1305" s="32">
        <f>_xlfn.XLOOKUP(Snitch_Fashion_Sales_cleaned!$I1305,Table3[Order_Date],Table3[Date_Key])</f>
        <v>5</v>
      </c>
    </row>
    <row r="1306" spans="1:16" x14ac:dyDescent="0.3">
      <c r="A1306" s="27">
        <v>2304</v>
      </c>
      <c r="B1306" s="25" t="s">
        <v>1339</v>
      </c>
      <c r="C1306" s="25" t="s">
        <v>28</v>
      </c>
      <c r="D1306" s="26" t="s">
        <v>137</v>
      </c>
      <c r="E1306" s="27">
        <v>3.5</v>
      </c>
      <c r="F1306" s="28">
        <v>2338.04</v>
      </c>
      <c r="G1306" s="29">
        <v>0.3</v>
      </c>
      <c r="H1306" s="28">
        <f t="shared" si="42"/>
        <v>8183.1399999999994</v>
      </c>
      <c r="I1306" s="30">
        <v>45811</v>
      </c>
      <c r="J1306" s="26" t="s">
        <v>43</v>
      </c>
      <c r="K1306" s="26" t="s">
        <v>16</v>
      </c>
      <c r="L1306" s="31">
        <f t="shared" si="43"/>
        <v>5728.1979999999994</v>
      </c>
      <c r="M1306" s="31">
        <v>2013.34</v>
      </c>
      <c r="N1306" s="22">
        <f>_xlfn.XLOOKUP(Snitch_Fashion_Sales_cleaned!$J1306,Table2[City],Table2[City_Key],"not found")</f>
        <v>6</v>
      </c>
      <c r="O1306" s="21">
        <f>_xlfn.XLOOKUP(Snitch_Fashion_Sales_cleaned!$D1306,Table4[Product_Name],Table4[Product_Key],"not found")</f>
        <v>24</v>
      </c>
      <c r="P1306" s="25">
        <f>_xlfn.XLOOKUP(Snitch_Fashion_Sales_cleaned!$I1306,Table3[Order_Date],Table3[Date_Key])</f>
        <v>368</v>
      </c>
    </row>
    <row r="1307" spans="1:16" x14ac:dyDescent="0.3">
      <c r="A1307" s="34">
        <v>2305</v>
      </c>
      <c r="B1307" s="32" t="s">
        <v>1340</v>
      </c>
      <c r="C1307" s="32" t="s">
        <v>20</v>
      </c>
      <c r="D1307" s="33" t="s">
        <v>76</v>
      </c>
      <c r="E1307" s="34">
        <v>3</v>
      </c>
      <c r="F1307" s="35">
        <v>3476.06</v>
      </c>
      <c r="G1307" s="36">
        <v>0.51</v>
      </c>
      <c r="H1307" s="35">
        <f t="shared" si="42"/>
        <v>10428.18</v>
      </c>
      <c r="I1307" s="37">
        <v>45647</v>
      </c>
      <c r="J1307" s="33" t="s">
        <v>2540</v>
      </c>
      <c r="K1307" s="33" t="s">
        <v>16</v>
      </c>
      <c r="L1307" s="38">
        <f t="shared" si="43"/>
        <v>5109.8082000000004</v>
      </c>
      <c r="M1307" s="38">
        <v>1379.32</v>
      </c>
      <c r="N1307" s="24">
        <f>_xlfn.XLOOKUP(Snitch_Fashion_Sales_cleaned!$J1307,Table2[City],Table2[City_Key],"not found")</f>
        <v>4</v>
      </c>
      <c r="O1307" s="23">
        <f>_xlfn.XLOOKUP(Snitch_Fashion_Sales_cleaned!$D1307,Table4[Product_Name],Table4[Product_Key],"not found")</f>
        <v>16</v>
      </c>
      <c r="P1307" s="32">
        <f>_xlfn.XLOOKUP(Snitch_Fashion_Sales_cleaned!$I1307,Table3[Order_Date],Table3[Date_Key])</f>
        <v>5</v>
      </c>
    </row>
    <row r="1308" spans="1:16" x14ac:dyDescent="0.3">
      <c r="A1308" s="27">
        <v>2306</v>
      </c>
      <c r="B1308" s="25" t="s">
        <v>1341</v>
      </c>
      <c r="C1308" s="25" t="s">
        <v>25</v>
      </c>
      <c r="D1308" s="26" t="s">
        <v>82</v>
      </c>
      <c r="E1308" s="27">
        <v>3</v>
      </c>
      <c r="F1308" s="28">
        <v>2385.5749999999998</v>
      </c>
      <c r="G1308" s="29">
        <v>0.51</v>
      </c>
      <c r="H1308" s="28">
        <f t="shared" si="42"/>
        <v>7156.7249999999995</v>
      </c>
      <c r="I1308" s="30">
        <v>45260</v>
      </c>
      <c r="J1308" s="26" t="s">
        <v>18</v>
      </c>
      <c r="K1308" s="26" t="s">
        <v>16</v>
      </c>
      <c r="L1308" s="31">
        <f t="shared" si="43"/>
        <v>3506.7952499999997</v>
      </c>
      <c r="M1308" s="31">
        <v>2166.71</v>
      </c>
      <c r="N1308" s="22">
        <f>_xlfn.XLOOKUP(Snitch_Fashion_Sales_cleaned!$J1308,Table2[City],Table2[City_Key],"not found")</f>
        <v>2</v>
      </c>
      <c r="O1308" s="21">
        <f>_xlfn.XLOOKUP(Snitch_Fashion_Sales_cleaned!$D1308,Table4[Product_Name],Table4[Product_Key],"not found")</f>
        <v>18</v>
      </c>
      <c r="P1308" s="25">
        <f>_xlfn.XLOOKUP(Snitch_Fashion_Sales_cleaned!$I1308,Table3[Order_Date],Table3[Date_Key])</f>
        <v>454</v>
      </c>
    </row>
    <row r="1309" spans="1:16" x14ac:dyDescent="0.3">
      <c r="A1309" s="34">
        <v>2307</v>
      </c>
      <c r="B1309" s="32" t="s">
        <v>1342</v>
      </c>
      <c r="C1309" s="32" t="s">
        <v>25</v>
      </c>
      <c r="D1309" s="33" t="s">
        <v>82</v>
      </c>
      <c r="E1309" s="34">
        <v>3</v>
      </c>
      <c r="F1309" s="35">
        <v>2385.5749999999998</v>
      </c>
      <c r="G1309" s="36">
        <v>0.51</v>
      </c>
      <c r="H1309" s="35">
        <f t="shared" si="42"/>
        <v>7156.7249999999995</v>
      </c>
      <c r="I1309" s="37">
        <v>45283</v>
      </c>
      <c r="J1309" s="33" t="s">
        <v>43</v>
      </c>
      <c r="K1309" s="33" t="s">
        <v>23</v>
      </c>
      <c r="L1309" s="38">
        <f t="shared" si="43"/>
        <v>3506.7952499999997</v>
      </c>
      <c r="M1309" s="38">
        <v>1998.57</v>
      </c>
      <c r="N1309" s="24">
        <f>_xlfn.XLOOKUP(Snitch_Fashion_Sales_cleaned!$J1309,Table2[City],Table2[City_Key],"not found")</f>
        <v>6</v>
      </c>
      <c r="O1309" s="23">
        <f>_xlfn.XLOOKUP(Snitch_Fashion_Sales_cleaned!$D1309,Table4[Product_Name],Table4[Product_Key],"not found")</f>
        <v>18</v>
      </c>
      <c r="P1309" s="32">
        <f>_xlfn.XLOOKUP(Snitch_Fashion_Sales_cleaned!$I1309,Table3[Order_Date],Table3[Date_Key])</f>
        <v>455</v>
      </c>
    </row>
    <row r="1310" spans="1:16" x14ac:dyDescent="0.3">
      <c r="A1310" s="27">
        <v>2308</v>
      </c>
      <c r="B1310" s="25" t="s">
        <v>1343</v>
      </c>
      <c r="C1310" s="25" t="s">
        <v>36</v>
      </c>
      <c r="D1310" s="26" t="s">
        <v>55</v>
      </c>
      <c r="E1310" s="27">
        <v>3</v>
      </c>
      <c r="F1310" s="28">
        <v>3978.48</v>
      </c>
      <c r="G1310" s="29">
        <v>0.51</v>
      </c>
      <c r="H1310" s="28">
        <f t="shared" si="42"/>
        <v>11935.44</v>
      </c>
      <c r="I1310" s="30">
        <v>45632</v>
      </c>
      <c r="J1310" s="26" t="s">
        <v>15</v>
      </c>
      <c r="K1310" s="26" t="s">
        <v>23</v>
      </c>
      <c r="L1310" s="31">
        <f t="shared" si="43"/>
        <v>5848.3656000000001</v>
      </c>
      <c r="M1310" s="31">
        <v>929.92</v>
      </c>
      <c r="N1310" s="22">
        <f>_xlfn.XLOOKUP(Snitch_Fashion_Sales_cleaned!$J1310,Table2[City],Table2[City_Key],"not found")</f>
        <v>1</v>
      </c>
      <c r="O1310" s="21">
        <f>_xlfn.XLOOKUP(Snitch_Fashion_Sales_cleaned!$D1310,Table4[Product_Name],Table4[Product_Key],"not found")</f>
        <v>12</v>
      </c>
      <c r="P1310" s="25">
        <f>_xlfn.XLOOKUP(Snitch_Fashion_Sales_cleaned!$I1310,Table3[Order_Date],Table3[Date_Key])</f>
        <v>93</v>
      </c>
    </row>
    <row r="1311" spans="1:16" x14ac:dyDescent="0.3">
      <c r="A1311" s="34">
        <v>2309</v>
      </c>
      <c r="B1311" s="32" t="s">
        <v>1344</v>
      </c>
      <c r="C1311" s="32" t="s">
        <v>13</v>
      </c>
      <c r="D1311" s="33" t="s">
        <v>34</v>
      </c>
      <c r="E1311" s="34">
        <v>1</v>
      </c>
      <c r="F1311" s="35">
        <v>3008.6549999999997</v>
      </c>
      <c r="G1311" s="36">
        <v>0.51</v>
      </c>
      <c r="H1311" s="35">
        <f t="shared" si="42"/>
        <v>3008.6549999999997</v>
      </c>
      <c r="I1311" s="37">
        <v>45647</v>
      </c>
      <c r="J1311" s="33" t="s">
        <v>15</v>
      </c>
      <c r="K1311" s="33" t="s">
        <v>23</v>
      </c>
      <c r="L1311" s="38">
        <f t="shared" si="43"/>
        <v>1474.2409499999999</v>
      </c>
      <c r="M1311" s="38">
        <v>-464.01</v>
      </c>
      <c r="N1311" s="24">
        <f>_xlfn.XLOOKUP(Snitch_Fashion_Sales_cleaned!$J1311,Table2[City],Table2[City_Key],"not found")</f>
        <v>1</v>
      </c>
      <c r="O1311" s="23">
        <f>_xlfn.XLOOKUP(Snitch_Fashion_Sales_cleaned!$D1311,Table4[Product_Name],Table4[Product_Key],"not found")</f>
        <v>6</v>
      </c>
      <c r="P1311" s="32">
        <f>_xlfn.XLOOKUP(Snitch_Fashion_Sales_cleaned!$I1311,Table3[Order_Date],Table3[Date_Key])</f>
        <v>5</v>
      </c>
    </row>
    <row r="1312" spans="1:16" x14ac:dyDescent="0.3">
      <c r="A1312" s="27">
        <v>1003</v>
      </c>
      <c r="B1312" s="25" t="s">
        <v>1345</v>
      </c>
      <c r="C1312" s="25" t="s">
        <v>13</v>
      </c>
      <c r="D1312" s="26" t="s">
        <v>46</v>
      </c>
      <c r="E1312" s="27">
        <v>4</v>
      </c>
      <c r="F1312" s="28">
        <v>4426.82</v>
      </c>
      <c r="G1312" s="29">
        <v>0.51</v>
      </c>
      <c r="H1312" s="28">
        <f t="shared" si="42"/>
        <v>17707.28</v>
      </c>
      <c r="I1312" s="30">
        <v>45780</v>
      </c>
      <c r="J1312" s="26" t="s">
        <v>52</v>
      </c>
      <c r="K1312" s="26" t="s">
        <v>16</v>
      </c>
      <c r="L1312" s="31">
        <f t="shared" si="43"/>
        <v>8676.5671999999995</v>
      </c>
      <c r="M1312" s="31">
        <v>2095.4499999999998</v>
      </c>
      <c r="N1312" s="22">
        <f>_xlfn.XLOOKUP(Snitch_Fashion_Sales_cleaned!$J1312,Table2[City],Table2[City_Key],"not found")</f>
        <v>5</v>
      </c>
      <c r="O1312" s="21">
        <f>_xlfn.XLOOKUP(Snitch_Fashion_Sales_cleaned!$D1312,Table4[Product_Name],Table4[Product_Key],"not found")</f>
        <v>10</v>
      </c>
      <c r="P1312" s="25">
        <f>_xlfn.XLOOKUP(Snitch_Fashion_Sales_cleaned!$I1312,Table3[Order_Date],Table3[Date_Key])</f>
        <v>305</v>
      </c>
    </row>
    <row r="1313" spans="1:16" x14ac:dyDescent="0.3">
      <c r="A1313" s="34">
        <v>1034</v>
      </c>
      <c r="B1313" s="32" t="s">
        <v>1346</v>
      </c>
      <c r="C1313" s="32" t="s">
        <v>20</v>
      </c>
      <c r="D1313" s="33" t="s">
        <v>118</v>
      </c>
      <c r="E1313" s="34">
        <v>3.5</v>
      </c>
      <c r="F1313" s="35">
        <v>3062.79</v>
      </c>
      <c r="G1313" s="36">
        <v>0.51</v>
      </c>
      <c r="H1313" s="35">
        <f t="shared" si="42"/>
        <v>10719.764999999999</v>
      </c>
      <c r="I1313" s="37">
        <v>45503</v>
      </c>
      <c r="J1313" s="33" t="s">
        <v>52</v>
      </c>
      <c r="K1313" s="33" t="s">
        <v>23</v>
      </c>
      <c r="L1313" s="38">
        <f t="shared" si="43"/>
        <v>5252.6848499999996</v>
      </c>
      <c r="M1313" s="38">
        <v>1135.53</v>
      </c>
      <c r="N1313" s="24">
        <f>_xlfn.XLOOKUP(Snitch_Fashion_Sales_cleaned!$J1313,Table2[City],Table2[City_Key],"not found")</f>
        <v>5</v>
      </c>
      <c r="O1313" s="23">
        <f>_xlfn.XLOOKUP(Snitch_Fashion_Sales_cleaned!$D1313,Table4[Product_Name],Table4[Product_Key],"not found")</f>
        <v>23</v>
      </c>
      <c r="P1313" s="32">
        <f>_xlfn.XLOOKUP(Snitch_Fashion_Sales_cleaned!$I1313,Table3[Order_Date],Table3[Date_Key])</f>
        <v>283</v>
      </c>
    </row>
    <row r="1314" spans="1:16" x14ac:dyDescent="0.3">
      <c r="A1314" s="27">
        <v>2312</v>
      </c>
      <c r="B1314" s="25" t="s">
        <v>1347</v>
      </c>
      <c r="C1314" s="25" t="s">
        <v>13</v>
      </c>
      <c r="D1314" s="26" t="s">
        <v>46</v>
      </c>
      <c r="E1314" s="27">
        <v>4</v>
      </c>
      <c r="F1314" s="28">
        <v>2688.08</v>
      </c>
      <c r="G1314" s="29">
        <v>0.51</v>
      </c>
      <c r="H1314" s="28">
        <f t="shared" si="42"/>
        <v>10752.32</v>
      </c>
      <c r="I1314" s="30">
        <v>45521</v>
      </c>
      <c r="J1314" s="26" t="s">
        <v>43</v>
      </c>
      <c r="K1314" s="26" t="s">
        <v>23</v>
      </c>
      <c r="L1314" s="31">
        <f t="shared" si="43"/>
        <v>5268.6367999999993</v>
      </c>
      <c r="M1314" s="31">
        <v>1913.21</v>
      </c>
      <c r="N1314" s="22">
        <f>_xlfn.XLOOKUP(Snitch_Fashion_Sales_cleaned!$J1314,Table2[City],Table2[City_Key],"not found")</f>
        <v>6</v>
      </c>
      <c r="O1314" s="21">
        <f>_xlfn.XLOOKUP(Snitch_Fashion_Sales_cleaned!$D1314,Table4[Product_Name],Table4[Product_Key],"not found")</f>
        <v>10</v>
      </c>
      <c r="P1314" s="25">
        <f>_xlfn.XLOOKUP(Snitch_Fashion_Sales_cleaned!$I1314,Table3[Order_Date],Table3[Date_Key])</f>
        <v>371</v>
      </c>
    </row>
    <row r="1315" spans="1:16" x14ac:dyDescent="0.3">
      <c r="A1315" s="34">
        <v>2313</v>
      </c>
      <c r="B1315" s="32" t="s">
        <v>1348</v>
      </c>
      <c r="C1315" s="32" t="s">
        <v>36</v>
      </c>
      <c r="D1315" s="33" t="s">
        <v>37</v>
      </c>
      <c r="E1315" s="34">
        <v>2</v>
      </c>
      <c r="F1315" s="35">
        <v>2440.38</v>
      </c>
      <c r="G1315" s="36">
        <v>0.51</v>
      </c>
      <c r="H1315" s="35">
        <f t="shared" si="42"/>
        <v>4880.76</v>
      </c>
      <c r="I1315" s="37">
        <v>45724</v>
      </c>
      <c r="J1315" s="33" t="s">
        <v>2540</v>
      </c>
      <c r="K1315" s="33" t="s">
        <v>23</v>
      </c>
      <c r="L1315" s="38">
        <f t="shared" si="43"/>
        <v>2391.5724</v>
      </c>
      <c r="M1315" s="38">
        <v>-899.53</v>
      </c>
      <c r="N1315" s="24">
        <f>_xlfn.XLOOKUP(Snitch_Fashion_Sales_cleaned!$J1315,Table2[City],Table2[City_Key],"not found")</f>
        <v>4</v>
      </c>
      <c r="O1315" s="23">
        <f>_xlfn.XLOOKUP(Snitch_Fashion_Sales_cleaned!$D1315,Table4[Product_Name],Table4[Product_Key],"not found")</f>
        <v>7</v>
      </c>
      <c r="P1315" s="32">
        <f>_xlfn.XLOOKUP(Snitch_Fashion_Sales_cleaned!$I1315,Table3[Order_Date],Table3[Date_Key])</f>
        <v>456</v>
      </c>
    </row>
    <row r="1316" spans="1:16" x14ac:dyDescent="0.3">
      <c r="A1316" s="27">
        <v>2314</v>
      </c>
      <c r="B1316" s="25" t="s">
        <v>1349</v>
      </c>
      <c r="C1316" s="25" t="s">
        <v>28</v>
      </c>
      <c r="D1316" s="26" t="s">
        <v>116</v>
      </c>
      <c r="E1316" s="27">
        <v>4</v>
      </c>
      <c r="F1316" s="28">
        <v>2785.79</v>
      </c>
      <c r="G1316" s="29">
        <v>0.51</v>
      </c>
      <c r="H1316" s="28">
        <f t="shared" si="42"/>
        <v>11143.16</v>
      </c>
      <c r="I1316" s="30">
        <v>45642</v>
      </c>
      <c r="J1316" s="26" t="s">
        <v>43</v>
      </c>
      <c r="K1316" s="26" t="s">
        <v>23</v>
      </c>
      <c r="L1316" s="31">
        <f t="shared" si="43"/>
        <v>5460.1484</v>
      </c>
      <c r="M1316" s="31">
        <v>949.17</v>
      </c>
      <c r="N1316" s="22">
        <f>_xlfn.XLOOKUP(Snitch_Fashion_Sales_cleaned!$J1316,Table2[City],Table2[City_Key],"not found")</f>
        <v>6</v>
      </c>
      <c r="O1316" s="21">
        <f>_xlfn.XLOOKUP(Snitch_Fashion_Sales_cleaned!$D1316,Table4[Product_Name],Table4[Product_Key],"not found")</f>
        <v>22</v>
      </c>
      <c r="P1316" s="25">
        <f>_xlfn.XLOOKUP(Snitch_Fashion_Sales_cleaned!$I1316,Table3[Order_Date],Table3[Date_Key])</f>
        <v>73</v>
      </c>
    </row>
    <row r="1317" spans="1:16" x14ac:dyDescent="0.3">
      <c r="A1317" s="34">
        <v>2315</v>
      </c>
      <c r="B1317" s="32" t="s">
        <v>1350</v>
      </c>
      <c r="C1317" s="32" t="s">
        <v>36</v>
      </c>
      <c r="D1317" s="33" t="s">
        <v>37</v>
      </c>
      <c r="E1317" s="34">
        <v>1</v>
      </c>
      <c r="F1317" s="35">
        <v>2975.64</v>
      </c>
      <c r="G1317" s="36">
        <v>0.51</v>
      </c>
      <c r="H1317" s="35">
        <f t="shared" si="42"/>
        <v>2975.64</v>
      </c>
      <c r="I1317" s="37">
        <v>45710</v>
      </c>
      <c r="J1317" s="33" t="s">
        <v>43</v>
      </c>
      <c r="K1317" s="33" t="s">
        <v>23</v>
      </c>
      <c r="L1317" s="38">
        <f t="shared" si="43"/>
        <v>1458.0636</v>
      </c>
      <c r="M1317" s="38">
        <v>261.63</v>
      </c>
      <c r="N1317" s="24">
        <f>_xlfn.XLOOKUP(Snitch_Fashion_Sales_cleaned!$J1317,Table2[City],Table2[City_Key],"not found")</f>
        <v>6</v>
      </c>
      <c r="O1317" s="23">
        <f>_xlfn.XLOOKUP(Snitch_Fashion_Sales_cleaned!$D1317,Table4[Product_Name],Table4[Product_Key],"not found")</f>
        <v>7</v>
      </c>
      <c r="P1317" s="32">
        <f>_xlfn.XLOOKUP(Snitch_Fashion_Sales_cleaned!$I1317,Table3[Order_Date],Table3[Date_Key])</f>
        <v>59</v>
      </c>
    </row>
    <row r="1318" spans="1:16" x14ac:dyDescent="0.3">
      <c r="A1318" s="27">
        <v>2316</v>
      </c>
      <c r="B1318" s="25" t="s">
        <v>1351</v>
      </c>
      <c r="C1318" s="25" t="s">
        <v>13</v>
      </c>
      <c r="D1318" s="26" t="s">
        <v>98</v>
      </c>
      <c r="E1318" s="27">
        <v>4</v>
      </c>
      <c r="F1318" s="28">
        <v>1529.48</v>
      </c>
      <c r="G1318" s="29">
        <v>0.51</v>
      </c>
      <c r="H1318" s="28">
        <f t="shared" si="42"/>
        <v>6117.92</v>
      </c>
      <c r="I1318" s="30">
        <v>45410</v>
      </c>
      <c r="J1318" s="26" t="s">
        <v>22</v>
      </c>
      <c r="K1318" s="26" t="s">
        <v>16</v>
      </c>
      <c r="L1318" s="31">
        <f t="shared" si="43"/>
        <v>2997.7808</v>
      </c>
      <c r="M1318" s="31">
        <v>1325.56</v>
      </c>
      <c r="N1318" s="22">
        <f>_xlfn.XLOOKUP(Snitch_Fashion_Sales_cleaned!$J1318,Table2[City],Table2[City_Key],"not found")</f>
        <v>3</v>
      </c>
      <c r="O1318" s="21">
        <f>_xlfn.XLOOKUP(Snitch_Fashion_Sales_cleaned!$D1318,Table4[Product_Name],Table4[Product_Key],"not found")</f>
        <v>21</v>
      </c>
      <c r="P1318" s="25">
        <f>_xlfn.XLOOKUP(Snitch_Fashion_Sales_cleaned!$I1318,Table3[Order_Date],Table3[Date_Key])</f>
        <v>457</v>
      </c>
    </row>
    <row r="1319" spans="1:16" x14ac:dyDescent="0.3">
      <c r="A1319" s="34">
        <v>2317</v>
      </c>
      <c r="B1319" s="32" t="s">
        <v>1352</v>
      </c>
      <c r="C1319" s="32" t="s">
        <v>25</v>
      </c>
      <c r="D1319" s="33" t="s">
        <v>82</v>
      </c>
      <c r="E1319" s="34">
        <v>3</v>
      </c>
      <c r="F1319" s="35">
        <v>1005.41</v>
      </c>
      <c r="G1319" s="36">
        <v>0.51</v>
      </c>
      <c r="H1319" s="35">
        <f t="shared" si="42"/>
        <v>3016.23</v>
      </c>
      <c r="I1319" s="37">
        <v>45814</v>
      </c>
      <c r="J1319" s="33" t="s">
        <v>15</v>
      </c>
      <c r="K1319" s="33" t="s">
        <v>16</v>
      </c>
      <c r="L1319" s="38">
        <f t="shared" si="43"/>
        <v>1477.9527</v>
      </c>
      <c r="M1319" s="38">
        <v>566.17999999999995</v>
      </c>
      <c r="N1319" s="24">
        <f>_xlfn.XLOOKUP(Snitch_Fashion_Sales_cleaned!$J1319,Table2[City],Table2[City_Key],"not found")</f>
        <v>1</v>
      </c>
      <c r="O1319" s="23">
        <f>_xlfn.XLOOKUP(Snitch_Fashion_Sales_cleaned!$D1319,Table4[Product_Name],Table4[Product_Key],"not found")</f>
        <v>18</v>
      </c>
      <c r="P1319" s="32">
        <f>_xlfn.XLOOKUP(Snitch_Fashion_Sales_cleaned!$I1319,Table3[Order_Date],Table3[Date_Key])</f>
        <v>198</v>
      </c>
    </row>
    <row r="1320" spans="1:16" x14ac:dyDescent="0.3">
      <c r="A1320" s="27">
        <v>2318</v>
      </c>
      <c r="B1320" s="25" t="s">
        <v>1353</v>
      </c>
      <c r="C1320" s="25" t="s">
        <v>31</v>
      </c>
      <c r="D1320" s="26" t="s">
        <v>32</v>
      </c>
      <c r="E1320" s="27">
        <v>4</v>
      </c>
      <c r="F1320" s="28">
        <v>2001.5500000000002</v>
      </c>
      <c r="G1320" s="29">
        <v>0.51</v>
      </c>
      <c r="H1320" s="28">
        <f t="shared" si="42"/>
        <v>8006.2000000000007</v>
      </c>
      <c r="I1320" s="30">
        <v>45760</v>
      </c>
      <c r="J1320" s="26" t="s">
        <v>52</v>
      </c>
      <c r="K1320" s="26" t="s">
        <v>16</v>
      </c>
      <c r="L1320" s="31">
        <f t="shared" si="43"/>
        <v>3923.0380000000005</v>
      </c>
      <c r="M1320" s="31">
        <v>1145.48</v>
      </c>
      <c r="N1320" s="22">
        <f>_xlfn.XLOOKUP(Snitch_Fashion_Sales_cleaned!$J1320,Table2[City],Table2[City_Key],"not found")</f>
        <v>5</v>
      </c>
      <c r="O1320" s="21">
        <f>_xlfn.XLOOKUP(Snitch_Fashion_Sales_cleaned!$D1320,Table4[Product_Name],Table4[Product_Key],"not found")</f>
        <v>5</v>
      </c>
      <c r="P1320" s="25">
        <f>_xlfn.XLOOKUP(Snitch_Fashion_Sales_cleaned!$I1320,Table3[Order_Date],Table3[Date_Key])</f>
        <v>458</v>
      </c>
    </row>
    <row r="1321" spans="1:16" x14ac:dyDescent="0.3">
      <c r="A1321" s="34">
        <v>2319</v>
      </c>
      <c r="B1321" s="32" t="s">
        <v>1354</v>
      </c>
      <c r="C1321" s="32" t="s">
        <v>36</v>
      </c>
      <c r="D1321" s="33" t="s">
        <v>59</v>
      </c>
      <c r="E1321" s="34">
        <v>3</v>
      </c>
      <c r="F1321" s="35">
        <v>881.41</v>
      </c>
      <c r="G1321" s="36">
        <v>0.51</v>
      </c>
      <c r="H1321" s="35">
        <f t="shared" si="42"/>
        <v>2644.23</v>
      </c>
      <c r="I1321" s="37">
        <v>45647</v>
      </c>
      <c r="J1321" s="33" t="s">
        <v>43</v>
      </c>
      <c r="K1321" s="33" t="s">
        <v>23</v>
      </c>
      <c r="L1321" s="38">
        <f t="shared" si="43"/>
        <v>1295.6727000000001</v>
      </c>
      <c r="M1321" s="38">
        <v>323.91817500000002</v>
      </c>
      <c r="N1321" s="24">
        <f>_xlfn.XLOOKUP(Snitch_Fashion_Sales_cleaned!$J1321,Table2[City],Table2[City_Key],"not found")</f>
        <v>6</v>
      </c>
      <c r="O1321" s="23">
        <f>_xlfn.XLOOKUP(Snitch_Fashion_Sales_cleaned!$D1321,Table4[Product_Name],Table4[Product_Key],"not found")</f>
        <v>13</v>
      </c>
      <c r="P1321" s="32">
        <f>_xlfn.XLOOKUP(Snitch_Fashion_Sales_cleaned!$I1321,Table3[Order_Date],Table3[Date_Key])</f>
        <v>5</v>
      </c>
    </row>
    <row r="1322" spans="1:16" x14ac:dyDescent="0.3">
      <c r="A1322" s="27">
        <v>2320</v>
      </c>
      <c r="B1322" s="25" t="s">
        <v>1355</v>
      </c>
      <c r="C1322" s="25" t="s">
        <v>13</v>
      </c>
      <c r="D1322" s="26" t="s">
        <v>46</v>
      </c>
      <c r="E1322" s="27">
        <v>4</v>
      </c>
      <c r="F1322" s="28">
        <v>2891.64</v>
      </c>
      <c r="G1322" s="29">
        <v>0.51</v>
      </c>
      <c r="H1322" s="28">
        <f t="shared" si="42"/>
        <v>11566.56</v>
      </c>
      <c r="I1322" s="30">
        <v>45505</v>
      </c>
      <c r="J1322" s="26" t="s">
        <v>52</v>
      </c>
      <c r="K1322" s="26" t="s">
        <v>16</v>
      </c>
      <c r="L1322" s="31">
        <f t="shared" si="43"/>
        <v>5667.6143999999995</v>
      </c>
      <c r="M1322" s="31">
        <v>1960.76</v>
      </c>
      <c r="N1322" s="22">
        <f>_xlfn.XLOOKUP(Snitch_Fashion_Sales_cleaned!$J1322,Table2[City],Table2[City_Key],"not found")</f>
        <v>5</v>
      </c>
      <c r="O1322" s="21">
        <f>_xlfn.XLOOKUP(Snitch_Fashion_Sales_cleaned!$D1322,Table4[Product_Name],Table4[Product_Key],"not found")</f>
        <v>10</v>
      </c>
      <c r="P1322" s="25">
        <f>_xlfn.XLOOKUP(Snitch_Fashion_Sales_cleaned!$I1322,Table3[Order_Date],Table3[Date_Key])</f>
        <v>363</v>
      </c>
    </row>
    <row r="1323" spans="1:16" x14ac:dyDescent="0.3">
      <c r="A1323" s="34">
        <v>2321</v>
      </c>
      <c r="B1323" s="32" t="s">
        <v>1356</v>
      </c>
      <c r="C1323" s="32" t="s">
        <v>25</v>
      </c>
      <c r="D1323" s="33" t="s">
        <v>50</v>
      </c>
      <c r="E1323" s="34">
        <v>4</v>
      </c>
      <c r="F1323" s="35">
        <v>2666.2200000000003</v>
      </c>
      <c r="G1323" s="36">
        <v>0.51</v>
      </c>
      <c r="H1323" s="35">
        <f t="shared" si="42"/>
        <v>10664.880000000001</v>
      </c>
      <c r="I1323" s="37">
        <v>45742</v>
      </c>
      <c r="J1323" s="33" t="s">
        <v>43</v>
      </c>
      <c r="K1323" s="33" t="s">
        <v>23</v>
      </c>
      <c r="L1323" s="38">
        <f t="shared" si="43"/>
        <v>5225.7912000000006</v>
      </c>
      <c r="M1323" s="38">
        <v>1864.22</v>
      </c>
      <c r="N1323" s="24">
        <f>_xlfn.XLOOKUP(Snitch_Fashion_Sales_cleaned!$J1323,Table2[City],Table2[City_Key],"not found")</f>
        <v>6</v>
      </c>
      <c r="O1323" s="23">
        <f>_xlfn.XLOOKUP(Snitch_Fashion_Sales_cleaned!$D1323,Table4[Product_Name],Table4[Product_Key],"not found")</f>
        <v>11</v>
      </c>
      <c r="P1323" s="32">
        <f>_xlfn.XLOOKUP(Snitch_Fashion_Sales_cleaned!$I1323,Table3[Order_Date],Table3[Date_Key])</f>
        <v>177</v>
      </c>
    </row>
    <row r="1324" spans="1:16" x14ac:dyDescent="0.3">
      <c r="A1324" s="27">
        <v>2322</v>
      </c>
      <c r="B1324" s="25" t="s">
        <v>1357</v>
      </c>
      <c r="C1324" s="25" t="s">
        <v>31</v>
      </c>
      <c r="D1324" s="26" t="s">
        <v>32</v>
      </c>
      <c r="E1324" s="27">
        <v>4</v>
      </c>
      <c r="F1324" s="28">
        <v>2001.5500000000002</v>
      </c>
      <c r="G1324" s="29">
        <v>0.98</v>
      </c>
      <c r="H1324" s="28">
        <f t="shared" si="42"/>
        <v>8006.2000000000007</v>
      </c>
      <c r="I1324" s="30">
        <v>45647</v>
      </c>
      <c r="J1324" s="26" t="s">
        <v>43</v>
      </c>
      <c r="K1324" s="26" t="s">
        <v>23</v>
      </c>
      <c r="L1324" s="31">
        <f t="shared" si="43"/>
        <v>160.12400000000017</v>
      </c>
      <c r="M1324" s="31">
        <v>40.031000000000041</v>
      </c>
      <c r="N1324" s="22">
        <f>_xlfn.XLOOKUP(Snitch_Fashion_Sales_cleaned!$J1324,Table2[City],Table2[City_Key],"not found")</f>
        <v>6</v>
      </c>
      <c r="O1324" s="21">
        <f>_xlfn.XLOOKUP(Snitch_Fashion_Sales_cleaned!$D1324,Table4[Product_Name],Table4[Product_Key],"not found")</f>
        <v>5</v>
      </c>
      <c r="P1324" s="25">
        <f>_xlfn.XLOOKUP(Snitch_Fashion_Sales_cleaned!$I1324,Table3[Order_Date],Table3[Date_Key])</f>
        <v>5</v>
      </c>
    </row>
    <row r="1325" spans="1:16" x14ac:dyDescent="0.3">
      <c r="A1325" s="34">
        <v>2323</v>
      </c>
      <c r="B1325" s="32" t="s">
        <v>1358</v>
      </c>
      <c r="C1325" s="32" t="s">
        <v>13</v>
      </c>
      <c r="D1325" s="33" t="s">
        <v>46</v>
      </c>
      <c r="E1325" s="34">
        <v>4</v>
      </c>
      <c r="F1325" s="35">
        <v>2891.64</v>
      </c>
      <c r="G1325" s="36">
        <v>0.51</v>
      </c>
      <c r="H1325" s="35">
        <f t="shared" si="42"/>
        <v>11566.56</v>
      </c>
      <c r="I1325" s="37">
        <v>45694</v>
      </c>
      <c r="J1325" s="33" t="s">
        <v>43</v>
      </c>
      <c r="K1325" s="33" t="s">
        <v>23</v>
      </c>
      <c r="L1325" s="38">
        <f t="shared" si="43"/>
        <v>5667.6143999999995</v>
      </c>
      <c r="M1325" s="38">
        <v>2903.66</v>
      </c>
      <c r="N1325" s="24">
        <f>_xlfn.XLOOKUP(Snitch_Fashion_Sales_cleaned!$J1325,Table2[City],Table2[City_Key],"not found")</f>
        <v>6</v>
      </c>
      <c r="O1325" s="23">
        <f>_xlfn.XLOOKUP(Snitch_Fashion_Sales_cleaned!$D1325,Table4[Product_Name],Table4[Product_Key],"not found")</f>
        <v>10</v>
      </c>
      <c r="P1325" s="32">
        <f>_xlfn.XLOOKUP(Snitch_Fashion_Sales_cleaned!$I1325,Table3[Order_Date],Table3[Date_Key])</f>
        <v>175</v>
      </c>
    </row>
    <row r="1326" spans="1:16" x14ac:dyDescent="0.3">
      <c r="A1326" s="27">
        <v>1025</v>
      </c>
      <c r="B1326" s="25" t="s">
        <v>1359</v>
      </c>
      <c r="C1326" s="25" t="s">
        <v>31</v>
      </c>
      <c r="D1326" s="26" t="s">
        <v>41</v>
      </c>
      <c r="E1326" s="27">
        <v>3</v>
      </c>
      <c r="F1326" s="28">
        <v>3027.66</v>
      </c>
      <c r="G1326" s="29">
        <v>0.51</v>
      </c>
      <c r="H1326" s="28">
        <f t="shared" si="42"/>
        <v>9082.98</v>
      </c>
      <c r="I1326" s="30">
        <v>45647</v>
      </c>
      <c r="J1326" s="26" t="s">
        <v>15</v>
      </c>
      <c r="K1326" s="26" t="s">
        <v>23</v>
      </c>
      <c r="L1326" s="31">
        <f t="shared" si="43"/>
        <v>4450.6601999999993</v>
      </c>
      <c r="M1326" s="31">
        <v>-973.7</v>
      </c>
      <c r="N1326" s="22">
        <f>_xlfn.XLOOKUP(Snitch_Fashion_Sales_cleaned!$J1326,Table2[City],Table2[City_Key],"not found")</f>
        <v>1</v>
      </c>
      <c r="O1326" s="21">
        <f>_xlfn.XLOOKUP(Snitch_Fashion_Sales_cleaned!$D1326,Table4[Product_Name],Table4[Product_Key],"not found")</f>
        <v>9</v>
      </c>
      <c r="P1326" s="25">
        <f>_xlfn.XLOOKUP(Snitch_Fashion_Sales_cleaned!$I1326,Table3[Order_Date],Table3[Date_Key])</f>
        <v>5</v>
      </c>
    </row>
    <row r="1327" spans="1:16" x14ac:dyDescent="0.3">
      <c r="A1327" s="34">
        <v>2325</v>
      </c>
      <c r="B1327" s="32" t="s">
        <v>1360</v>
      </c>
      <c r="C1327" s="32" t="s">
        <v>36</v>
      </c>
      <c r="D1327" s="33" t="s">
        <v>87</v>
      </c>
      <c r="E1327" s="34">
        <v>1</v>
      </c>
      <c r="F1327" s="35">
        <v>2889.5349999999999</v>
      </c>
      <c r="G1327" s="36">
        <v>0.51</v>
      </c>
      <c r="H1327" s="35">
        <f t="shared" si="42"/>
        <v>2889.5349999999999</v>
      </c>
      <c r="I1327" s="37">
        <v>45647</v>
      </c>
      <c r="J1327" s="33" t="s">
        <v>2540</v>
      </c>
      <c r="K1327" s="33" t="s">
        <v>23</v>
      </c>
      <c r="L1327" s="38">
        <f t="shared" si="43"/>
        <v>1415.8721499999999</v>
      </c>
      <c r="M1327" s="38">
        <v>353.96803749999998</v>
      </c>
      <c r="N1327" s="24">
        <f>_xlfn.XLOOKUP(Snitch_Fashion_Sales_cleaned!$J1327,Table2[City],Table2[City_Key],"not found")</f>
        <v>4</v>
      </c>
      <c r="O1327" s="23">
        <f>_xlfn.XLOOKUP(Snitch_Fashion_Sales_cleaned!$D1327,Table4[Product_Name],Table4[Product_Key],"not found")</f>
        <v>20</v>
      </c>
      <c r="P1327" s="32">
        <f>_xlfn.XLOOKUP(Snitch_Fashion_Sales_cleaned!$I1327,Table3[Order_Date],Table3[Date_Key])</f>
        <v>5</v>
      </c>
    </row>
    <row r="1328" spans="1:16" x14ac:dyDescent="0.3">
      <c r="A1328" s="27">
        <v>2326</v>
      </c>
      <c r="B1328" s="25" t="s">
        <v>1361</v>
      </c>
      <c r="C1328" s="25" t="s">
        <v>25</v>
      </c>
      <c r="D1328" s="26" t="s">
        <v>50</v>
      </c>
      <c r="E1328" s="27">
        <v>4</v>
      </c>
      <c r="F1328" s="28">
        <v>1718.14</v>
      </c>
      <c r="G1328" s="29">
        <v>0.51</v>
      </c>
      <c r="H1328" s="28">
        <f t="shared" si="42"/>
        <v>6872.56</v>
      </c>
      <c r="I1328" s="30">
        <v>45736</v>
      </c>
      <c r="J1328" s="26" t="s">
        <v>18</v>
      </c>
      <c r="K1328" s="26" t="s">
        <v>23</v>
      </c>
      <c r="L1328" s="31">
        <f t="shared" si="43"/>
        <v>3367.5544</v>
      </c>
      <c r="M1328" s="31">
        <v>1309.05</v>
      </c>
      <c r="N1328" s="22">
        <f>_xlfn.XLOOKUP(Snitch_Fashion_Sales_cleaned!$J1328,Table2[City],Table2[City_Key],"not found")</f>
        <v>2</v>
      </c>
      <c r="O1328" s="21">
        <f>_xlfn.XLOOKUP(Snitch_Fashion_Sales_cleaned!$D1328,Table4[Product_Name],Table4[Product_Key],"not found")</f>
        <v>11</v>
      </c>
      <c r="P1328" s="25">
        <f>_xlfn.XLOOKUP(Snitch_Fashion_Sales_cleaned!$I1328,Table3[Order_Date],Table3[Date_Key])</f>
        <v>423</v>
      </c>
    </row>
    <row r="1329" spans="1:16" x14ac:dyDescent="0.3">
      <c r="A1329" s="34">
        <v>2327</v>
      </c>
      <c r="B1329" s="32" t="s">
        <v>1362</v>
      </c>
      <c r="C1329" s="32" t="s">
        <v>25</v>
      </c>
      <c r="D1329" s="33" t="s">
        <v>62</v>
      </c>
      <c r="E1329" s="34">
        <v>4</v>
      </c>
      <c r="F1329" s="35">
        <v>2538.0450000000001</v>
      </c>
      <c r="G1329" s="36">
        <v>0.76</v>
      </c>
      <c r="H1329" s="35">
        <f t="shared" si="42"/>
        <v>10152.18</v>
      </c>
      <c r="I1329" s="37">
        <v>45714</v>
      </c>
      <c r="J1329" s="33" t="s">
        <v>43</v>
      </c>
      <c r="K1329" s="33" t="s">
        <v>16</v>
      </c>
      <c r="L1329" s="38">
        <f t="shared" si="43"/>
        <v>2436.5232000000001</v>
      </c>
      <c r="M1329" s="38">
        <v>-357.33</v>
      </c>
      <c r="N1329" s="24">
        <f>_xlfn.XLOOKUP(Snitch_Fashion_Sales_cleaned!$J1329,Table2[City],Table2[City_Key],"not found")</f>
        <v>6</v>
      </c>
      <c r="O1329" s="23">
        <f>_xlfn.XLOOKUP(Snitch_Fashion_Sales_cleaned!$D1329,Table4[Product_Name],Table4[Product_Key],"not found")</f>
        <v>14</v>
      </c>
      <c r="P1329" s="32">
        <f>_xlfn.XLOOKUP(Snitch_Fashion_Sales_cleaned!$I1329,Table3[Order_Date],Table3[Date_Key])</f>
        <v>312</v>
      </c>
    </row>
    <row r="1330" spans="1:16" x14ac:dyDescent="0.3">
      <c r="A1330" s="27">
        <v>2328</v>
      </c>
      <c r="B1330" s="25" t="s">
        <v>1363</v>
      </c>
      <c r="C1330" s="25" t="s">
        <v>13</v>
      </c>
      <c r="D1330" s="26" t="s">
        <v>34</v>
      </c>
      <c r="E1330" s="27">
        <v>3</v>
      </c>
      <c r="F1330" s="28">
        <v>3008.6549999999997</v>
      </c>
      <c r="G1330" s="29">
        <v>0.51</v>
      </c>
      <c r="H1330" s="28">
        <f t="shared" si="42"/>
        <v>9025.9650000000001</v>
      </c>
      <c r="I1330" s="30">
        <v>45647</v>
      </c>
      <c r="J1330" s="26" t="s">
        <v>22</v>
      </c>
      <c r="K1330" s="26" t="s">
        <v>16</v>
      </c>
      <c r="L1330" s="31">
        <f t="shared" si="43"/>
        <v>4422.7228500000001</v>
      </c>
      <c r="M1330" s="31">
        <v>1385.5</v>
      </c>
      <c r="N1330" s="22">
        <f>_xlfn.XLOOKUP(Snitch_Fashion_Sales_cleaned!$J1330,Table2[City],Table2[City_Key],"not found")</f>
        <v>3</v>
      </c>
      <c r="O1330" s="21">
        <f>_xlfn.XLOOKUP(Snitch_Fashion_Sales_cleaned!$D1330,Table4[Product_Name],Table4[Product_Key],"not found")</f>
        <v>6</v>
      </c>
      <c r="P1330" s="25">
        <f>_xlfn.XLOOKUP(Snitch_Fashion_Sales_cleaned!$I1330,Table3[Order_Date],Table3[Date_Key])</f>
        <v>5</v>
      </c>
    </row>
    <row r="1331" spans="1:16" x14ac:dyDescent="0.3">
      <c r="A1331" s="34">
        <v>1024</v>
      </c>
      <c r="B1331" s="32" t="s">
        <v>1364</v>
      </c>
      <c r="C1331" s="32" t="s">
        <v>13</v>
      </c>
      <c r="D1331" s="33" t="s">
        <v>46</v>
      </c>
      <c r="E1331" s="34">
        <v>4</v>
      </c>
      <c r="F1331" s="35">
        <v>1580.59</v>
      </c>
      <c r="G1331" s="36">
        <v>0.08</v>
      </c>
      <c r="H1331" s="35">
        <f t="shared" si="42"/>
        <v>6322.36</v>
      </c>
      <c r="I1331" s="37">
        <v>45782</v>
      </c>
      <c r="J1331" s="33" t="s">
        <v>15</v>
      </c>
      <c r="K1331" s="33" t="s">
        <v>23</v>
      </c>
      <c r="L1331" s="38">
        <f t="shared" si="43"/>
        <v>5816.5712000000003</v>
      </c>
      <c r="M1331" s="38">
        <v>1786.82</v>
      </c>
      <c r="N1331" s="24">
        <f>_xlfn.XLOOKUP(Snitch_Fashion_Sales_cleaned!$J1331,Table2[City],Table2[City_Key],"not found")</f>
        <v>1</v>
      </c>
      <c r="O1331" s="23">
        <f>_xlfn.XLOOKUP(Snitch_Fashion_Sales_cleaned!$D1331,Table4[Product_Name],Table4[Product_Key],"not found")</f>
        <v>10</v>
      </c>
      <c r="P1331" s="32">
        <f>_xlfn.XLOOKUP(Snitch_Fashion_Sales_cleaned!$I1331,Table3[Order_Date],Table3[Date_Key])</f>
        <v>80</v>
      </c>
    </row>
    <row r="1332" spans="1:16" x14ac:dyDescent="0.3">
      <c r="A1332" s="27">
        <v>2330</v>
      </c>
      <c r="B1332" s="25" t="s">
        <v>1365</v>
      </c>
      <c r="C1332" s="25" t="s">
        <v>25</v>
      </c>
      <c r="D1332" s="26" t="s">
        <v>82</v>
      </c>
      <c r="E1332" s="27">
        <v>6</v>
      </c>
      <c r="F1332" s="28">
        <v>2385.5749999999998</v>
      </c>
      <c r="G1332" s="29">
        <v>0.53</v>
      </c>
      <c r="H1332" s="28">
        <f t="shared" si="42"/>
        <v>14313.449999999999</v>
      </c>
      <c r="I1332" s="30">
        <v>45647</v>
      </c>
      <c r="J1332" s="26" t="s">
        <v>43</v>
      </c>
      <c r="K1332" s="26" t="s">
        <v>16</v>
      </c>
      <c r="L1332" s="31">
        <f t="shared" si="43"/>
        <v>6727.3214999999991</v>
      </c>
      <c r="M1332" s="31">
        <v>-44.8</v>
      </c>
      <c r="N1332" s="22">
        <f>_xlfn.XLOOKUP(Snitch_Fashion_Sales_cleaned!$J1332,Table2[City],Table2[City_Key],"not found")</f>
        <v>6</v>
      </c>
      <c r="O1332" s="21">
        <f>_xlfn.XLOOKUP(Snitch_Fashion_Sales_cleaned!$D1332,Table4[Product_Name],Table4[Product_Key],"not found")</f>
        <v>18</v>
      </c>
      <c r="P1332" s="25">
        <f>_xlfn.XLOOKUP(Snitch_Fashion_Sales_cleaned!$I1332,Table3[Order_Date],Table3[Date_Key])</f>
        <v>5</v>
      </c>
    </row>
    <row r="1333" spans="1:16" x14ac:dyDescent="0.3">
      <c r="A1333" s="34">
        <v>2331</v>
      </c>
      <c r="B1333" s="32" t="s">
        <v>1366</v>
      </c>
      <c r="C1333" s="32" t="s">
        <v>36</v>
      </c>
      <c r="D1333" s="33" t="s">
        <v>37</v>
      </c>
      <c r="E1333" s="34">
        <v>4</v>
      </c>
      <c r="F1333" s="35">
        <v>2967.49</v>
      </c>
      <c r="G1333" s="36">
        <v>0.51</v>
      </c>
      <c r="H1333" s="35">
        <f t="shared" si="42"/>
        <v>11869.96</v>
      </c>
      <c r="I1333" s="37">
        <v>45781</v>
      </c>
      <c r="J1333" s="33" t="s">
        <v>43</v>
      </c>
      <c r="K1333" s="33" t="s">
        <v>23</v>
      </c>
      <c r="L1333" s="38">
        <f t="shared" si="43"/>
        <v>5816.2803999999996</v>
      </c>
      <c r="M1333" s="38">
        <v>1890.42</v>
      </c>
      <c r="N1333" s="24">
        <f>_xlfn.XLOOKUP(Snitch_Fashion_Sales_cleaned!$J1333,Table2[City],Table2[City_Key],"not found")</f>
        <v>6</v>
      </c>
      <c r="O1333" s="23">
        <f>_xlfn.XLOOKUP(Snitch_Fashion_Sales_cleaned!$D1333,Table4[Product_Name],Table4[Product_Key],"not found")</f>
        <v>7</v>
      </c>
      <c r="P1333" s="32">
        <f>_xlfn.XLOOKUP(Snitch_Fashion_Sales_cleaned!$I1333,Table3[Order_Date],Table3[Date_Key])</f>
        <v>277</v>
      </c>
    </row>
    <row r="1334" spans="1:16" x14ac:dyDescent="0.3">
      <c r="A1334" s="27">
        <v>2332</v>
      </c>
      <c r="B1334" s="25" t="s">
        <v>1367</v>
      </c>
      <c r="C1334" s="25" t="s">
        <v>20</v>
      </c>
      <c r="D1334" s="26" t="s">
        <v>118</v>
      </c>
      <c r="E1334" s="27">
        <v>3.5</v>
      </c>
      <c r="F1334" s="28">
        <v>4066.97</v>
      </c>
      <c r="G1334" s="29">
        <v>0.59</v>
      </c>
      <c r="H1334" s="28">
        <f t="shared" si="42"/>
        <v>14234.394999999999</v>
      </c>
      <c r="I1334" s="30">
        <v>45806</v>
      </c>
      <c r="J1334" s="26" t="s">
        <v>22</v>
      </c>
      <c r="K1334" s="26" t="s">
        <v>23</v>
      </c>
      <c r="L1334" s="31">
        <f t="shared" si="43"/>
        <v>5836.1019500000002</v>
      </c>
      <c r="M1334" s="31">
        <v>977.09</v>
      </c>
      <c r="N1334" s="22">
        <f>_xlfn.XLOOKUP(Snitch_Fashion_Sales_cleaned!$J1334,Table2[City],Table2[City_Key],"not found")</f>
        <v>3</v>
      </c>
      <c r="O1334" s="21">
        <f>_xlfn.XLOOKUP(Snitch_Fashion_Sales_cleaned!$D1334,Table4[Product_Name],Table4[Product_Key],"not found")</f>
        <v>23</v>
      </c>
      <c r="P1334" s="25">
        <f>_xlfn.XLOOKUP(Snitch_Fashion_Sales_cleaned!$I1334,Table3[Order_Date],Table3[Date_Key])</f>
        <v>183</v>
      </c>
    </row>
    <row r="1335" spans="1:16" x14ac:dyDescent="0.3">
      <c r="A1335" s="34">
        <v>2333</v>
      </c>
      <c r="B1335" s="32" t="s">
        <v>1368</v>
      </c>
      <c r="C1335" s="32" t="s">
        <v>36</v>
      </c>
      <c r="D1335" s="33" t="s">
        <v>37</v>
      </c>
      <c r="E1335" s="34">
        <v>4</v>
      </c>
      <c r="F1335" s="35">
        <v>2975.64</v>
      </c>
      <c r="G1335" s="36">
        <v>0.51</v>
      </c>
      <c r="H1335" s="35">
        <f t="shared" si="42"/>
        <v>11902.56</v>
      </c>
      <c r="I1335" s="37">
        <v>45313</v>
      </c>
      <c r="J1335" s="33" t="s">
        <v>18</v>
      </c>
      <c r="K1335" s="33" t="s">
        <v>16</v>
      </c>
      <c r="L1335" s="38">
        <f t="shared" si="43"/>
        <v>5832.2543999999998</v>
      </c>
      <c r="M1335" s="38">
        <v>761.35</v>
      </c>
      <c r="N1335" s="24">
        <f>_xlfn.XLOOKUP(Snitch_Fashion_Sales_cleaned!$J1335,Table2[City],Table2[City_Key],"not found")</f>
        <v>2</v>
      </c>
      <c r="O1335" s="23">
        <f>_xlfn.XLOOKUP(Snitch_Fashion_Sales_cleaned!$D1335,Table4[Product_Name],Table4[Product_Key],"not found")</f>
        <v>7</v>
      </c>
      <c r="P1335" s="32">
        <f>_xlfn.XLOOKUP(Snitch_Fashion_Sales_cleaned!$I1335,Table3[Order_Date],Table3[Date_Key])</f>
        <v>459</v>
      </c>
    </row>
    <row r="1336" spans="1:16" x14ac:dyDescent="0.3">
      <c r="A1336" s="27">
        <v>2334</v>
      </c>
      <c r="B1336" s="25" t="s">
        <v>1369</v>
      </c>
      <c r="C1336" s="25" t="s">
        <v>13</v>
      </c>
      <c r="D1336" s="26" t="s">
        <v>98</v>
      </c>
      <c r="E1336" s="27">
        <v>5</v>
      </c>
      <c r="F1336" s="28">
        <v>2295.4899999999998</v>
      </c>
      <c r="G1336" s="29">
        <v>0.51</v>
      </c>
      <c r="H1336" s="28">
        <f t="shared" si="42"/>
        <v>11477.449999999999</v>
      </c>
      <c r="I1336" s="30">
        <v>45647</v>
      </c>
      <c r="J1336" s="26" t="s">
        <v>43</v>
      </c>
      <c r="K1336" s="26" t="s">
        <v>16</v>
      </c>
      <c r="L1336" s="31">
        <f t="shared" si="43"/>
        <v>5623.950499999999</v>
      </c>
      <c r="M1336" s="31">
        <v>2846.96</v>
      </c>
      <c r="N1336" s="22">
        <f>_xlfn.XLOOKUP(Snitch_Fashion_Sales_cleaned!$J1336,Table2[City],Table2[City_Key],"not found")</f>
        <v>6</v>
      </c>
      <c r="O1336" s="21">
        <f>_xlfn.XLOOKUP(Snitch_Fashion_Sales_cleaned!$D1336,Table4[Product_Name],Table4[Product_Key],"not found")</f>
        <v>21</v>
      </c>
      <c r="P1336" s="25">
        <f>_xlfn.XLOOKUP(Snitch_Fashion_Sales_cleaned!$I1336,Table3[Order_Date],Table3[Date_Key])</f>
        <v>5</v>
      </c>
    </row>
    <row r="1337" spans="1:16" x14ac:dyDescent="0.3">
      <c r="A1337" s="34">
        <v>2335</v>
      </c>
      <c r="B1337" s="32" t="s">
        <v>1370</v>
      </c>
      <c r="C1337" s="32" t="s">
        <v>28</v>
      </c>
      <c r="D1337" s="33" t="s">
        <v>137</v>
      </c>
      <c r="E1337" s="34">
        <v>1</v>
      </c>
      <c r="F1337" s="35">
        <v>3508.21</v>
      </c>
      <c r="G1337" s="36">
        <v>0.62</v>
      </c>
      <c r="H1337" s="35">
        <f t="shared" si="42"/>
        <v>3508.21</v>
      </c>
      <c r="I1337" s="37">
        <v>45586</v>
      </c>
      <c r="J1337" s="33" t="s">
        <v>2540</v>
      </c>
      <c r="K1337" s="33" t="s">
        <v>23</v>
      </c>
      <c r="L1337" s="38">
        <f t="shared" si="43"/>
        <v>1333.1197999999999</v>
      </c>
      <c r="M1337" s="38">
        <v>-309.14999999999998</v>
      </c>
      <c r="N1337" s="24">
        <f>_xlfn.XLOOKUP(Snitch_Fashion_Sales_cleaned!$J1337,Table2[City],Table2[City_Key],"not found")</f>
        <v>4</v>
      </c>
      <c r="O1337" s="23">
        <f>_xlfn.XLOOKUP(Snitch_Fashion_Sales_cleaned!$D1337,Table4[Product_Name],Table4[Product_Key],"not found")</f>
        <v>24</v>
      </c>
      <c r="P1337" s="32">
        <f>_xlfn.XLOOKUP(Snitch_Fashion_Sales_cleaned!$I1337,Table3[Order_Date],Table3[Date_Key])</f>
        <v>460</v>
      </c>
    </row>
    <row r="1338" spans="1:16" x14ac:dyDescent="0.3">
      <c r="A1338" s="27">
        <v>2336</v>
      </c>
      <c r="B1338" s="25" t="s">
        <v>1371</v>
      </c>
      <c r="C1338" s="25" t="s">
        <v>20</v>
      </c>
      <c r="D1338" s="26" t="s">
        <v>118</v>
      </c>
      <c r="E1338" s="27">
        <v>4</v>
      </c>
      <c r="F1338" s="28">
        <v>2752.99</v>
      </c>
      <c r="G1338" s="29">
        <v>0.51</v>
      </c>
      <c r="H1338" s="28">
        <f t="shared" si="42"/>
        <v>11011.96</v>
      </c>
      <c r="I1338" s="30">
        <v>45587</v>
      </c>
      <c r="J1338" s="26" t="s">
        <v>18</v>
      </c>
      <c r="K1338" s="26" t="s">
        <v>16</v>
      </c>
      <c r="L1338" s="31">
        <f t="shared" si="43"/>
        <v>5395.8603999999996</v>
      </c>
      <c r="M1338" s="31">
        <v>1339.62</v>
      </c>
      <c r="N1338" s="22">
        <f>_xlfn.XLOOKUP(Snitch_Fashion_Sales_cleaned!$J1338,Table2[City],Table2[City_Key],"not found")</f>
        <v>2</v>
      </c>
      <c r="O1338" s="21">
        <f>_xlfn.XLOOKUP(Snitch_Fashion_Sales_cleaned!$D1338,Table4[Product_Name],Table4[Product_Key],"not found")</f>
        <v>23</v>
      </c>
      <c r="P1338" s="25">
        <f>_xlfn.XLOOKUP(Snitch_Fashion_Sales_cleaned!$I1338,Table3[Order_Date],Table3[Date_Key])</f>
        <v>14</v>
      </c>
    </row>
    <row r="1339" spans="1:16" x14ac:dyDescent="0.3">
      <c r="A1339" s="34">
        <v>2337</v>
      </c>
      <c r="B1339" s="32" t="s">
        <v>1372</v>
      </c>
      <c r="C1339" s="32" t="s">
        <v>13</v>
      </c>
      <c r="D1339" s="33" t="s">
        <v>34</v>
      </c>
      <c r="E1339" s="34">
        <v>3</v>
      </c>
      <c r="F1339" s="35">
        <v>1295.44</v>
      </c>
      <c r="G1339" s="36">
        <v>0.51</v>
      </c>
      <c r="H1339" s="35">
        <f t="shared" si="42"/>
        <v>3886.32</v>
      </c>
      <c r="I1339" s="37">
        <v>45704</v>
      </c>
      <c r="J1339" s="33" t="s">
        <v>18</v>
      </c>
      <c r="K1339" s="33" t="s">
        <v>16</v>
      </c>
      <c r="L1339" s="38">
        <f t="shared" si="43"/>
        <v>1904.2968000000001</v>
      </c>
      <c r="M1339" s="38">
        <v>1552.41</v>
      </c>
      <c r="N1339" s="24">
        <f>_xlfn.XLOOKUP(Snitch_Fashion_Sales_cleaned!$J1339,Table2[City],Table2[City_Key],"not found")</f>
        <v>2</v>
      </c>
      <c r="O1339" s="23">
        <f>_xlfn.XLOOKUP(Snitch_Fashion_Sales_cleaned!$D1339,Table4[Product_Name],Table4[Product_Key],"not found")</f>
        <v>6</v>
      </c>
      <c r="P1339" s="32">
        <f>_xlfn.XLOOKUP(Snitch_Fashion_Sales_cleaned!$I1339,Table3[Order_Date],Table3[Date_Key])</f>
        <v>209</v>
      </c>
    </row>
    <row r="1340" spans="1:16" x14ac:dyDescent="0.3">
      <c r="A1340" s="27">
        <v>2338</v>
      </c>
      <c r="B1340" s="25" t="s">
        <v>1373</v>
      </c>
      <c r="C1340" s="25" t="s">
        <v>36</v>
      </c>
      <c r="D1340" s="26" t="s">
        <v>59</v>
      </c>
      <c r="E1340" s="27">
        <v>5</v>
      </c>
      <c r="F1340" s="28">
        <v>1378.76</v>
      </c>
      <c r="G1340" s="29">
        <v>0.19</v>
      </c>
      <c r="H1340" s="28">
        <f t="shared" si="42"/>
        <v>6893.8</v>
      </c>
      <c r="I1340" s="30">
        <v>45699</v>
      </c>
      <c r="J1340" s="26" t="s">
        <v>22</v>
      </c>
      <c r="K1340" s="26" t="s">
        <v>23</v>
      </c>
      <c r="L1340" s="31">
        <f t="shared" si="43"/>
        <v>5583.9780000000001</v>
      </c>
      <c r="M1340" s="31">
        <v>2284.9699999999998</v>
      </c>
      <c r="N1340" s="22">
        <f>_xlfn.XLOOKUP(Snitch_Fashion_Sales_cleaned!$J1340,Table2[City],Table2[City_Key],"not found")</f>
        <v>3</v>
      </c>
      <c r="O1340" s="21">
        <f>_xlfn.XLOOKUP(Snitch_Fashion_Sales_cleaned!$D1340,Table4[Product_Name],Table4[Product_Key],"not found")</f>
        <v>13</v>
      </c>
      <c r="P1340" s="25">
        <f>_xlfn.XLOOKUP(Snitch_Fashion_Sales_cleaned!$I1340,Table3[Order_Date],Table3[Date_Key])</f>
        <v>461</v>
      </c>
    </row>
    <row r="1341" spans="1:16" x14ac:dyDescent="0.3">
      <c r="A1341" s="34">
        <v>2339</v>
      </c>
      <c r="B1341" s="32" t="s">
        <v>1374</v>
      </c>
      <c r="C1341" s="32" t="s">
        <v>13</v>
      </c>
      <c r="D1341" s="33" t="s">
        <v>98</v>
      </c>
      <c r="E1341" s="34">
        <v>1</v>
      </c>
      <c r="F1341" s="35">
        <v>1289.24</v>
      </c>
      <c r="G1341" s="36">
        <v>0.51</v>
      </c>
      <c r="H1341" s="35">
        <f t="shared" si="42"/>
        <v>1289.24</v>
      </c>
      <c r="I1341" s="37">
        <v>45595</v>
      </c>
      <c r="J1341" s="33" t="s">
        <v>22</v>
      </c>
      <c r="K1341" s="33" t="s">
        <v>23</v>
      </c>
      <c r="L1341" s="38">
        <f t="shared" si="43"/>
        <v>631.72759999999994</v>
      </c>
      <c r="M1341" s="38">
        <v>555.48</v>
      </c>
      <c r="N1341" s="24">
        <f>_xlfn.XLOOKUP(Snitch_Fashion_Sales_cleaned!$J1341,Table2[City],Table2[City_Key],"not found")</f>
        <v>3</v>
      </c>
      <c r="O1341" s="23">
        <f>_xlfn.XLOOKUP(Snitch_Fashion_Sales_cleaned!$D1341,Table4[Product_Name],Table4[Product_Key],"not found")</f>
        <v>21</v>
      </c>
      <c r="P1341" s="32">
        <f>_xlfn.XLOOKUP(Snitch_Fashion_Sales_cleaned!$I1341,Table3[Order_Date],Table3[Date_Key])</f>
        <v>135</v>
      </c>
    </row>
    <row r="1342" spans="1:16" x14ac:dyDescent="0.3">
      <c r="A1342" s="27">
        <v>2340</v>
      </c>
      <c r="B1342" s="25" t="s">
        <v>1375</v>
      </c>
      <c r="C1342" s="25" t="s">
        <v>25</v>
      </c>
      <c r="D1342" s="26" t="s">
        <v>62</v>
      </c>
      <c r="E1342" s="27">
        <v>4</v>
      </c>
      <c r="F1342" s="28">
        <v>2538.0450000000001</v>
      </c>
      <c r="G1342" s="29">
        <v>0.51</v>
      </c>
      <c r="H1342" s="28">
        <f t="shared" si="42"/>
        <v>10152.18</v>
      </c>
      <c r="I1342" s="30">
        <v>45647</v>
      </c>
      <c r="J1342" s="26" t="s">
        <v>52</v>
      </c>
      <c r="K1342" s="26" t="s">
        <v>23</v>
      </c>
      <c r="L1342" s="31">
        <f t="shared" si="43"/>
        <v>4974.5681999999997</v>
      </c>
      <c r="M1342" s="31">
        <v>345.45</v>
      </c>
      <c r="N1342" s="22">
        <f>_xlfn.XLOOKUP(Snitch_Fashion_Sales_cleaned!$J1342,Table2[City],Table2[City_Key],"not found")</f>
        <v>5</v>
      </c>
      <c r="O1342" s="21">
        <f>_xlfn.XLOOKUP(Snitch_Fashion_Sales_cleaned!$D1342,Table4[Product_Name],Table4[Product_Key],"not found")</f>
        <v>14</v>
      </c>
      <c r="P1342" s="25">
        <f>_xlfn.XLOOKUP(Snitch_Fashion_Sales_cleaned!$I1342,Table3[Order_Date],Table3[Date_Key])</f>
        <v>5</v>
      </c>
    </row>
    <row r="1343" spans="1:16" x14ac:dyDescent="0.3">
      <c r="A1343" s="34">
        <v>2341</v>
      </c>
      <c r="B1343" s="32" t="s">
        <v>1376</v>
      </c>
      <c r="C1343" s="32" t="s">
        <v>31</v>
      </c>
      <c r="D1343" s="33" t="s">
        <v>68</v>
      </c>
      <c r="E1343" s="34">
        <v>4</v>
      </c>
      <c r="F1343" s="35">
        <v>2765.79</v>
      </c>
      <c r="G1343" s="36">
        <v>0.59</v>
      </c>
      <c r="H1343" s="35">
        <f t="shared" si="42"/>
        <v>11063.16</v>
      </c>
      <c r="I1343" s="37">
        <v>45609</v>
      </c>
      <c r="J1343" s="33" t="s">
        <v>18</v>
      </c>
      <c r="K1343" s="33" t="s">
        <v>16</v>
      </c>
      <c r="L1343" s="38">
        <f t="shared" si="43"/>
        <v>4535.8955999999998</v>
      </c>
      <c r="M1343" s="38">
        <v>259.57</v>
      </c>
      <c r="N1343" s="24">
        <f>_xlfn.XLOOKUP(Snitch_Fashion_Sales_cleaned!$J1343,Table2[City],Table2[City_Key],"not found")</f>
        <v>2</v>
      </c>
      <c r="O1343" s="23">
        <f>_xlfn.XLOOKUP(Snitch_Fashion_Sales_cleaned!$D1343,Table4[Product_Name],Table4[Product_Key],"not found")</f>
        <v>15</v>
      </c>
      <c r="P1343" s="32">
        <f>_xlfn.XLOOKUP(Snitch_Fashion_Sales_cleaned!$I1343,Table3[Order_Date],Table3[Date_Key])</f>
        <v>22</v>
      </c>
    </row>
    <row r="1344" spans="1:16" x14ac:dyDescent="0.3">
      <c r="A1344" s="27">
        <v>2342</v>
      </c>
      <c r="B1344" s="25" t="s">
        <v>1377</v>
      </c>
      <c r="C1344" s="25" t="s">
        <v>31</v>
      </c>
      <c r="D1344" s="26" t="s">
        <v>41</v>
      </c>
      <c r="E1344" s="27">
        <v>3</v>
      </c>
      <c r="F1344" s="28">
        <v>1042.4100000000001</v>
      </c>
      <c r="G1344" s="29">
        <v>0.51</v>
      </c>
      <c r="H1344" s="28">
        <f t="shared" si="42"/>
        <v>3127.2300000000005</v>
      </c>
      <c r="I1344" s="30">
        <v>45322</v>
      </c>
      <c r="J1344" s="26" t="s">
        <v>18</v>
      </c>
      <c r="K1344" s="26" t="s">
        <v>16</v>
      </c>
      <c r="L1344" s="31">
        <f t="shared" si="43"/>
        <v>1532.3427000000001</v>
      </c>
      <c r="M1344" s="31">
        <v>383.08567500000004</v>
      </c>
      <c r="N1344" s="22">
        <f>_xlfn.XLOOKUP(Snitch_Fashion_Sales_cleaned!$J1344,Table2[City],Table2[City_Key],"not found")</f>
        <v>2</v>
      </c>
      <c r="O1344" s="21">
        <f>_xlfn.XLOOKUP(Snitch_Fashion_Sales_cleaned!$D1344,Table4[Product_Name],Table4[Product_Key],"not found")</f>
        <v>9</v>
      </c>
      <c r="P1344" s="25">
        <f>_xlfn.XLOOKUP(Snitch_Fashion_Sales_cleaned!$I1344,Table3[Order_Date],Table3[Date_Key])</f>
        <v>462</v>
      </c>
    </row>
    <row r="1345" spans="1:16" x14ac:dyDescent="0.3">
      <c r="A1345" s="34">
        <v>2343</v>
      </c>
      <c r="B1345" s="32" t="s">
        <v>1378</v>
      </c>
      <c r="C1345" s="32" t="s">
        <v>13</v>
      </c>
      <c r="D1345" s="33" t="s">
        <v>14</v>
      </c>
      <c r="E1345" s="34">
        <v>4</v>
      </c>
      <c r="F1345" s="35">
        <v>2366.6149999999998</v>
      </c>
      <c r="G1345" s="36">
        <v>0.51</v>
      </c>
      <c r="H1345" s="35">
        <f t="shared" si="42"/>
        <v>9466.4599999999991</v>
      </c>
      <c r="I1345" s="37">
        <v>45795</v>
      </c>
      <c r="J1345" s="33" t="s">
        <v>18</v>
      </c>
      <c r="K1345" s="33" t="s">
        <v>23</v>
      </c>
      <c r="L1345" s="38">
        <f t="shared" si="43"/>
        <v>4638.5653999999995</v>
      </c>
      <c r="M1345" s="38">
        <v>2829.76</v>
      </c>
      <c r="N1345" s="24">
        <f>_xlfn.XLOOKUP(Snitch_Fashion_Sales_cleaned!$J1345,Table2[City],Table2[City_Key],"not found")</f>
        <v>2</v>
      </c>
      <c r="O1345" s="23">
        <f>_xlfn.XLOOKUP(Snitch_Fashion_Sales_cleaned!$D1345,Table4[Product_Name],Table4[Product_Key],"not found")</f>
        <v>1</v>
      </c>
      <c r="P1345" s="32">
        <f>_xlfn.XLOOKUP(Snitch_Fashion_Sales_cleaned!$I1345,Table3[Order_Date],Table3[Date_Key])</f>
        <v>271</v>
      </c>
    </row>
    <row r="1346" spans="1:16" x14ac:dyDescent="0.3">
      <c r="A1346" s="27">
        <v>2344</v>
      </c>
      <c r="B1346" s="25" t="s">
        <v>1379</v>
      </c>
      <c r="C1346" s="25" t="s">
        <v>13</v>
      </c>
      <c r="D1346" s="26" t="s">
        <v>14</v>
      </c>
      <c r="E1346" s="27">
        <v>4</v>
      </c>
      <c r="F1346" s="28">
        <v>2366.6149999999998</v>
      </c>
      <c r="G1346" s="29">
        <v>0.51</v>
      </c>
      <c r="H1346" s="28">
        <f t="shared" si="42"/>
        <v>9466.4599999999991</v>
      </c>
      <c r="I1346" s="30">
        <v>45833</v>
      </c>
      <c r="J1346" s="26" t="s">
        <v>52</v>
      </c>
      <c r="K1346" s="26" t="s">
        <v>23</v>
      </c>
      <c r="L1346" s="31">
        <f t="shared" si="43"/>
        <v>4638.5653999999995</v>
      </c>
      <c r="M1346" s="31">
        <v>1854.64</v>
      </c>
      <c r="N1346" s="22">
        <f>_xlfn.XLOOKUP(Snitch_Fashion_Sales_cleaned!$J1346,Table2[City],Table2[City_Key],"not found")</f>
        <v>5</v>
      </c>
      <c r="O1346" s="21">
        <f>_xlfn.XLOOKUP(Snitch_Fashion_Sales_cleaned!$D1346,Table4[Product_Name],Table4[Product_Key],"not found")</f>
        <v>1</v>
      </c>
      <c r="P1346" s="25">
        <f>_xlfn.XLOOKUP(Snitch_Fashion_Sales_cleaned!$I1346,Table3[Order_Date],Table3[Date_Key])</f>
        <v>102</v>
      </c>
    </row>
    <row r="1347" spans="1:16" x14ac:dyDescent="0.3">
      <c r="A1347" s="34">
        <v>2345</v>
      </c>
      <c r="B1347" s="32" t="s">
        <v>1380</v>
      </c>
      <c r="C1347" s="32" t="s">
        <v>13</v>
      </c>
      <c r="D1347" s="33" t="s">
        <v>14</v>
      </c>
      <c r="E1347" s="34">
        <v>1</v>
      </c>
      <c r="F1347" s="35">
        <v>1095.03</v>
      </c>
      <c r="G1347" s="36">
        <v>0.51</v>
      </c>
      <c r="H1347" s="35">
        <f t="shared" si="42"/>
        <v>1095.03</v>
      </c>
      <c r="I1347" s="37">
        <v>45645</v>
      </c>
      <c r="J1347" s="33" t="s">
        <v>18</v>
      </c>
      <c r="K1347" s="33" t="s">
        <v>16</v>
      </c>
      <c r="L1347" s="38">
        <f t="shared" si="43"/>
        <v>536.56470000000002</v>
      </c>
      <c r="M1347" s="38">
        <v>134.141175</v>
      </c>
      <c r="N1347" s="24">
        <f>_xlfn.XLOOKUP(Snitch_Fashion_Sales_cleaned!$J1347,Table2[City],Table2[City_Key],"not found")</f>
        <v>2</v>
      </c>
      <c r="O1347" s="23">
        <f>_xlfn.XLOOKUP(Snitch_Fashion_Sales_cleaned!$D1347,Table4[Product_Name],Table4[Product_Key],"not found")</f>
        <v>1</v>
      </c>
      <c r="P1347" s="32">
        <f>_xlfn.XLOOKUP(Snitch_Fashion_Sales_cleaned!$I1347,Table3[Order_Date],Table3[Date_Key])</f>
        <v>463</v>
      </c>
    </row>
    <row r="1348" spans="1:16" x14ac:dyDescent="0.3">
      <c r="A1348" s="27">
        <v>2346</v>
      </c>
      <c r="B1348" s="25" t="s">
        <v>1381</v>
      </c>
      <c r="C1348" s="25" t="s">
        <v>13</v>
      </c>
      <c r="D1348" s="26" t="s">
        <v>34</v>
      </c>
      <c r="E1348" s="27">
        <v>3</v>
      </c>
      <c r="F1348" s="28">
        <v>4922.99</v>
      </c>
      <c r="G1348" s="29">
        <v>0.51</v>
      </c>
      <c r="H1348" s="28">
        <f t="shared" si="42"/>
        <v>14768.97</v>
      </c>
      <c r="I1348" s="30">
        <v>45612</v>
      </c>
      <c r="J1348" s="26" t="s">
        <v>2540</v>
      </c>
      <c r="K1348" s="26" t="s">
        <v>23</v>
      </c>
      <c r="L1348" s="31">
        <f t="shared" si="43"/>
        <v>7236.7952999999998</v>
      </c>
      <c r="M1348" s="31">
        <v>-712.37</v>
      </c>
      <c r="N1348" s="22">
        <f>_xlfn.XLOOKUP(Snitch_Fashion_Sales_cleaned!$J1348,Table2[City],Table2[City_Key],"not found")</f>
        <v>4</v>
      </c>
      <c r="O1348" s="21">
        <f>_xlfn.XLOOKUP(Snitch_Fashion_Sales_cleaned!$D1348,Table4[Product_Name],Table4[Product_Key],"not found")</f>
        <v>6</v>
      </c>
      <c r="P1348" s="25">
        <f>_xlfn.XLOOKUP(Snitch_Fashion_Sales_cleaned!$I1348,Table3[Order_Date],Table3[Date_Key])</f>
        <v>365</v>
      </c>
    </row>
    <row r="1349" spans="1:16" x14ac:dyDescent="0.3">
      <c r="A1349" s="34">
        <v>2347</v>
      </c>
      <c r="B1349" s="32" t="s">
        <v>1382</v>
      </c>
      <c r="C1349" s="32" t="s">
        <v>36</v>
      </c>
      <c r="D1349" s="33" t="s">
        <v>37</v>
      </c>
      <c r="E1349" s="34">
        <v>4</v>
      </c>
      <c r="F1349" s="35">
        <v>1207.99</v>
      </c>
      <c r="G1349" s="36">
        <v>0.51</v>
      </c>
      <c r="H1349" s="35">
        <f t="shared" si="42"/>
        <v>4831.96</v>
      </c>
      <c r="I1349" s="37">
        <v>45723</v>
      </c>
      <c r="J1349" s="33" t="s">
        <v>2540</v>
      </c>
      <c r="K1349" s="33" t="s">
        <v>16</v>
      </c>
      <c r="L1349" s="38">
        <f t="shared" si="43"/>
        <v>2367.6603999999998</v>
      </c>
      <c r="M1349" s="38">
        <v>2195.11</v>
      </c>
      <c r="N1349" s="24">
        <f>_xlfn.XLOOKUP(Snitch_Fashion_Sales_cleaned!$J1349,Table2[City],Table2[City_Key],"not found")</f>
        <v>4</v>
      </c>
      <c r="O1349" s="23">
        <f>_xlfn.XLOOKUP(Snitch_Fashion_Sales_cleaned!$D1349,Table4[Product_Name],Table4[Product_Key],"not found")</f>
        <v>7</v>
      </c>
      <c r="P1349" s="32">
        <f>_xlfn.XLOOKUP(Snitch_Fashion_Sales_cleaned!$I1349,Table3[Order_Date],Table3[Date_Key])</f>
        <v>28</v>
      </c>
    </row>
    <row r="1350" spans="1:16" x14ac:dyDescent="0.3">
      <c r="A1350" s="27">
        <v>2348</v>
      </c>
      <c r="B1350" s="25" t="s">
        <v>1383</v>
      </c>
      <c r="C1350" s="25" t="s">
        <v>25</v>
      </c>
      <c r="D1350" s="26" t="s">
        <v>82</v>
      </c>
      <c r="E1350" s="27">
        <v>3</v>
      </c>
      <c r="F1350" s="28">
        <v>2385.5749999999998</v>
      </c>
      <c r="G1350" s="29">
        <v>0.51</v>
      </c>
      <c r="H1350" s="28">
        <f t="shared" ref="H1350:H1413" si="44">E1350*F1350</f>
        <v>7156.7249999999995</v>
      </c>
      <c r="I1350" s="30">
        <v>45574</v>
      </c>
      <c r="J1350" s="26" t="s">
        <v>43</v>
      </c>
      <c r="K1350" s="26" t="s">
        <v>23</v>
      </c>
      <c r="L1350" s="31">
        <f t="shared" ref="L1350:L1413" si="45">H1350*(1-G1350)</f>
        <v>3506.7952499999997</v>
      </c>
      <c r="M1350" s="31">
        <v>371.77</v>
      </c>
      <c r="N1350" s="22">
        <f>_xlfn.XLOOKUP(Snitch_Fashion_Sales_cleaned!$J1350,Table2[City],Table2[City_Key],"not found")</f>
        <v>6</v>
      </c>
      <c r="O1350" s="21">
        <f>_xlfn.XLOOKUP(Snitch_Fashion_Sales_cleaned!$D1350,Table4[Product_Name],Table4[Product_Key],"not found")</f>
        <v>18</v>
      </c>
      <c r="P1350" s="25">
        <f>_xlfn.XLOOKUP(Snitch_Fashion_Sales_cleaned!$I1350,Table3[Order_Date],Table3[Date_Key])</f>
        <v>218</v>
      </c>
    </row>
    <row r="1351" spans="1:16" x14ac:dyDescent="0.3">
      <c r="A1351" s="34">
        <v>2349</v>
      </c>
      <c r="B1351" s="32" t="s">
        <v>1384</v>
      </c>
      <c r="C1351" s="32" t="s">
        <v>20</v>
      </c>
      <c r="D1351" s="33" t="s">
        <v>21</v>
      </c>
      <c r="E1351" s="34">
        <v>4</v>
      </c>
      <c r="F1351" s="35">
        <v>2579.8000000000002</v>
      </c>
      <c r="G1351" s="36">
        <v>0.34</v>
      </c>
      <c r="H1351" s="35">
        <f t="shared" si="44"/>
        <v>10319.200000000001</v>
      </c>
      <c r="I1351" s="37">
        <v>45505</v>
      </c>
      <c r="J1351" s="33" t="s">
        <v>15</v>
      </c>
      <c r="K1351" s="33" t="s">
        <v>23</v>
      </c>
      <c r="L1351" s="38">
        <f t="shared" si="45"/>
        <v>6810.6719999999996</v>
      </c>
      <c r="M1351" s="38">
        <v>-496.94</v>
      </c>
      <c r="N1351" s="24">
        <f>_xlfn.XLOOKUP(Snitch_Fashion_Sales_cleaned!$J1351,Table2[City],Table2[City_Key],"not found")</f>
        <v>1</v>
      </c>
      <c r="O1351" s="23">
        <f>_xlfn.XLOOKUP(Snitch_Fashion_Sales_cleaned!$D1351,Table4[Product_Name],Table4[Product_Key],"not found")</f>
        <v>2</v>
      </c>
      <c r="P1351" s="32">
        <f>_xlfn.XLOOKUP(Snitch_Fashion_Sales_cleaned!$I1351,Table3[Order_Date],Table3[Date_Key])</f>
        <v>363</v>
      </c>
    </row>
    <row r="1352" spans="1:16" x14ac:dyDescent="0.3">
      <c r="A1352" s="27">
        <v>2350</v>
      </c>
      <c r="B1352" s="25" t="s">
        <v>1385</v>
      </c>
      <c r="C1352" s="25" t="s">
        <v>25</v>
      </c>
      <c r="D1352" s="26" t="s">
        <v>62</v>
      </c>
      <c r="E1352" s="27">
        <v>4</v>
      </c>
      <c r="F1352" s="28">
        <v>3148.46</v>
      </c>
      <c r="G1352" s="29">
        <v>0.51</v>
      </c>
      <c r="H1352" s="28">
        <f t="shared" si="44"/>
        <v>12593.84</v>
      </c>
      <c r="I1352" s="30">
        <v>45192</v>
      </c>
      <c r="J1352" s="26" t="s">
        <v>2540</v>
      </c>
      <c r="K1352" s="26" t="s">
        <v>23</v>
      </c>
      <c r="L1352" s="31">
        <f t="shared" si="45"/>
        <v>6170.9816000000001</v>
      </c>
      <c r="M1352" s="31">
        <v>-165.49</v>
      </c>
      <c r="N1352" s="22">
        <f>_xlfn.XLOOKUP(Snitch_Fashion_Sales_cleaned!$J1352,Table2[City],Table2[City_Key],"not found")</f>
        <v>4</v>
      </c>
      <c r="O1352" s="21">
        <f>_xlfn.XLOOKUP(Snitch_Fashion_Sales_cleaned!$D1352,Table4[Product_Name],Table4[Product_Key],"not found")</f>
        <v>14</v>
      </c>
      <c r="P1352" s="25">
        <f>_xlfn.XLOOKUP(Snitch_Fashion_Sales_cleaned!$I1352,Table3[Order_Date],Table3[Date_Key])</f>
        <v>422</v>
      </c>
    </row>
    <row r="1353" spans="1:16" x14ac:dyDescent="0.3">
      <c r="A1353" s="34">
        <v>2351</v>
      </c>
      <c r="B1353" s="32" t="s">
        <v>1386</v>
      </c>
      <c r="C1353" s="32" t="s">
        <v>36</v>
      </c>
      <c r="D1353" s="33" t="s">
        <v>37</v>
      </c>
      <c r="E1353" s="34">
        <v>4</v>
      </c>
      <c r="F1353" s="35">
        <v>1875.17</v>
      </c>
      <c r="G1353" s="36">
        <v>0.51</v>
      </c>
      <c r="H1353" s="35">
        <f t="shared" si="44"/>
        <v>7500.68</v>
      </c>
      <c r="I1353" s="37">
        <v>45647</v>
      </c>
      <c r="J1353" s="33" t="s">
        <v>18</v>
      </c>
      <c r="K1353" s="33" t="s">
        <v>23</v>
      </c>
      <c r="L1353" s="38">
        <f t="shared" si="45"/>
        <v>3675.3332</v>
      </c>
      <c r="M1353" s="38">
        <v>1406.99</v>
      </c>
      <c r="N1353" s="24">
        <f>_xlfn.XLOOKUP(Snitch_Fashion_Sales_cleaned!$J1353,Table2[City],Table2[City_Key],"not found")</f>
        <v>2</v>
      </c>
      <c r="O1353" s="23">
        <f>_xlfn.XLOOKUP(Snitch_Fashion_Sales_cleaned!$D1353,Table4[Product_Name],Table4[Product_Key],"not found")</f>
        <v>7</v>
      </c>
      <c r="P1353" s="32">
        <f>_xlfn.XLOOKUP(Snitch_Fashion_Sales_cleaned!$I1353,Table3[Order_Date],Table3[Date_Key])</f>
        <v>5</v>
      </c>
    </row>
    <row r="1354" spans="1:16" x14ac:dyDescent="0.3">
      <c r="A1354" s="27">
        <v>2352</v>
      </c>
      <c r="B1354" s="25" t="s">
        <v>1387</v>
      </c>
      <c r="C1354" s="25" t="s">
        <v>36</v>
      </c>
      <c r="D1354" s="26" t="s">
        <v>55</v>
      </c>
      <c r="E1354" s="27">
        <v>3</v>
      </c>
      <c r="F1354" s="28">
        <v>2731.6350000000002</v>
      </c>
      <c r="G1354" s="29">
        <v>0.51</v>
      </c>
      <c r="H1354" s="28">
        <f t="shared" si="44"/>
        <v>8194.9050000000007</v>
      </c>
      <c r="I1354" s="30">
        <v>45647</v>
      </c>
      <c r="J1354" s="26" t="s">
        <v>43</v>
      </c>
      <c r="K1354" s="26" t="s">
        <v>23</v>
      </c>
      <c r="L1354" s="31">
        <f t="shared" si="45"/>
        <v>4015.5034500000002</v>
      </c>
      <c r="M1354" s="31">
        <v>590.80999999999995</v>
      </c>
      <c r="N1354" s="22">
        <f>_xlfn.XLOOKUP(Snitch_Fashion_Sales_cleaned!$J1354,Table2[City],Table2[City_Key],"not found")</f>
        <v>6</v>
      </c>
      <c r="O1354" s="21">
        <f>_xlfn.XLOOKUP(Snitch_Fashion_Sales_cleaned!$D1354,Table4[Product_Name],Table4[Product_Key],"not found")</f>
        <v>12</v>
      </c>
      <c r="P1354" s="25">
        <f>_xlfn.XLOOKUP(Snitch_Fashion_Sales_cleaned!$I1354,Table3[Order_Date],Table3[Date_Key])</f>
        <v>5</v>
      </c>
    </row>
    <row r="1355" spans="1:16" x14ac:dyDescent="0.3">
      <c r="A1355" s="34">
        <v>2353</v>
      </c>
      <c r="B1355" s="32" t="s">
        <v>1388</v>
      </c>
      <c r="C1355" s="32" t="s">
        <v>25</v>
      </c>
      <c r="D1355" s="33" t="s">
        <v>82</v>
      </c>
      <c r="E1355" s="34">
        <v>3</v>
      </c>
      <c r="F1355" s="35">
        <v>2385.5749999999998</v>
      </c>
      <c r="G1355" s="36">
        <v>0.51</v>
      </c>
      <c r="H1355" s="35">
        <f t="shared" si="44"/>
        <v>7156.7249999999995</v>
      </c>
      <c r="I1355" s="37">
        <v>45533</v>
      </c>
      <c r="J1355" s="33" t="s">
        <v>52</v>
      </c>
      <c r="K1355" s="33" t="s">
        <v>23</v>
      </c>
      <c r="L1355" s="38">
        <f t="shared" si="45"/>
        <v>3506.7952499999997</v>
      </c>
      <c r="M1355" s="38">
        <v>-397.76</v>
      </c>
      <c r="N1355" s="24">
        <f>_xlfn.XLOOKUP(Snitch_Fashion_Sales_cleaned!$J1355,Table2[City],Table2[City_Key],"not found")</f>
        <v>5</v>
      </c>
      <c r="O1355" s="23">
        <f>_xlfn.XLOOKUP(Snitch_Fashion_Sales_cleaned!$D1355,Table4[Product_Name],Table4[Product_Key],"not found")</f>
        <v>18</v>
      </c>
      <c r="P1355" s="32">
        <f>_xlfn.XLOOKUP(Snitch_Fashion_Sales_cleaned!$I1355,Table3[Order_Date],Table3[Date_Key])</f>
        <v>232</v>
      </c>
    </row>
    <row r="1356" spans="1:16" x14ac:dyDescent="0.3">
      <c r="A1356" s="27">
        <v>2354</v>
      </c>
      <c r="B1356" s="25" t="s">
        <v>1389</v>
      </c>
      <c r="C1356" s="25" t="s">
        <v>25</v>
      </c>
      <c r="D1356" s="26" t="s">
        <v>82</v>
      </c>
      <c r="E1356" s="27">
        <v>3</v>
      </c>
      <c r="F1356" s="28">
        <v>2385.5749999999998</v>
      </c>
      <c r="G1356" s="29">
        <v>0.51</v>
      </c>
      <c r="H1356" s="28">
        <f t="shared" si="44"/>
        <v>7156.7249999999995</v>
      </c>
      <c r="I1356" s="30">
        <v>45699</v>
      </c>
      <c r="J1356" s="26" t="s">
        <v>52</v>
      </c>
      <c r="K1356" s="26" t="s">
        <v>23</v>
      </c>
      <c r="L1356" s="31">
        <f t="shared" si="45"/>
        <v>3506.7952499999997</v>
      </c>
      <c r="M1356" s="31">
        <v>2233.2800000000002</v>
      </c>
      <c r="N1356" s="22">
        <f>_xlfn.XLOOKUP(Snitch_Fashion_Sales_cleaned!$J1356,Table2[City],Table2[City_Key],"not found")</f>
        <v>5</v>
      </c>
      <c r="O1356" s="21">
        <f>_xlfn.XLOOKUP(Snitch_Fashion_Sales_cleaned!$D1356,Table4[Product_Name],Table4[Product_Key],"not found")</f>
        <v>18</v>
      </c>
      <c r="P1356" s="25">
        <f>_xlfn.XLOOKUP(Snitch_Fashion_Sales_cleaned!$I1356,Table3[Order_Date],Table3[Date_Key])</f>
        <v>461</v>
      </c>
    </row>
    <row r="1357" spans="1:16" x14ac:dyDescent="0.3">
      <c r="A1357" s="34">
        <v>2355</v>
      </c>
      <c r="B1357" s="32" t="s">
        <v>1390</v>
      </c>
      <c r="C1357" s="32" t="s">
        <v>13</v>
      </c>
      <c r="D1357" s="33" t="s">
        <v>98</v>
      </c>
      <c r="E1357" s="34">
        <v>5</v>
      </c>
      <c r="F1357" s="35">
        <v>2750.33</v>
      </c>
      <c r="G1357" s="36">
        <v>0.14000000000000001</v>
      </c>
      <c r="H1357" s="35">
        <f t="shared" si="44"/>
        <v>13751.65</v>
      </c>
      <c r="I1357" s="37">
        <v>45647</v>
      </c>
      <c r="J1357" s="33" t="s">
        <v>52</v>
      </c>
      <c r="K1357" s="33" t="s">
        <v>23</v>
      </c>
      <c r="L1357" s="38">
        <f t="shared" si="45"/>
        <v>11826.419</v>
      </c>
      <c r="M1357" s="38">
        <v>1303.8900000000001</v>
      </c>
      <c r="N1357" s="24">
        <f>_xlfn.XLOOKUP(Snitch_Fashion_Sales_cleaned!$J1357,Table2[City],Table2[City_Key],"not found")</f>
        <v>5</v>
      </c>
      <c r="O1357" s="23">
        <f>_xlfn.XLOOKUP(Snitch_Fashion_Sales_cleaned!$D1357,Table4[Product_Name],Table4[Product_Key],"not found")</f>
        <v>21</v>
      </c>
      <c r="P1357" s="32">
        <f>_xlfn.XLOOKUP(Snitch_Fashion_Sales_cleaned!$I1357,Table3[Order_Date],Table3[Date_Key])</f>
        <v>5</v>
      </c>
    </row>
    <row r="1358" spans="1:16" x14ac:dyDescent="0.3">
      <c r="A1358" s="27">
        <v>2356</v>
      </c>
      <c r="B1358" s="25" t="s">
        <v>1391</v>
      </c>
      <c r="C1358" s="25" t="s">
        <v>28</v>
      </c>
      <c r="D1358" s="26" t="s">
        <v>137</v>
      </c>
      <c r="E1358" s="27">
        <v>3.5</v>
      </c>
      <c r="F1358" s="28">
        <v>3412.15</v>
      </c>
      <c r="G1358" s="29">
        <v>0.01</v>
      </c>
      <c r="H1358" s="28">
        <f t="shared" si="44"/>
        <v>11942.525</v>
      </c>
      <c r="I1358" s="30">
        <v>45763</v>
      </c>
      <c r="J1358" s="26" t="s">
        <v>52</v>
      </c>
      <c r="K1358" s="26" t="s">
        <v>23</v>
      </c>
      <c r="L1358" s="31">
        <f t="shared" si="45"/>
        <v>11823.099749999999</v>
      </c>
      <c r="M1358" s="31">
        <v>1862.5</v>
      </c>
      <c r="N1358" s="22">
        <f>_xlfn.XLOOKUP(Snitch_Fashion_Sales_cleaned!$J1358,Table2[City],Table2[City_Key],"not found")</f>
        <v>5</v>
      </c>
      <c r="O1358" s="21">
        <f>_xlfn.XLOOKUP(Snitch_Fashion_Sales_cleaned!$D1358,Table4[Product_Name],Table4[Product_Key],"not found")</f>
        <v>24</v>
      </c>
      <c r="P1358" s="25">
        <f>_xlfn.XLOOKUP(Snitch_Fashion_Sales_cleaned!$I1358,Table3[Order_Date],Table3[Date_Key])</f>
        <v>241</v>
      </c>
    </row>
    <row r="1359" spans="1:16" x14ac:dyDescent="0.3">
      <c r="A1359" s="34">
        <v>2357</v>
      </c>
      <c r="B1359" s="32" t="s">
        <v>1392</v>
      </c>
      <c r="C1359" s="32" t="s">
        <v>13</v>
      </c>
      <c r="D1359" s="33" t="s">
        <v>98</v>
      </c>
      <c r="E1359" s="34">
        <v>5</v>
      </c>
      <c r="F1359" s="35">
        <v>509.54</v>
      </c>
      <c r="G1359" s="36">
        <v>0.51</v>
      </c>
      <c r="H1359" s="35">
        <f t="shared" si="44"/>
        <v>2547.7000000000003</v>
      </c>
      <c r="I1359" s="37">
        <v>45649</v>
      </c>
      <c r="J1359" s="33" t="s">
        <v>15</v>
      </c>
      <c r="K1359" s="33" t="s">
        <v>16</v>
      </c>
      <c r="L1359" s="38">
        <f t="shared" si="45"/>
        <v>1248.373</v>
      </c>
      <c r="M1359" s="38">
        <v>312.09325000000001</v>
      </c>
      <c r="N1359" s="24">
        <f>_xlfn.XLOOKUP(Snitch_Fashion_Sales_cleaned!$J1359,Table2[City],Table2[City_Key],"not found")</f>
        <v>1</v>
      </c>
      <c r="O1359" s="23">
        <f>_xlfn.XLOOKUP(Snitch_Fashion_Sales_cleaned!$D1359,Table4[Product_Name],Table4[Product_Key],"not found")</f>
        <v>21</v>
      </c>
      <c r="P1359" s="32">
        <f>_xlfn.XLOOKUP(Snitch_Fashion_Sales_cleaned!$I1359,Table3[Order_Date],Table3[Date_Key])</f>
        <v>42</v>
      </c>
    </row>
    <row r="1360" spans="1:16" x14ac:dyDescent="0.3">
      <c r="A1360" s="27">
        <v>2358</v>
      </c>
      <c r="B1360" s="25" t="s">
        <v>1393</v>
      </c>
      <c r="C1360" s="25" t="s">
        <v>13</v>
      </c>
      <c r="D1360" s="26" t="s">
        <v>46</v>
      </c>
      <c r="E1360" s="27">
        <v>4</v>
      </c>
      <c r="F1360" s="28">
        <v>3099.15</v>
      </c>
      <c r="G1360" s="29">
        <v>0.51</v>
      </c>
      <c r="H1360" s="28">
        <f t="shared" si="44"/>
        <v>12396.6</v>
      </c>
      <c r="I1360" s="30">
        <v>45647</v>
      </c>
      <c r="J1360" s="26" t="s">
        <v>22</v>
      </c>
      <c r="K1360" s="26" t="s">
        <v>23</v>
      </c>
      <c r="L1360" s="31">
        <f t="shared" si="45"/>
        <v>6074.3339999999998</v>
      </c>
      <c r="M1360" s="31">
        <v>-860.89</v>
      </c>
      <c r="N1360" s="22">
        <f>_xlfn.XLOOKUP(Snitch_Fashion_Sales_cleaned!$J1360,Table2[City],Table2[City_Key],"not found")</f>
        <v>3</v>
      </c>
      <c r="O1360" s="21">
        <f>_xlfn.XLOOKUP(Snitch_Fashion_Sales_cleaned!$D1360,Table4[Product_Name],Table4[Product_Key],"not found")</f>
        <v>10</v>
      </c>
      <c r="P1360" s="25">
        <f>_xlfn.XLOOKUP(Snitch_Fashion_Sales_cleaned!$I1360,Table3[Order_Date],Table3[Date_Key])</f>
        <v>5</v>
      </c>
    </row>
    <row r="1361" spans="1:16" x14ac:dyDescent="0.3">
      <c r="A1361" s="34">
        <v>2359</v>
      </c>
      <c r="B1361" s="32" t="s">
        <v>1394</v>
      </c>
      <c r="C1361" s="32" t="s">
        <v>25</v>
      </c>
      <c r="D1361" s="33" t="s">
        <v>26</v>
      </c>
      <c r="E1361" s="34">
        <v>4</v>
      </c>
      <c r="F1361" s="35">
        <v>2933.45</v>
      </c>
      <c r="G1361" s="36">
        <v>0.51</v>
      </c>
      <c r="H1361" s="35">
        <f t="shared" si="44"/>
        <v>11733.8</v>
      </c>
      <c r="I1361" s="37">
        <v>45502</v>
      </c>
      <c r="J1361" s="33" t="s">
        <v>43</v>
      </c>
      <c r="K1361" s="33" t="s">
        <v>16</v>
      </c>
      <c r="L1361" s="38">
        <f t="shared" si="45"/>
        <v>5749.5619999999999</v>
      </c>
      <c r="M1361" s="38">
        <v>2256.67</v>
      </c>
      <c r="N1361" s="24">
        <f>_xlfn.XLOOKUP(Snitch_Fashion_Sales_cleaned!$J1361,Table2[City],Table2[City_Key],"not found")</f>
        <v>6</v>
      </c>
      <c r="O1361" s="23">
        <f>_xlfn.XLOOKUP(Snitch_Fashion_Sales_cleaned!$D1361,Table4[Product_Name],Table4[Product_Key],"not found")</f>
        <v>3</v>
      </c>
      <c r="P1361" s="32">
        <f>_xlfn.XLOOKUP(Snitch_Fashion_Sales_cleaned!$I1361,Table3[Order_Date],Table3[Date_Key])</f>
        <v>338</v>
      </c>
    </row>
    <row r="1362" spans="1:16" x14ac:dyDescent="0.3">
      <c r="A1362" s="27">
        <v>2360</v>
      </c>
      <c r="B1362" s="25" t="s">
        <v>1395</v>
      </c>
      <c r="C1362" s="25" t="s">
        <v>28</v>
      </c>
      <c r="D1362" s="26" t="s">
        <v>116</v>
      </c>
      <c r="E1362" s="27">
        <v>5</v>
      </c>
      <c r="F1362" s="28">
        <v>2785.79</v>
      </c>
      <c r="G1362" s="29">
        <v>0.51</v>
      </c>
      <c r="H1362" s="28">
        <f t="shared" si="44"/>
        <v>13928.95</v>
      </c>
      <c r="I1362" s="30">
        <v>45842</v>
      </c>
      <c r="J1362" s="26" t="s">
        <v>43</v>
      </c>
      <c r="K1362" s="26" t="s">
        <v>16</v>
      </c>
      <c r="L1362" s="31">
        <f t="shared" si="45"/>
        <v>6825.1855000000005</v>
      </c>
      <c r="M1362" s="31">
        <v>829.94</v>
      </c>
      <c r="N1362" s="22">
        <f>_xlfn.XLOOKUP(Snitch_Fashion_Sales_cleaned!$J1362,Table2[City],Table2[City_Key],"not found")</f>
        <v>6</v>
      </c>
      <c r="O1362" s="21">
        <f>_xlfn.XLOOKUP(Snitch_Fashion_Sales_cleaned!$D1362,Table4[Product_Name],Table4[Product_Key],"not found")</f>
        <v>22</v>
      </c>
      <c r="P1362" s="25">
        <f>_xlfn.XLOOKUP(Snitch_Fashion_Sales_cleaned!$I1362,Table3[Order_Date],Table3[Date_Key])</f>
        <v>376</v>
      </c>
    </row>
    <row r="1363" spans="1:16" x14ac:dyDescent="0.3">
      <c r="A1363" s="34">
        <v>2361</v>
      </c>
      <c r="B1363" s="32" t="s">
        <v>1396</v>
      </c>
      <c r="C1363" s="32" t="s">
        <v>31</v>
      </c>
      <c r="D1363" s="33" t="s">
        <v>32</v>
      </c>
      <c r="E1363" s="34">
        <v>4</v>
      </c>
      <c r="F1363" s="35">
        <v>899.41</v>
      </c>
      <c r="G1363" s="36">
        <v>0.51</v>
      </c>
      <c r="H1363" s="35">
        <f t="shared" si="44"/>
        <v>3597.64</v>
      </c>
      <c r="I1363" s="37">
        <v>45622</v>
      </c>
      <c r="J1363" s="33" t="s">
        <v>15</v>
      </c>
      <c r="K1363" s="33" t="s">
        <v>23</v>
      </c>
      <c r="L1363" s="38">
        <f t="shared" si="45"/>
        <v>1762.8435999999999</v>
      </c>
      <c r="M1363" s="38">
        <v>477.1</v>
      </c>
      <c r="N1363" s="24">
        <f>_xlfn.XLOOKUP(Snitch_Fashion_Sales_cleaned!$J1363,Table2[City],Table2[City_Key],"not found")</f>
        <v>1</v>
      </c>
      <c r="O1363" s="23">
        <f>_xlfn.XLOOKUP(Snitch_Fashion_Sales_cleaned!$D1363,Table4[Product_Name],Table4[Product_Key],"not found")</f>
        <v>5</v>
      </c>
      <c r="P1363" s="32">
        <f>_xlfn.XLOOKUP(Snitch_Fashion_Sales_cleaned!$I1363,Table3[Order_Date],Table3[Date_Key])</f>
        <v>464</v>
      </c>
    </row>
    <row r="1364" spans="1:16" x14ac:dyDescent="0.3">
      <c r="A1364" s="27">
        <v>2362</v>
      </c>
      <c r="B1364" s="25" t="s">
        <v>1397</v>
      </c>
      <c r="C1364" s="25" t="s">
        <v>36</v>
      </c>
      <c r="D1364" s="26" t="s">
        <v>37</v>
      </c>
      <c r="E1364" s="27">
        <v>4</v>
      </c>
      <c r="F1364" s="28">
        <v>2550.98</v>
      </c>
      <c r="G1364" s="29">
        <v>0.51</v>
      </c>
      <c r="H1364" s="28">
        <f t="shared" si="44"/>
        <v>10203.92</v>
      </c>
      <c r="I1364" s="30">
        <v>45664</v>
      </c>
      <c r="J1364" s="26" t="s">
        <v>15</v>
      </c>
      <c r="K1364" s="26" t="s">
        <v>23</v>
      </c>
      <c r="L1364" s="31">
        <f t="shared" si="45"/>
        <v>4999.9207999999999</v>
      </c>
      <c r="M1364" s="31">
        <v>2161.7800000000002</v>
      </c>
      <c r="N1364" s="22">
        <f>_xlfn.XLOOKUP(Snitch_Fashion_Sales_cleaned!$J1364,Table2[City],Table2[City_Key],"not found")</f>
        <v>1</v>
      </c>
      <c r="O1364" s="21">
        <f>_xlfn.XLOOKUP(Snitch_Fashion_Sales_cleaned!$D1364,Table4[Product_Name],Table4[Product_Key],"not found")</f>
        <v>7</v>
      </c>
      <c r="P1364" s="25">
        <f>_xlfn.XLOOKUP(Snitch_Fashion_Sales_cleaned!$I1364,Table3[Order_Date],Table3[Date_Key])</f>
        <v>52</v>
      </c>
    </row>
    <row r="1365" spans="1:16" x14ac:dyDescent="0.3">
      <c r="A1365" s="34">
        <v>2363</v>
      </c>
      <c r="B1365" s="32" t="s">
        <v>1398</v>
      </c>
      <c r="C1365" s="32" t="s">
        <v>13</v>
      </c>
      <c r="D1365" s="33" t="s">
        <v>34</v>
      </c>
      <c r="E1365" s="34">
        <v>3</v>
      </c>
      <c r="F1365" s="35">
        <v>3640.29</v>
      </c>
      <c r="G1365" s="36">
        <v>0.86</v>
      </c>
      <c r="H1365" s="35">
        <f t="shared" si="44"/>
        <v>10920.869999999999</v>
      </c>
      <c r="I1365" s="37">
        <v>45628</v>
      </c>
      <c r="J1365" s="33" t="s">
        <v>52</v>
      </c>
      <c r="K1365" s="33" t="s">
        <v>16</v>
      </c>
      <c r="L1365" s="38">
        <f t="shared" si="45"/>
        <v>1528.9218000000001</v>
      </c>
      <c r="M1365" s="38">
        <v>879.32</v>
      </c>
      <c r="N1365" s="24">
        <f>_xlfn.XLOOKUP(Snitch_Fashion_Sales_cleaned!$J1365,Table2[City],Table2[City_Key],"not found")</f>
        <v>5</v>
      </c>
      <c r="O1365" s="23">
        <f>_xlfn.XLOOKUP(Snitch_Fashion_Sales_cleaned!$D1365,Table4[Product_Name],Table4[Product_Key],"not found")</f>
        <v>6</v>
      </c>
      <c r="P1365" s="32">
        <f>_xlfn.XLOOKUP(Snitch_Fashion_Sales_cleaned!$I1365,Table3[Order_Date],Table3[Date_Key])</f>
        <v>147</v>
      </c>
    </row>
    <row r="1366" spans="1:16" x14ac:dyDescent="0.3">
      <c r="A1366" s="27">
        <v>2364</v>
      </c>
      <c r="B1366" s="25" t="s">
        <v>1399</v>
      </c>
      <c r="C1366" s="25" t="s">
        <v>28</v>
      </c>
      <c r="D1366" s="26" t="s">
        <v>137</v>
      </c>
      <c r="E1366" s="27">
        <v>3.5</v>
      </c>
      <c r="F1366" s="28">
        <v>857.68</v>
      </c>
      <c r="G1366" s="29">
        <v>0.51</v>
      </c>
      <c r="H1366" s="28">
        <f t="shared" si="44"/>
        <v>3001.8799999999997</v>
      </c>
      <c r="I1366" s="30">
        <v>45817</v>
      </c>
      <c r="J1366" s="26" t="s">
        <v>22</v>
      </c>
      <c r="K1366" s="26" t="s">
        <v>23</v>
      </c>
      <c r="L1366" s="31">
        <f t="shared" si="45"/>
        <v>1470.9211999999998</v>
      </c>
      <c r="M1366" s="31">
        <v>1462.91</v>
      </c>
      <c r="N1366" s="22">
        <f>_xlfn.XLOOKUP(Snitch_Fashion_Sales_cleaned!$J1366,Table2[City],Table2[City_Key],"not found")</f>
        <v>3</v>
      </c>
      <c r="O1366" s="21">
        <f>_xlfn.XLOOKUP(Snitch_Fashion_Sales_cleaned!$D1366,Table4[Product_Name],Table4[Product_Key],"not found")</f>
        <v>24</v>
      </c>
      <c r="P1366" s="25">
        <f>_xlfn.XLOOKUP(Snitch_Fashion_Sales_cleaned!$I1366,Table3[Order_Date],Table3[Date_Key])</f>
        <v>143</v>
      </c>
    </row>
    <row r="1367" spans="1:16" x14ac:dyDescent="0.3">
      <c r="A1367" s="34">
        <v>2365</v>
      </c>
      <c r="B1367" s="32" t="s">
        <v>1400</v>
      </c>
      <c r="C1367" s="32" t="s">
        <v>36</v>
      </c>
      <c r="D1367" s="33" t="s">
        <v>87</v>
      </c>
      <c r="E1367" s="34">
        <v>3</v>
      </c>
      <c r="F1367" s="35">
        <v>2889.5349999999999</v>
      </c>
      <c r="G1367" s="36">
        <v>0.49</v>
      </c>
      <c r="H1367" s="35">
        <f t="shared" si="44"/>
        <v>8668.6049999999996</v>
      </c>
      <c r="I1367" s="37">
        <v>45757</v>
      </c>
      <c r="J1367" s="33" t="s">
        <v>52</v>
      </c>
      <c r="K1367" s="33" t="s">
        <v>23</v>
      </c>
      <c r="L1367" s="38">
        <f t="shared" si="45"/>
        <v>4420.98855</v>
      </c>
      <c r="M1367" s="38">
        <v>1765.39</v>
      </c>
      <c r="N1367" s="24">
        <f>_xlfn.XLOOKUP(Snitch_Fashion_Sales_cleaned!$J1367,Table2[City],Table2[City_Key],"not found")</f>
        <v>5</v>
      </c>
      <c r="O1367" s="23">
        <f>_xlfn.XLOOKUP(Snitch_Fashion_Sales_cleaned!$D1367,Table4[Product_Name],Table4[Product_Key],"not found")</f>
        <v>20</v>
      </c>
      <c r="P1367" s="32">
        <f>_xlfn.XLOOKUP(Snitch_Fashion_Sales_cleaned!$I1367,Table3[Order_Date],Table3[Date_Key])</f>
        <v>382</v>
      </c>
    </row>
    <row r="1368" spans="1:16" x14ac:dyDescent="0.3">
      <c r="A1368" s="27">
        <v>2366</v>
      </c>
      <c r="B1368" s="25" t="s">
        <v>1401</v>
      </c>
      <c r="C1368" s="25" t="s">
        <v>25</v>
      </c>
      <c r="D1368" s="26" t="s">
        <v>50</v>
      </c>
      <c r="E1368" s="27">
        <v>6</v>
      </c>
      <c r="F1368" s="28">
        <v>429.37</v>
      </c>
      <c r="G1368" s="29">
        <v>0.51</v>
      </c>
      <c r="H1368" s="28">
        <f t="shared" si="44"/>
        <v>2576.2200000000003</v>
      </c>
      <c r="I1368" s="30">
        <v>45472</v>
      </c>
      <c r="J1368" s="26" t="s">
        <v>22</v>
      </c>
      <c r="K1368" s="26" t="s">
        <v>23</v>
      </c>
      <c r="L1368" s="31">
        <f t="shared" si="45"/>
        <v>1262.3478</v>
      </c>
      <c r="M1368" s="31">
        <v>-21.4</v>
      </c>
      <c r="N1368" s="22">
        <f>_xlfn.XLOOKUP(Snitch_Fashion_Sales_cleaned!$J1368,Table2[City],Table2[City_Key],"not found")</f>
        <v>3</v>
      </c>
      <c r="O1368" s="21">
        <f>_xlfn.XLOOKUP(Snitch_Fashion_Sales_cleaned!$D1368,Table4[Product_Name],Table4[Product_Key],"not found")</f>
        <v>11</v>
      </c>
      <c r="P1368" s="25">
        <f>_xlfn.XLOOKUP(Snitch_Fashion_Sales_cleaned!$I1368,Table3[Order_Date],Table3[Date_Key])</f>
        <v>148</v>
      </c>
    </row>
    <row r="1369" spans="1:16" x14ac:dyDescent="0.3">
      <c r="A1369" s="34">
        <v>2367</v>
      </c>
      <c r="B1369" s="32" t="s">
        <v>1402</v>
      </c>
      <c r="C1369" s="32" t="s">
        <v>25</v>
      </c>
      <c r="D1369" s="33" t="s">
        <v>50</v>
      </c>
      <c r="E1369" s="34">
        <v>3</v>
      </c>
      <c r="F1369" s="35">
        <v>500.41</v>
      </c>
      <c r="G1369" s="36">
        <v>0.51</v>
      </c>
      <c r="H1369" s="35">
        <f t="shared" si="44"/>
        <v>1501.23</v>
      </c>
      <c r="I1369" s="37">
        <v>45648</v>
      </c>
      <c r="J1369" s="33" t="s">
        <v>22</v>
      </c>
      <c r="K1369" s="33" t="s">
        <v>23</v>
      </c>
      <c r="L1369" s="38">
        <f t="shared" si="45"/>
        <v>735.60270000000003</v>
      </c>
      <c r="M1369" s="38">
        <v>183.90067500000001</v>
      </c>
      <c r="N1369" s="24">
        <f>_xlfn.XLOOKUP(Snitch_Fashion_Sales_cleaned!$J1369,Table2[City],Table2[City_Key],"not found")</f>
        <v>3</v>
      </c>
      <c r="O1369" s="23">
        <f>_xlfn.XLOOKUP(Snitch_Fashion_Sales_cleaned!$D1369,Table4[Product_Name],Table4[Product_Key],"not found")</f>
        <v>11</v>
      </c>
      <c r="P1369" s="32">
        <f>_xlfn.XLOOKUP(Snitch_Fashion_Sales_cleaned!$I1369,Table3[Order_Date],Table3[Date_Key])</f>
        <v>193</v>
      </c>
    </row>
    <row r="1370" spans="1:16" x14ac:dyDescent="0.3">
      <c r="A1370" s="27">
        <v>2368</v>
      </c>
      <c r="B1370" s="25" t="s">
        <v>1403</v>
      </c>
      <c r="C1370" s="25" t="s">
        <v>28</v>
      </c>
      <c r="D1370" s="26" t="s">
        <v>29</v>
      </c>
      <c r="E1370" s="27">
        <v>3</v>
      </c>
      <c r="F1370" s="28">
        <v>2971.36</v>
      </c>
      <c r="G1370" s="29">
        <v>0.49</v>
      </c>
      <c r="H1370" s="28">
        <f t="shared" si="44"/>
        <v>8914.08</v>
      </c>
      <c r="I1370" s="30">
        <v>45532</v>
      </c>
      <c r="J1370" s="26" t="s">
        <v>18</v>
      </c>
      <c r="K1370" s="26" t="s">
        <v>23</v>
      </c>
      <c r="L1370" s="31">
        <f t="shared" si="45"/>
        <v>4546.1808000000001</v>
      </c>
      <c r="M1370" s="31">
        <v>153.4</v>
      </c>
      <c r="N1370" s="22">
        <f>_xlfn.XLOOKUP(Snitch_Fashion_Sales_cleaned!$J1370,Table2[City],Table2[City_Key],"not found")</f>
        <v>2</v>
      </c>
      <c r="O1370" s="21">
        <f>_xlfn.XLOOKUP(Snitch_Fashion_Sales_cleaned!$D1370,Table4[Product_Name],Table4[Product_Key],"not found")</f>
        <v>4</v>
      </c>
      <c r="P1370" s="25">
        <f>_xlfn.XLOOKUP(Snitch_Fashion_Sales_cleaned!$I1370,Table3[Order_Date],Table3[Date_Key])</f>
        <v>349</v>
      </c>
    </row>
    <row r="1371" spans="1:16" x14ac:dyDescent="0.3">
      <c r="A1371" s="34">
        <v>2369</v>
      </c>
      <c r="B1371" s="32" t="s">
        <v>1404</v>
      </c>
      <c r="C1371" s="32" t="s">
        <v>31</v>
      </c>
      <c r="D1371" s="33" t="s">
        <v>32</v>
      </c>
      <c r="E1371" s="34">
        <v>4</v>
      </c>
      <c r="F1371" s="35">
        <v>935.57</v>
      </c>
      <c r="G1371" s="36">
        <v>0.51</v>
      </c>
      <c r="H1371" s="35">
        <f t="shared" si="44"/>
        <v>3742.28</v>
      </c>
      <c r="I1371" s="37">
        <v>45320</v>
      </c>
      <c r="J1371" s="33" t="s">
        <v>18</v>
      </c>
      <c r="K1371" s="33" t="s">
        <v>23</v>
      </c>
      <c r="L1371" s="38">
        <f t="shared" si="45"/>
        <v>1833.7172</v>
      </c>
      <c r="M1371" s="38">
        <v>-111.36</v>
      </c>
      <c r="N1371" s="24">
        <f>_xlfn.XLOOKUP(Snitch_Fashion_Sales_cleaned!$J1371,Table2[City],Table2[City_Key],"not found")</f>
        <v>2</v>
      </c>
      <c r="O1371" s="23">
        <f>_xlfn.XLOOKUP(Snitch_Fashion_Sales_cleaned!$D1371,Table4[Product_Name],Table4[Product_Key],"not found")</f>
        <v>5</v>
      </c>
      <c r="P1371" s="32">
        <f>_xlfn.XLOOKUP(Snitch_Fashion_Sales_cleaned!$I1371,Table3[Order_Date],Table3[Date_Key])</f>
        <v>465</v>
      </c>
    </row>
    <row r="1372" spans="1:16" x14ac:dyDescent="0.3">
      <c r="A1372" s="27">
        <v>2370</v>
      </c>
      <c r="B1372" s="25" t="s">
        <v>1405</v>
      </c>
      <c r="C1372" s="25" t="s">
        <v>36</v>
      </c>
      <c r="D1372" s="26" t="s">
        <v>55</v>
      </c>
      <c r="E1372" s="27">
        <v>3</v>
      </c>
      <c r="F1372" s="28">
        <v>2731.6350000000002</v>
      </c>
      <c r="G1372" s="29">
        <v>0.51</v>
      </c>
      <c r="H1372" s="28">
        <f t="shared" si="44"/>
        <v>8194.9050000000007</v>
      </c>
      <c r="I1372" s="30">
        <v>45306</v>
      </c>
      <c r="J1372" s="26" t="s">
        <v>22</v>
      </c>
      <c r="K1372" s="26" t="s">
        <v>23</v>
      </c>
      <c r="L1372" s="31">
        <f t="shared" si="45"/>
        <v>4015.5034500000002</v>
      </c>
      <c r="M1372" s="31">
        <v>2031.95</v>
      </c>
      <c r="N1372" s="22">
        <f>_xlfn.XLOOKUP(Snitch_Fashion_Sales_cleaned!$J1372,Table2[City],Table2[City_Key],"not found")</f>
        <v>3</v>
      </c>
      <c r="O1372" s="21">
        <f>_xlfn.XLOOKUP(Snitch_Fashion_Sales_cleaned!$D1372,Table4[Product_Name],Table4[Product_Key],"not found")</f>
        <v>12</v>
      </c>
      <c r="P1372" s="25">
        <f>_xlfn.XLOOKUP(Snitch_Fashion_Sales_cleaned!$I1372,Table3[Order_Date],Table3[Date_Key])</f>
        <v>466</v>
      </c>
    </row>
    <row r="1373" spans="1:16" x14ac:dyDescent="0.3">
      <c r="A1373" s="34">
        <v>2371</v>
      </c>
      <c r="B1373" s="32" t="s">
        <v>1406</v>
      </c>
      <c r="C1373" s="32" t="s">
        <v>25</v>
      </c>
      <c r="D1373" s="33" t="s">
        <v>26</v>
      </c>
      <c r="E1373" s="34">
        <v>3</v>
      </c>
      <c r="F1373" s="35">
        <v>4467.25</v>
      </c>
      <c r="G1373" s="36">
        <v>0.51</v>
      </c>
      <c r="H1373" s="35">
        <f t="shared" si="44"/>
        <v>13401.75</v>
      </c>
      <c r="I1373" s="37">
        <v>45814</v>
      </c>
      <c r="J1373" s="33" t="s">
        <v>52</v>
      </c>
      <c r="K1373" s="33" t="s">
        <v>23</v>
      </c>
      <c r="L1373" s="38">
        <f t="shared" si="45"/>
        <v>6566.8575000000001</v>
      </c>
      <c r="M1373" s="38">
        <v>2388.5500000000002</v>
      </c>
      <c r="N1373" s="24">
        <f>_xlfn.XLOOKUP(Snitch_Fashion_Sales_cleaned!$J1373,Table2[City],Table2[City_Key],"not found")</f>
        <v>5</v>
      </c>
      <c r="O1373" s="23">
        <f>_xlfn.XLOOKUP(Snitch_Fashion_Sales_cleaned!$D1373,Table4[Product_Name],Table4[Product_Key],"not found")</f>
        <v>3</v>
      </c>
      <c r="P1373" s="32">
        <f>_xlfn.XLOOKUP(Snitch_Fashion_Sales_cleaned!$I1373,Table3[Order_Date],Table3[Date_Key])</f>
        <v>198</v>
      </c>
    </row>
    <row r="1374" spans="1:16" x14ac:dyDescent="0.3">
      <c r="A1374" s="27">
        <v>2372</v>
      </c>
      <c r="B1374" s="25" t="s">
        <v>1407</v>
      </c>
      <c r="C1374" s="25" t="s">
        <v>36</v>
      </c>
      <c r="D1374" s="26" t="s">
        <v>59</v>
      </c>
      <c r="E1374" s="27">
        <v>3</v>
      </c>
      <c r="F1374" s="28">
        <v>2765.26</v>
      </c>
      <c r="G1374" s="29">
        <v>0.51</v>
      </c>
      <c r="H1374" s="28">
        <f t="shared" si="44"/>
        <v>8295.7800000000007</v>
      </c>
      <c r="I1374" s="30">
        <v>45782</v>
      </c>
      <c r="J1374" s="26" t="s">
        <v>15</v>
      </c>
      <c r="K1374" s="26" t="s">
        <v>23</v>
      </c>
      <c r="L1374" s="31">
        <f t="shared" si="45"/>
        <v>4064.9322000000002</v>
      </c>
      <c r="M1374" s="31">
        <v>-452.24</v>
      </c>
      <c r="N1374" s="22">
        <f>_xlfn.XLOOKUP(Snitch_Fashion_Sales_cleaned!$J1374,Table2[City],Table2[City_Key],"not found")</f>
        <v>1</v>
      </c>
      <c r="O1374" s="21">
        <f>_xlfn.XLOOKUP(Snitch_Fashion_Sales_cleaned!$D1374,Table4[Product_Name],Table4[Product_Key],"not found")</f>
        <v>13</v>
      </c>
      <c r="P1374" s="25">
        <f>_xlfn.XLOOKUP(Snitch_Fashion_Sales_cleaned!$I1374,Table3[Order_Date],Table3[Date_Key])</f>
        <v>80</v>
      </c>
    </row>
    <row r="1375" spans="1:16" x14ac:dyDescent="0.3">
      <c r="A1375" s="34">
        <v>2373</v>
      </c>
      <c r="B1375" s="32" t="s">
        <v>1408</v>
      </c>
      <c r="C1375" s="32" t="s">
        <v>28</v>
      </c>
      <c r="D1375" s="33" t="s">
        <v>137</v>
      </c>
      <c r="E1375" s="34">
        <v>3.5</v>
      </c>
      <c r="F1375" s="35">
        <v>2490.44</v>
      </c>
      <c r="G1375" s="36">
        <v>0.51</v>
      </c>
      <c r="H1375" s="35">
        <f t="shared" si="44"/>
        <v>8716.5400000000009</v>
      </c>
      <c r="I1375" s="37">
        <v>45647</v>
      </c>
      <c r="J1375" s="33" t="s">
        <v>22</v>
      </c>
      <c r="K1375" s="33" t="s">
        <v>23</v>
      </c>
      <c r="L1375" s="38">
        <f t="shared" si="45"/>
        <v>4271.1046000000006</v>
      </c>
      <c r="M1375" s="38">
        <v>11.27</v>
      </c>
      <c r="N1375" s="24">
        <f>_xlfn.XLOOKUP(Snitch_Fashion_Sales_cleaned!$J1375,Table2[City],Table2[City_Key],"not found")</f>
        <v>3</v>
      </c>
      <c r="O1375" s="23">
        <f>_xlfn.XLOOKUP(Snitch_Fashion_Sales_cleaned!$D1375,Table4[Product_Name],Table4[Product_Key],"not found")</f>
        <v>24</v>
      </c>
      <c r="P1375" s="32">
        <f>_xlfn.XLOOKUP(Snitch_Fashion_Sales_cleaned!$I1375,Table3[Order_Date],Table3[Date_Key])</f>
        <v>5</v>
      </c>
    </row>
    <row r="1376" spans="1:16" x14ac:dyDescent="0.3">
      <c r="A1376" s="27">
        <v>2374</v>
      </c>
      <c r="B1376" s="25" t="s">
        <v>1409</v>
      </c>
      <c r="C1376" s="25" t="s">
        <v>25</v>
      </c>
      <c r="D1376" s="26" t="s">
        <v>26</v>
      </c>
      <c r="E1376" s="27">
        <v>4</v>
      </c>
      <c r="F1376" s="28">
        <v>4867.51</v>
      </c>
      <c r="G1376" s="29">
        <v>0.51</v>
      </c>
      <c r="H1376" s="28">
        <f t="shared" si="44"/>
        <v>19470.04</v>
      </c>
      <c r="I1376" s="30">
        <v>45563</v>
      </c>
      <c r="J1376" s="26" t="s">
        <v>22</v>
      </c>
      <c r="K1376" s="26" t="s">
        <v>23</v>
      </c>
      <c r="L1376" s="31">
        <f t="shared" si="45"/>
        <v>9540.3196000000007</v>
      </c>
      <c r="M1376" s="31">
        <v>1184.6500000000001</v>
      </c>
      <c r="N1376" s="22">
        <f>_xlfn.XLOOKUP(Snitch_Fashion_Sales_cleaned!$J1376,Table2[City],Table2[City_Key],"not found")</f>
        <v>3</v>
      </c>
      <c r="O1376" s="21">
        <f>_xlfn.XLOOKUP(Snitch_Fashion_Sales_cleaned!$D1376,Table4[Product_Name],Table4[Product_Key],"not found")</f>
        <v>3</v>
      </c>
      <c r="P1376" s="25">
        <f>_xlfn.XLOOKUP(Snitch_Fashion_Sales_cleaned!$I1376,Table3[Order_Date],Table3[Date_Key])</f>
        <v>134</v>
      </c>
    </row>
    <row r="1377" spans="1:16" x14ac:dyDescent="0.3">
      <c r="A1377" s="34">
        <v>2375</v>
      </c>
      <c r="B1377" s="32" t="s">
        <v>1410</v>
      </c>
      <c r="C1377" s="32" t="s">
        <v>31</v>
      </c>
      <c r="D1377" s="33" t="s">
        <v>68</v>
      </c>
      <c r="E1377" s="34">
        <v>4</v>
      </c>
      <c r="F1377" s="35">
        <v>2765.79</v>
      </c>
      <c r="G1377" s="36">
        <v>0.51</v>
      </c>
      <c r="H1377" s="35">
        <f t="shared" si="44"/>
        <v>11063.16</v>
      </c>
      <c r="I1377" s="37">
        <v>45647</v>
      </c>
      <c r="J1377" s="33" t="s">
        <v>2540</v>
      </c>
      <c r="K1377" s="33" t="s">
        <v>16</v>
      </c>
      <c r="L1377" s="38">
        <f t="shared" si="45"/>
        <v>5420.9484000000002</v>
      </c>
      <c r="M1377" s="38">
        <v>-31.82</v>
      </c>
      <c r="N1377" s="24">
        <f>_xlfn.XLOOKUP(Snitch_Fashion_Sales_cleaned!$J1377,Table2[City],Table2[City_Key],"not found")</f>
        <v>4</v>
      </c>
      <c r="O1377" s="23">
        <f>_xlfn.XLOOKUP(Snitch_Fashion_Sales_cleaned!$D1377,Table4[Product_Name],Table4[Product_Key],"not found")</f>
        <v>15</v>
      </c>
      <c r="P1377" s="32">
        <f>_xlfn.XLOOKUP(Snitch_Fashion_Sales_cleaned!$I1377,Table3[Order_Date],Table3[Date_Key])</f>
        <v>5</v>
      </c>
    </row>
    <row r="1378" spans="1:16" x14ac:dyDescent="0.3">
      <c r="A1378" s="27">
        <v>2376</v>
      </c>
      <c r="B1378" s="25" t="s">
        <v>1411</v>
      </c>
      <c r="C1378" s="25" t="s">
        <v>20</v>
      </c>
      <c r="D1378" s="26" t="s">
        <v>76</v>
      </c>
      <c r="E1378" s="27">
        <v>3</v>
      </c>
      <c r="F1378" s="28">
        <v>2229.4899999999998</v>
      </c>
      <c r="G1378" s="29">
        <v>0.51</v>
      </c>
      <c r="H1378" s="28">
        <f t="shared" si="44"/>
        <v>6688.4699999999993</v>
      </c>
      <c r="I1378" s="30">
        <v>45249</v>
      </c>
      <c r="J1378" s="26" t="s">
        <v>43</v>
      </c>
      <c r="K1378" s="26" t="s">
        <v>16</v>
      </c>
      <c r="L1378" s="31">
        <f t="shared" si="45"/>
        <v>3277.3502999999996</v>
      </c>
      <c r="M1378" s="31">
        <v>1900.77</v>
      </c>
      <c r="N1378" s="22">
        <f>_xlfn.XLOOKUP(Snitch_Fashion_Sales_cleaned!$J1378,Table2[City],Table2[City_Key],"not found")</f>
        <v>6</v>
      </c>
      <c r="O1378" s="21">
        <f>_xlfn.XLOOKUP(Snitch_Fashion_Sales_cleaned!$D1378,Table4[Product_Name],Table4[Product_Key],"not found")</f>
        <v>16</v>
      </c>
      <c r="P1378" s="25">
        <f>_xlfn.XLOOKUP(Snitch_Fashion_Sales_cleaned!$I1378,Table3[Order_Date],Table3[Date_Key])</f>
        <v>467</v>
      </c>
    </row>
    <row r="1379" spans="1:16" x14ac:dyDescent="0.3">
      <c r="A1379" s="34">
        <v>2377</v>
      </c>
      <c r="B1379" s="32" t="s">
        <v>1412</v>
      </c>
      <c r="C1379" s="32" t="s">
        <v>31</v>
      </c>
      <c r="D1379" s="33" t="s">
        <v>68</v>
      </c>
      <c r="E1379" s="34">
        <v>4</v>
      </c>
      <c r="F1379" s="35">
        <v>4458.4799999999996</v>
      </c>
      <c r="G1379" s="36">
        <v>0.51</v>
      </c>
      <c r="H1379" s="35">
        <f t="shared" si="44"/>
        <v>17833.919999999998</v>
      </c>
      <c r="I1379" s="37">
        <v>45574</v>
      </c>
      <c r="J1379" s="33" t="s">
        <v>2540</v>
      </c>
      <c r="K1379" s="33" t="s">
        <v>23</v>
      </c>
      <c r="L1379" s="38">
        <f t="shared" si="45"/>
        <v>8738.6207999999988</v>
      </c>
      <c r="M1379" s="38">
        <v>631</v>
      </c>
      <c r="N1379" s="24">
        <f>_xlfn.XLOOKUP(Snitch_Fashion_Sales_cleaned!$J1379,Table2[City],Table2[City_Key],"not found")</f>
        <v>4</v>
      </c>
      <c r="O1379" s="23">
        <f>_xlfn.XLOOKUP(Snitch_Fashion_Sales_cleaned!$D1379,Table4[Product_Name],Table4[Product_Key],"not found")</f>
        <v>15</v>
      </c>
      <c r="P1379" s="32">
        <f>_xlfn.XLOOKUP(Snitch_Fashion_Sales_cleaned!$I1379,Table3[Order_Date],Table3[Date_Key])</f>
        <v>218</v>
      </c>
    </row>
    <row r="1380" spans="1:16" x14ac:dyDescent="0.3">
      <c r="A1380" s="27">
        <v>2378</v>
      </c>
      <c r="B1380" s="25" t="s">
        <v>1413</v>
      </c>
      <c r="C1380" s="25" t="s">
        <v>13</v>
      </c>
      <c r="D1380" s="26" t="s">
        <v>46</v>
      </c>
      <c r="E1380" s="27">
        <v>4</v>
      </c>
      <c r="F1380" s="28">
        <v>1985.49</v>
      </c>
      <c r="G1380" s="29">
        <v>0.51</v>
      </c>
      <c r="H1380" s="28">
        <f t="shared" si="44"/>
        <v>7941.96</v>
      </c>
      <c r="I1380" s="30">
        <v>45647</v>
      </c>
      <c r="J1380" s="26" t="s">
        <v>18</v>
      </c>
      <c r="K1380" s="26" t="s">
        <v>16</v>
      </c>
      <c r="L1380" s="31">
        <f t="shared" si="45"/>
        <v>3891.5603999999998</v>
      </c>
      <c r="M1380" s="31">
        <v>-198.55</v>
      </c>
      <c r="N1380" s="22">
        <f>_xlfn.XLOOKUP(Snitch_Fashion_Sales_cleaned!$J1380,Table2[City],Table2[City_Key],"not found")</f>
        <v>2</v>
      </c>
      <c r="O1380" s="21">
        <f>_xlfn.XLOOKUP(Snitch_Fashion_Sales_cleaned!$D1380,Table4[Product_Name],Table4[Product_Key],"not found")</f>
        <v>10</v>
      </c>
      <c r="P1380" s="25">
        <f>_xlfn.XLOOKUP(Snitch_Fashion_Sales_cleaned!$I1380,Table3[Order_Date],Table3[Date_Key])</f>
        <v>5</v>
      </c>
    </row>
    <row r="1381" spans="1:16" x14ac:dyDescent="0.3">
      <c r="A1381" s="34">
        <v>2379</v>
      </c>
      <c r="B1381" s="32" t="s">
        <v>1414</v>
      </c>
      <c r="C1381" s="32" t="s">
        <v>20</v>
      </c>
      <c r="D1381" s="33" t="s">
        <v>84</v>
      </c>
      <c r="E1381" s="34">
        <v>6</v>
      </c>
      <c r="F1381" s="35">
        <v>2188.7399999999998</v>
      </c>
      <c r="G1381" s="36">
        <v>0.51</v>
      </c>
      <c r="H1381" s="35">
        <f t="shared" si="44"/>
        <v>13132.439999999999</v>
      </c>
      <c r="I1381" s="37">
        <v>45343</v>
      </c>
      <c r="J1381" s="33" t="s">
        <v>2540</v>
      </c>
      <c r="K1381" s="33" t="s">
        <v>16</v>
      </c>
      <c r="L1381" s="38">
        <f t="shared" si="45"/>
        <v>6434.8955999999989</v>
      </c>
      <c r="M1381" s="38">
        <v>-885.72</v>
      </c>
      <c r="N1381" s="24">
        <f>_xlfn.XLOOKUP(Snitch_Fashion_Sales_cleaned!$J1381,Table2[City],Table2[City_Key],"not found")</f>
        <v>4</v>
      </c>
      <c r="O1381" s="23">
        <f>_xlfn.XLOOKUP(Snitch_Fashion_Sales_cleaned!$D1381,Table4[Product_Name],Table4[Product_Key],"not found")</f>
        <v>19</v>
      </c>
      <c r="P1381" s="32">
        <f>_xlfn.XLOOKUP(Snitch_Fashion_Sales_cleaned!$I1381,Table3[Order_Date],Table3[Date_Key])</f>
        <v>468</v>
      </c>
    </row>
    <row r="1382" spans="1:16" x14ac:dyDescent="0.3">
      <c r="A1382" s="27">
        <v>2380</v>
      </c>
      <c r="B1382" s="25" t="s">
        <v>1415</v>
      </c>
      <c r="C1382" s="25" t="s">
        <v>20</v>
      </c>
      <c r="D1382" s="26" t="s">
        <v>21</v>
      </c>
      <c r="E1382" s="27">
        <v>4</v>
      </c>
      <c r="F1382" s="28">
        <v>3820.42</v>
      </c>
      <c r="G1382" s="29">
        <v>0.51</v>
      </c>
      <c r="H1382" s="28">
        <f t="shared" si="44"/>
        <v>15281.68</v>
      </c>
      <c r="I1382" s="30">
        <v>45746</v>
      </c>
      <c r="J1382" s="26" t="s">
        <v>22</v>
      </c>
      <c r="K1382" s="26" t="s">
        <v>23</v>
      </c>
      <c r="L1382" s="31">
        <f t="shared" si="45"/>
        <v>7488.0231999999996</v>
      </c>
      <c r="M1382" s="31">
        <v>-105.92</v>
      </c>
      <c r="N1382" s="22">
        <f>_xlfn.XLOOKUP(Snitch_Fashion_Sales_cleaned!$J1382,Table2[City],Table2[City_Key],"not found")</f>
        <v>3</v>
      </c>
      <c r="O1382" s="21">
        <f>_xlfn.XLOOKUP(Snitch_Fashion_Sales_cleaned!$D1382,Table4[Product_Name],Table4[Product_Key],"not found")</f>
        <v>2</v>
      </c>
      <c r="P1382" s="25">
        <f>_xlfn.XLOOKUP(Snitch_Fashion_Sales_cleaned!$I1382,Table3[Order_Date],Table3[Date_Key])</f>
        <v>112</v>
      </c>
    </row>
    <row r="1383" spans="1:16" x14ac:dyDescent="0.3">
      <c r="A1383" s="34">
        <v>2381</v>
      </c>
      <c r="B1383" s="32" t="s">
        <v>1416</v>
      </c>
      <c r="C1383" s="32" t="s">
        <v>25</v>
      </c>
      <c r="D1383" s="33" t="s">
        <v>50</v>
      </c>
      <c r="E1383" s="34">
        <v>4</v>
      </c>
      <c r="F1383" s="35">
        <v>2666.2200000000003</v>
      </c>
      <c r="G1383" s="36">
        <v>0.51</v>
      </c>
      <c r="H1383" s="35">
        <f t="shared" si="44"/>
        <v>10664.880000000001</v>
      </c>
      <c r="I1383" s="37">
        <v>45620</v>
      </c>
      <c r="J1383" s="33" t="s">
        <v>15</v>
      </c>
      <c r="K1383" s="33" t="s">
        <v>23</v>
      </c>
      <c r="L1383" s="38">
        <f t="shared" si="45"/>
        <v>5225.7912000000006</v>
      </c>
      <c r="M1383" s="38">
        <v>103.57</v>
      </c>
      <c r="N1383" s="24">
        <f>_xlfn.XLOOKUP(Snitch_Fashion_Sales_cleaned!$J1383,Table2[City],Table2[City_Key],"not found")</f>
        <v>1</v>
      </c>
      <c r="O1383" s="23">
        <f>_xlfn.XLOOKUP(Snitch_Fashion_Sales_cleaned!$D1383,Table4[Product_Name],Table4[Product_Key],"not found")</f>
        <v>11</v>
      </c>
      <c r="P1383" s="32">
        <f>_xlfn.XLOOKUP(Snitch_Fashion_Sales_cleaned!$I1383,Table3[Order_Date],Table3[Date_Key])</f>
        <v>213</v>
      </c>
    </row>
    <row r="1384" spans="1:16" x14ac:dyDescent="0.3">
      <c r="A1384" s="27">
        <v>2382</v>
      </c>
      <c r="B1384" s="25" t="s">
        <v>1417</v>
      </c>
      <c r="C1384" s="25" t="s">
        <v>20</v>
      </c>
      <c r="D1384" s="26" t="s">
        <v>76</v>
      </c>
      <c r="E1384" s="27">
        <v>3</v>
      </c>
      <c r="F1384" s="28">
        <v>3440.31</v>
      </c>
      <c r="G1384" s="29">
        <v>0.51</v>
      </c>
      <c r="H1384" s="28">
        <f t="shared" si="44"/>
        <v>10320.93</v>
      </c>
      <c r="I1384" s="30">
        <v>45786</v>
      </c>
      <c r="J1384" s="26" t="s">
        <v>2540</v>
      </c>
      <c r="K1384" s="26" t="s">
        <v>23</v>
      </c>
      <c r="L1384" s="31">
        <f t="shared" si="45"/>
        <v>5057.2556999999997</v>
      </c>
      <c r="M1384" s="31">
        <v>921.38</v>
      </c>
      <c r="N1384" s="22">
        <f>_xlfn.XLOOKUP(Snitch_Fashion_Sales_cleaned!$J1384,Table2[City],Table2[City_Key],"not found")</f>
        <v>4</v>
      </c>
      <c r="O1384" s="21">
        <f>_xlfn.XLOOKUP(Snitch_Fashion_Sales_cleaned!$D1384,Table4[Product_Name],Table4[Product_Key],"not found")</f>
        <v>16</v>
      </c>
      <c r="P1384" s="25">
        <f>_xlfn.XLOOKUP(Snitch_Fashion_Sales_cleaned!$I1384,Table3[Order_Date],Table3[Date_Key])</f>
        <v>408</v>
      </c>
    </row>
    <row r="1385" spans="1:16" x14ac:dyDescent="0.3">
      <c r="A1385" s="34">
        <v>2383</v>
      </c>
      <c r="B1385" s="32" t="s">
        <v>1418</v>
      </c>
      <c r="C1385" s="32" t="s">
        <v>25</v>
      </c>
      <c r="D1385" s="33" t="s">
        <v>82</v>
      </c>
      <c r="E1385" s="34">
        <v>3</v>
      </c>
      <c r="F1385" s="35">
        <v>2385.5749999999998</v>
      </c>
      <c r="G1385" s="36">
        <v>0.51</v>
      </c>
      <c r="H1385" s="35">
        <f t="shared" si="44"/>
        <v>7156.7249999999995</v>
      </c>
      <c r="I1385" s="37">
        <v>45802</v>
      </c>
      <c r="J1385" s="33" t="s">
        <v>52</v>
      </c>
      <c r="K1385" s="33" t="s">
        <v>23</v>
      </c>
      <c r="L1385" s="38">
        <f t="shared" si="45"/>
        <v>3506.7952499999997</v>
      </c>
      <c r="M1385" s="38">
        <v>990.71</v>
      </c>
      <c r="N1385" s="24">
        <f>_xlfn.XLOOKUP(Snitch_Fashion_Sales_cleaned!$J1385,Table2[City],Table2[City_Key],"not found")</f>
        <v>5</v>
      </c>
      <c r="O1385" s="23">
        <f>_xlfn.XLOOKUP(Snitch_Fashion_Sales_cleaned!$D1385,Table4[Product_Name],Table4[Product_Key],"not found")</f>
        <v>18</v>
      </c>
      <c r="P1385" s="32">
        <f>_xlfn.XLOOKUP(Snitch_Fashion_Sales_cleaned!$I1385,Table3[Order_Date],Table3[Date_Key])</f>
        <v>345</v>
      </c>
    </row>
    <row r="1386" spans="1:16" x14ac:dyDescent="0.3">
      <c r="A1386" s="27">
        <v>2384</v>
      </c>
      <c r="B1386" s="25" t="s">
        <v>1419</v>
      </c>
      <c r="C1386" s="25" t="s">
        <v>20</v>
      </c>
      <c r="D1386" s="26" t="s">
        <v>84</v>
      </c>
      <c r="E1386" s="27">
        <v>3</v>
      </c>
      <c r="F1386" s="28">
        <v>1625.58</v>
      </c>
      <c r="G1386" s="29">
        <v>0.1</v>
      </c>
      <c r="H1386" s="28">
        <f t="shared" si="44"/>
        <v>4876.74</v>
      </c>
      <c r="I1386" s="30">
        <v>45854</v>
      </c>
      <c r="J1386" s="26" t="s">
        <v>43</v>
      </c>
      <c r="K1386" s="26" t="s">
        <v>23</v>
      </c>
      <c r="L1386" s="31">
        <f t="shared" si="45"/>
        <v>4389.0659999999998</v>
      </c>
      <c r="M1386" s="31">
        <v>2368.5500000000002</v>
      </c>
      <c r="N1386" s="22">
        <f>_xlfn.XLOOKUP(Snitch_Fashion_Sales_cleaned!$J1386,Table2[City],Table2[City_Key],"not found")</f>
        <v>6</v>
      </c>
      <c r="O1386" s="21">
        <f>_xlfn.XLOOKUP(Snitch_Fashion_Sales_cleaned!$D1386,Table4[Product_Name],Table4[Product_Key],"not found")</f>
        <v>19</v>
      </c>
      <c r="P1386" s="25">
        <f>_xlfn.XLOOKUP(Snitch_Fashion_Sales_cleaned!$I1386,Table3[Order_Date],Table3[Date_Key])</f>
        <v>428</v>
      </c>
    </row>
    <row r="1387" spans="1:16" x14ac:dyDescent="0.3">
      <c r="A1387" s="34">
        <v>2385</v>
      </c>
      <c r="B1387" s="32" t="s">
        <v>1420</v>
      </c>
      <c r="C1387" s="32" t="s">
        <v>36</v>
      </c>
      <c r="D1387" s="33" t="s">
        <v>59</v>
      </c>
      <c r="E1387" s="34">
        <v>3</v>
      </c>
      <c r="F1387" s="35">
        <v>2765.26</v>
      </c>
      <c r="G1387" s="36">
        <v>0.06</v>
      </c>
      <c r="H1387" s="35">
        <f t="shared" si="44"/>
        <v>8295.7800000000007</v>
      </c>
      <c r="I1387" s="37">
        <v>45745</v>
      </c>
      <c r="J1387" s="33" t="s">
        <v>15</v>
      </c>
      <c r="K1387" s="33" t="s">
        <v>23</v>
      </c>
      <c r="L1387" s="38">
        <f t="shared" si="45"/>
        <v>7798.0331999999999</v>
      </c>
      <c r="M1387" s="38">
        <v>-914.91</v>
      </c>
      <c r="N1387" s="24">
        <f>_xlfn.XLOOKUP(Snitch_Fashion_Sales_cleaned!$J1387,Table2[City],Table2[City_Key],"not found")</f>
        <v>1</v>
      </c>
      <c r="O1387" s="23">
        <f>_xlfn.XLOOKUP(Snitch_Fashion_Sales_cleaned!$D1387,Table4[Product_Name],Table4[Product_Key],"not found")</f>
        <v>13</v>
      </c>
      <c r="P1387" s="32">
        <f>_xlfn.XLOOKUP(Snitch_Fashion_Sales_cleaned!$I1387,Table3[Order_Date],Table3[Date_Key])</f>
        <v>293</v>
      </c>
    </row>
    <row r="1388" spans="1:16" x14ac:dyDescent="0.3">
      <c r="A1388" s="27">
        <v>2386</v>
      </c>
      <c r="B1388" s="25" t="s">
        <v>1421</v>
      </c>
      <c r="C1388" s="25" t="s">
        <v>13</v>
      </c>
      <c r="D1388" s="26" t="s">
        <v>46</v>
      </c>
      <c r="E1388" s="27">
        <v>4</v>
      </c>
      <c r="F1388" s="28">
        <v>2253.08</v>
      </c>
      <c r="G1388" s="29">
        <v>0.09</v>
      </c>
      <c r="H1388" s="28">
        <f t="shared" si="44"/>
        <v>9012.32</v>
      </c>
      <c r="I1388" s="30">
        <v>45647</v>
      </c>
      <c r="J1388" s="26" t="s">
        <v>18</v>
      </c>
      <c r="K1388" s="26" t="s">
        <v>23</v>
      </c>
      <c r="L1388" s="31">
        <f t="shared" si="45"/>
        <v>8201.2111999999997</v>
      </c>
      <c r="M1388" s="31">
        <v>490.12</v>
      </c>
      <c r="N1388" s="22">
        <f>_xlfn.XLOOKUP(Snitch_Fashion_Sales_cleaned!$J1388,Table2[City],Table2[City_Key],"not found")</f>
        <v>2</v>
      </c>
      <c r="O1388" s="21">
        <f>_xlfn.XLOOKUP(Snitch_Fashion_Sales_cleaned!$D1388,Table4[Product_Name],Table4[Product_Key],"not found")</f>
        <v>10</v>
      </c>
      <c r="P1388" s="25">
        <f>_xlfn.XLOOKUP(Snitch_Fashion_Sales_cleaned!$I1388,Table3[Order_Date],Table3[Date_Key])</f>
        <v>5</v>
      </c>
    </row>
    <row r="1389" spans="1:16" x14ac:dyDescent="0.3">
      <c r="A1389" s="34">
        <v>2387</v>
      </c>
      <c r="B1389" s="32" t="s">
        <v>1422</v>
      </c>
      <c r="C1389" s="32" t="s">
        <v>28</v>
      </c>
      <c r="D1389" s="33" t="s">
        <v>137</v>
      </c>
      <c r="E1389" s="34">
        <v>3.5</v>
      </c>
      <c r="F1389" s="35">
        <v>3246.04</v>
      </c>
      <c r="G1389" s="36">
        <v>0.51</v>
      </c>
      <c r="H1389" s="35">
        <f t="shared" si="44"/>
        <v>11361.14</v>
      </c>
      <c r="I1389" s="37">
        <v>45773</v>
      </c>
      <c r="J1389" s="33" t="s">
        <v>52</v>
      </c>
      <c r="K1389" s="33" t="s">
        <v>23</v>
      </c>
      <c r="L1389" s="38">
        <f t="shared" si="45"/>
        <v>5566.9585999999999</v>
      </c>
      <c r="M1389" s="38">
        <v>-611.03</v>
      </c>
      <c r="N1389" s="24">
        <f>_xlfn.XLOOKUP(Snitch_Fashion_Sales_cleaned!$J1389,Table2[City],Table2[City_Key],"not found")</f>
        <v>5</v>
      </c>
      <c r="O1389" s="23">
        <f>_xlfn.XLOOKUP(Snitch_Fashion_Sales_cleaned!$D1389,Table4[Product_Name],Table4[Product_Key],"not found")</f>
        <v>24</v>
      </c>
      <c r="P1389" s="32">
        <f>_xlfn.XLOOKUP(Snitch_Fashion_Sales_cleaned!$I1389,Table3[Order_Date],Table3[Date_Key])</f>
        <v>36</v>
      </c>
    </row>
    <row r="1390" spans="1:16" x14ac:dyDescent="0.3">
      <c r="A1390" s="27">
        <v>2388</v>
      </c>
      <c r="B1390" s="25" t="s">
        <v>1423</v>
      </c>
      <c r="C1390" s="25" t="s">
        <v>31</v>
      </c>
      <c r="D1390" s="26" t="s">
        <v>32</v>
      </c>
      <c r="E1390" s="27">
        <v>4</v>
      </c>
      <c r="F1390" s="28">
        <v>2001.5500000000002</v>
      </c>
      <c r="G1390" s="29">
        <v>0.51</v>
      </c>
      <c r="H1390" s="28">
        <f t="shared" si="44"/>
        <v>8006.2000000000007</v>
      </c>
      <c r="I1390" s="30">
        <v>45714</v>
      </c>
      <c r="J1390" s="26" t="s">
        <v>52</v>
      </c>
      <c r="K1390" s="26" t="s">
        <v>23</v>
      </c>
      <c r="L1390" s="31">
        <f t="shared" si="45"/>
        <v>3923.0380000000005</v>
      </c>
      <c r="M1390" s="31">
        <v>-722.21</v>
      </c>
      <c r="N1390" s="22">
        <f>_xlfn.XLOOKUP(Snitch_Fashion_Sales_cleaned!$J1390,Table2[City],Table2[City_Key],"not found")</f>
        <v>5</v>
      </c>
      <c r="O1390" s="21">
        <f>_xlfn.XLOOKUP(Snitch_Fashion_Sales_cleaned!$D1390,Table4[Product_Name],Table4[Product_Key],"not found")</f>
        <v>5</v>
      </c>
      <c r="P1390" s="25">
        <f>_xlfn.XLOOKUP(Snitch_Fashion_Sales_cleaned!$I1390,Table3[Order_Date],Table3[Date_Key])</f>
        <v>312</v>
      </c>
    </row>
    <row r="1391" spans="1:16" x14ac:dyDescent="0.3">
      <c r="A1391" s="34">
        <v>2389</v>
      </c>
      <c r="B1391" s="32" t="s">
        <v>1424</v>
      </c>
      <c r="C1391" s="32" t="s">
        <v>25</v>
      </c>
      <c r="D1391" s="33" t="s">
        <v>62</v>
      </c>
      <c r="E1391" s="34">
        <v>5</v>
      </c>
      <c r="F1391" s="35">
        <v>2538.0450000000001</v>
      </c>
      <c r="G1391" s="36">
        <v>0.51</v>
      </c>
      <c r="H1391" s="35">
        <f t="shared" si="44"/>
        <v>12690.225</v>
      </c>
      <c r="I1391" s="37">
        <v>45373</v>
      </c>
      <c r="J1391" s="33" t="s">
        <v>2540</v>
      </c>
      <c r="K1391" s="33" t="s">
        <v>23</v>
      </c>
      <c r="L1391" s="38">
        <f t="shared" si="45"/>
        <v>6218.2102500000001</v>
      </c>
      <c r="M1391" s="38">
        <v>2235.23</v>
      </c>
      <c r="N1391" s="24">
        <f>_xlfn.XLOOKUP(Snitch_Fashion_Sales_cleaned!$J1391,Table2[City],Table2[City_Key],"not found")</f>
        <v>4</v>
      </c>
      <c r="O1391" s="23">
        <f>_xlfn.XLOOKUP(Snitch_Fashion_Sales_cleaned!$D1391,Table4[Product_Name],Table4[Product_Key],"not found")</f>
        <v>14</v>
      </c>
      <c r="P1391" s="32">
        <f>_xlfn.XLOOKUP(Snitch_Fashion_Sales_cleaned!$I1391,Table3[Order_Date],Table3[Date_Key])</f>
        <v>469</v>
      </c>
    </row>
    <row r="1392" spans="1:16" x14ac:dyDescent="0.3">
      <c r="A1392" s="27">
        <v>2390</v>
      </c>
      <c r="B1392" s="25" t="s">
        <v>1425</v>
      </c>
      <c r="C1392" s="25" t="s">
        <v>13</v>
      </c>
      <c r="D1392" s="26" t="s">
        <v>14</v>
      </c>
      <c r="E1392" s="27">
        <v>4</v>
      </c>
      <c r="F1392" s="28">
        <v>3605.36</v>
      </c>
      <c r="G1392" s="29">
        <v>0.51</v>
      </c>
      <c r="H1392" s="28">
        <f t="shared" si="44"/>
        <v>14421.44</v>
      </c>
      <c r="I1392" s="30">
        <v>45660</v>
      </c>
      <c r="J1392" s="26" t="s">
        <v>18</v>
      </c>
      <c r="K1392" s="26" t="s">
        <v>23</v>
      </c>
      <c r="L1392" s="31">
        <f t="shared" si="45"/>
        <v>7066.5056000000004</v>
      </c>
      <c r="M1392" s="31">
        <v>-311.29000000000002</v>
      </c>
      <c r="N1392" s="22">
        <f>_xlfn.XLOOKUP(Snitch_Fashion_Sales_cleaned!$J1392,Table2[City],Table2[City_Key],"not found")</f>
        <v>2</v>
      </c>
      <c r="O1392" s="21">
        <f>_xlfn.XLOOKUP(Snitch_Fashion_Sales_cleaned!$D1392,Table4[Product_Name],Table4[Product_Key],"not found")</f>
        <v>1</v>
      </c>
      <c r="P1392" s="25">
        <f>_xlfn.XLOOKUP(Snitch_Fashion_Sales_cleaned!$I1392,Table3[Order_Date],Table3[Date_Key])</f>
        <v>210</v>
      </c>
    </row>
    <row r="1393" spans="1:16" x14ac:dyDescent="0.3">
      <c r="A1393" s="34">
        <v>2391</v>
      </c>
      <c r="B1393" s="32" t="s">
        <v>1426</v>
      </c>
      <c r="C1393" s="32" t="s">
        <v>13</v>
      </c>
      <c r="D1393" s="33" t="s">
        <v>34</v>
      </c>
      <c r="E1393" s="34">
        <v>3</v>
      </c>
      <c r="F1393" s="35">
        <v>4473.9399999999996</v>
      </c>
      <c r="G1393" s="36">
        <v>0.51</v>
      </c>
      <c r="H1393" s="35">
        <f t="shared" si="44"/>
        <v>13421.82</v>
      </c>
      <c r="I1393" s="37">
        <v>45647</v>
      </c>
      <c r="J1393" s="33" t="s">
        <v>2540</v>
      </c>
      <c r="K1393" s="33" t="s">
        <v>23</v>
      </c>
      <c r="L1393" s="38">
        <f t="shared" si="45"/>
        <v>6576.6917999999996</v>
      </c>
      <c r="M1393" s="38">
        <v>1003.14</v>
      </c>
      <c r="N1393" s="24">
        <f>_xlfn.XLOOKUP(Snitch_Fashion_Sales_cleaned!$J1393,Table2[City],Table2[City_Key],"not found")</f>
        <v>4</v>
      </c>
      <c r="O1393" s="23">
        <f>_xlfn.XLOOKUP(Snitch_Fashion_Sales_cleaned!$D1393,Table4[Product_Name],Table4[Product_Key],"not found")</f>
        <v>6</v>
      </c>
      <c r="P1393" s="32">
        <f>_xlfn.XLOOKUP(Snitch_Fashion_Sales_cleaned!$I1393,Table3[Order_Date],Table3[Date_Key])</f>
        <v>5</v>
      </c>
    </row>
    <row r="1394" spans="1:16" x14ac:dyDescent="0.3">
      <c r="A1394" s="27">
        <v>2392</v>
      </c>
      <c r="B1394" s="25" t="s">
        <v>1427</v>
      </c>
      <c r="C1394" s="25" t="s">
        <v>28</v>
      </c>
      <c r="D1394" s="26" t="s">
        <v>39</v>
      </c>
      <c r="E1394" s="27">
        <v>3</v>
      </c>
      <c r="F1394" s="28">
        <v>4550.95</v>
      </c>
      <c r="G1394" s="29">
        <v>0.51</v>
      </c>
      <c r="H1394" s="28">
        <f t="shared" si="44"/>
        <v>13652.849999999999</v>
      </c>
      <c r="I1394" s="30">
        <v>45736</v>
      </c>
      <c r="J1394" s="26" t="s">
        <v>18</v>
      </c>
      <c r="K1394" s="26" t="s">
        <v>23</v>
      </c>
      <c r="L1394" s="31">
        <f t="shared" si="45"/>
        <v>6689.8964999999989</v>
      </c>
      <c r="M1394" s="31">
        <v>-951.64</v>
      </c>
      <c r="N1394" s="22">
        <f>_xlfn.XLOOKUP(Snitch_Fashion_Sales_cleaned!$J1394,Table2[City],Table2[City_Key],"not found")</f>
        <v>2</v>
      </c>
      <c r="O1394" s="21">
        <f>_xlfn.XLOOKUP(Snitch_Fashion_Sales_cleaned!$D1394,Table4[Product_Name],Table4[Product_Key],"not found")</f>
        <v>8</v>
      </c>
      <c r="P1394" s="25">
        <f>_xlfn.XLOOKUP(Snitch_Fashion_Sales_cleaned!$I1394,Table3[Order_Date],Table3[Date_Key])</f>
        <v>423</v>
      </c>
    </row>
    <row r="1395" spans="1:16" x14ac:dyDescent="0.3">
      <c r="A1395" s="34">
        <v>2393</v>
      </c>
      <c r="B1395" s="32" t="s">
        <v>1428</v>
      </c>
      <c r="C1395" s="32" t="s">
        <v>20</v>
      </c>
      <c r="D1395" s="33" t="s">
        <v>76</v>
      </c>
      <c r="E1395" s="34">
        <v>5</v>
      </c>
      <c r="F1395" s="35">
        <v>753.85</v>
      </c>
      <c r="G1395" s="36">
        <v>0.51</v>
      </c>
      <c r="H1395" s="35">
        <f t="shared" si="44"/>
        <v>3769.25</v>
      </c>
      <c r="I1395" s="37">
        <v>45615</v>
      </c>
      <c r="J1395" s="33" t="s">
        <v>15</v>
      </c>
      <c r="K1395" s="33" t="s">
        <v>16</v>
      </c>
      <c r="L1395" s="38">
        <f t="shared" si="45"/>
        <v>1846.9324999999999</v>
      </c>
      <c r="M1395" s="38">
        <v>251.29</v>
      </c>
      <c r="N1395" s="24">
        <f>_xlfn.XLOOKUP(Snitch_Fashion_Sales_cleaned!$J1395,Table2[City],Table2[City_Key],"not found")</f>
        <v>1</v>
      </c>
      <c r="O1395" s="23">
        <f>_xlfn.XLOOKUP(Snitch_Fashion_Sales_cleaned!$D1395,Table4[Product_Name],Table4[Product_Key],"not found")</f>
        <v>16</v>
      </c>
      <c r="P1395" s="32">
        <f>_xlfn.XLOOKUP(Snitch_Fashion_Sales_cleaned!$I1395,Table3[Order_Date],Table3[Date_Key])</f>
        <v>470</v>
      </c>
    </row>
    <row r="1396" spans="1:16" x14ac:dyDescent="0.3">
      <c r="A1396" s="27">
        <v>2394</v>
      </c>
      <c r="B1396" s="25" t="s">
        <v>1429</v>
      </c>
      <c r="C1396" s="25" t="s">
        <v>20</v>
      </c>
      <c r="D1396" s="26" t="s">
        <v>21</v>
      </c>
      <c r="E1396" s="27">
        <v>4</v>
      </c>
      <c r="F1396" s="28">
        <v>3384.51</v>
      </c>
      <c r="G1396" s="29">
        <v>0.51</v>
      </c>
      <c r="H1396" s="28">
        <f t="shared" si="44"/>
        <v>13538.04</v>
      </c>
      <c r="I1396" s="30">
        <v>45839</v>
      </c>
      <c r="J1396" s="26" t="s">
        <v>2540</v>
      </c>
      <c r="K1396" s="26" t="s">
        <v>23</v>
      </c>
      <c r="L1396" s="31">
        <f t="shared" si="45"/>
        <v>6633.6396000000004</v>
      </c>
      <c r="M1396" s="31">
        <v>2776.41</v>
      </c>
      <c r="N1396" s="22">
        <f>_xlfn.XLOOKUP(Snitch_Fashion_Sales_cleaned!$J1396,Table2[City],Table2[City_Key],"not found")</f>
        <v>4</v>
      </c>
      <c r="O1396" s="21">
        <f>_xlfn.XLOOKUP(Snitch_Fashion_Sales_cleaned!$D1396,Table4[Product_Name],Table4[Product_Key],"not found")</f>
        <v>2</v>
      </c>
      <c r="P1396" s="25">
        <f>_xlfn.XLOOKUP(Snitch_Fashion_Sales_cleaned!$I1396,Table3[Order_Date],Table3[Date_Key])</f>
        <v>200</v>
      </c>
    </row>
    <row r="1397" spans="1:16" x14ac:dyDescent="0.3">
      <c r="A1397" s="34">
        <v>2395</v>
      </c>
      <c r="B1397" s="32" t="s">
        <v>1430</v>
      </c>
      <c r="C1397" s="32" t="s">
        <v>28</v>
      </c>
      <c r="D1397" s="33" t="s">
        <v>116</v>
      </c>
      <c r="E1397" s="34">
        <v>4</v>
      </c>
      <c r="F1397" s="35">
        <v>2785.79</v>
      </c>
      <c r="G1397" s="36">
        <v>0.51</v>
      </c>
      <c r="H1397" s="35">
        <f t="shared" si="44"/>
        <v>11143.16</v>
      </c>
      <c r="I1397" s="37">
        <v>45797</v>
      </c>
      <c r="J1397" s="33" t="s">
        <v>52</v>
      </c>
      <c r="K1397" s="33" t="s">
        <v>16</v>
      </c>
      <c r="L1397" s="38">
        <f t="shared" si="45"/>
        <v>5460.1484</v>
      </c>
      <c r="M1397" s="38">
        <v>1866.74</v>
      </c>
      <c r="N1397" s="24">
        <f>_xlfn.XLOOKUP(Snitch_Fashion_Sales_cleaned!$J1397,Table2[City],Table2[City_Key],"not found")</f>
        <v>5</v>
      </c>
      <c r="O1397" s="23">
        <f>_xlfn.XLOOKUP(Snitch_Fashion_Sales_cleaned!$D1397,Table4[Product_Name],Table4[Product_Key],"not found")</f>
        <v>22</v>
      </c>
      <c r="P1397" s="32">
        <f>_xlfn.XLOOKUP(Snitch_Fashion_Sales_cleaned!$I1397,Table3[Order_Date],Table3[Date_Key])</f>
        <v>26</v>
      </c>
    </row>
    <row r="1398" spans="1:16" x14ac:dyDescent="0.3">
      <c r="A1398" s="27">
        <v>2396</v>
      </c>
      <c r="B1398" s="25" t="s">
        <v>1431</v>
      </c>
      <c r="C1398" s="25" t="s">
        <v>13</v>
      </c>
      <c r="D1398" s="26" t="s">
        <v>14</v>
      </c>
      <c r="E1398" s="27">
        <v>4</v>
      </c>
      <c r="F1398" s="28">
        <v>2366.6149999999998</v>
      </c>
      <c r="G1398" s="29">
        <v>0.51</v>
      </c>
      <c r="H1398" s="28">
        <f t="shared" si="44"/>
        <v>9466.4599999999991</v>
      </c>
      <c r="I1398" s="30">
        <v>45619</v>
      </c>
      <c r="J1398" s="26" t="s">
        <v>52</v>
      </c>
      <c r="K1398" s="26" t="s">
        <v>16</v>
      </c>
      <c r="L1398" s="31">
        <f t="shared" si="45"/>
        <v>4638.5653999999995</v>
      </c>
      <c r="M1398" s="31">
        <v>1965.45</v>
      </c>
      <c r="N1398" s="22">
        <f>_xlfn.XLOOKUP(Snitch_Fashion_Sales_cleaned!$J1398,Table2[City],Table2[City_Key],"not found")</f>
        <v>5</v>
      </c>
      <c r="O1398" s="21">
        <f>_xlfn.XLOOKUP(Snitch_Fashion_Sales_cleaned!$D1398,Table4[Product_Name],Table4[Product_Key],"not found")</f>
        <v>1</v>
      </c>
      <c r="P1398" s="25">
        <f>_xlfn.XLOOKUP(Snitch_Fashion_Sales_cleaned!$I1398,Table3[Order_Date],Table3[Date_Key])</f>
        <v>411</v>
      </c>
    </row>
    <row r="1399" spans="1:16" x14ac:dyDescent="0.3">
      <c r="A1399" s="34">
        <v>2397</v>
      </c>
      <c r="B1399" s="32" t="s">
        <v>1432</v>
      </c>
      <c r="C1399" s="32" t="s">
        <v>20</v>
      </c>
      <c r="D1399" s="33" t="s">
        <v>76</v>
      </c>
      <c r="E1399" s="34">
        <v>3</v>
      </c>
      <c r="F1399" s="35">
        <v>1823.51</v>
      </c>
      <c r="G1399" s="36">
        <v>0.51</v>
      </c>
      <c r="H1399" s="35">
        <f t="shared" si="44"/>
        <v>5470.53</v>
      </c>
      <c r="I1399" s="37">
        <v>45704</v>
      </c>
      <c r="J1399" s="33" t="s">
        <v>52</v>
      </c>
      <c r="K1399" s="33" t="s">
        <v>23</v>
      </c>
      <c r="L1399" s="38">
        <f t="shared" si="45"/>
        <v>2680.5596999999998</v>
      </c>
      <c r="M1399" s="38">
        <v>378.92</v>
      </c>
      <c r="N1399" s="24">
        <f>_xlfn.XLOOKUP(Snitch_Fashion_Sales_cleaned!$J1399,Table2[City],Table2[City_Key],"not found")</f>
        <v>5</v>
      </c>
      <c r="O1399" s="23">
        <f>_xlfn.XLOOKUP(Snitch_Fashion_Sales_cleaned!$D1399,Table4[Product_Name],Table4[Product_Key],"not found")</f>
        <v>16</v>
      </c>
      <c r="P1399" s="32">
        <f>_xlfn.XLOOKUP(Snitch_Fashion_Sales_cleaned!$I1399,Table3[Order_Date],Table3[Date_Key])</f>
        <v>209</v>
      </c>
    </row>
    <row r="1400" spans="1:16" x14ac:dyDescent="0.3">
      <c r="A1400" s="27">
        <v>1002</v>
      </c>
      <c r="B1400" s="25" t="s">
        <v>1433</v>
      </c>
      <c r="C1400" s="25" t="s">
        <v>13</v>
      </c>
      <c r="D1400" s="26" t="s">
        <v>46</v>
      </c>
      <c r="E1400" s="27">
        <v>4</v>
      </c>
      <c r="F1400" s="28">
        <v>2942.95</v>
      </c>
      <c r="G1400" s="29">
        <v>0.51</v>
      </c>
      <c r="H1400" s="28">
        <f t="shared" si="44"/>
        <v>11771.8</v>
      </c>
      <c r="I1400" s="30">
        <v>45830</v>
      </c>
      <c r="J1400" s="26" t="s">
        <v>2540</v>
      </c>
      <c r="K1400" s="26" t="s">
        <v>23</v>
      </c>
      <c r="L1400" s="31">
        <f t="shared" si="45"/>
        <v>5768.1819999999998</v>
      </c>
      <c r="M1400" s="31">
        <v>-519.87</v>
      </c>
      <c r="N1400" s="22">
        <f>_xlfn.XLOOKUP(Snitch_Fashion_Sales_cleaned!$J1400,Table2[City],Table2[City_Key],"not found")</f>
        <v>4</v>
      </c>
      <c r="O1400" s="21">
        <f>_xlfn.XLOOKUP(Snitch_Fashion_Sales_cleaned!$D1400,Table4[Product_Name],Table4[Product_Key],"not found")</f>
        <v>10</v>
      </c>
      <c r="P1400" s="25">
        <f>_xlfn.XLOOKUP(Snitch_Fashion_Sales_cleaned!$I1400,Table3[Order_Date],Table3[Date_Key])</f>
        <v>303</v>
      </c>
    </row>
    <row r="1401" spans="1:16" x14ac:dyDescent="0.3">
      <c r="A1401" s="34">
        <v>2399</v>
      </c>
      <c r="B1401" s="32" t="s">
        <v>1434</v>
      </c>
      <c r="C1401" s="32" t="s">
        <v>13</v>
      </c>
      <c r="D1401" s="33" t="s">
        <v>14</v>
      </c>
      <c r="E1401" s="34">
        <v>4</v>
      </c>
      <c r="F1401" s="35">
        <v>3643.5</v>
      </c>
      <c r="G1401" s="36">
        <v>0.51</v>
      </c>
      <c r="H1401" s="35">
        <f t="shared" si="44"/>
        <v>14574</v>
      </c>
      <c r="I1401" s="37">
        <v>45508</v>
      </c>
      <c r="J1401" s="33" t="s">
        <v>15</v>
      </c>
      <c r="K1401" s="33" t="s">
        <v>23</v>
      </c>
      <c r="L1401" s="38">
        <f t="shared" si="45"/>
        <v>7141.26</v>
      </c>
      <c r="M1401" s="38">
        <v>1452.6</v>
      </c>
      <c r="N1401" s="24">
        <f>_xlfn.XLOOKUP(Snitch_Fashion_Sales_cleaned!$J1401,Table2[City],Table2[City_Key],"not found")</f>
        <v>1</v>
      </c>
      <c r="O1401" s="23">
        <f>_xlfn.XLOOKUP(Snitch_Fashion_Sales_cleaned!$D1401,Table4[Product_Name],Table4[Product_Key],"not found")</f>
        <v>1</v>
      </c>
      <c r="P1401" s="32">
        <f>_xlfn.XLOOKUP(Snitch_Fashion_Sales_cleaned!$I1401,Table3[Order_Date],Table3[Date_Key])</f>
        <v>188</v>
      </c>
    </row>
    <row r="1402" spans="1:16" x14ac:dyDescent="0.3">
      <c r="A1402" s="27">
        <v>2400</v>
      </c>
      <c r="B1402" s="25" t="s">
        <v>1435</v>
      </c>
      <c r="C1402" s="25" t="s">
        <v>36</v>
      </c>
      <c r="D1402" s="26" t="s">
        <v>87</v>
      </c>
      <c r="E1402" s="27">
        <v>4</v>
      </c>
      <c r="F1402" s="28">
        <v>4756.67</v>
      </c>
      <c r="G1402" s="29">
        <v>0.75</v>
      </c>
      <c r="H1402" s="28">
        <f t="shared" si="44"/>
        <v>19026.68</v>
      </c>
      <c r="I1402" s="30">
        <v>45831</v>
      </c>
      <c r="J1402" s="26" t="s">
        <v>43</v>
      </c>
      <c r="K1402" s="26" t="s">
        <v>16</v>
      </c>
      <c r="L1402" s="31">
        <f t="shared" si="45"/>
        <v>4756.67</v>
      </c>
      <c r="M1402" s="31">
        <v>-442.75</v>
      </c>
      <c r="N1402" s="22">
        <f>_xlfn.XLOOKUP(Snitch_Fashion_Sales_cleaned!$J1402,Table2[City],Table2[City_Key],"not found")</f>
        <v>6</v>
      </c>
      <c r="O1402" s="21">
        <f>_xlfn.XLOOKUP(Snitch_Fashion_Sales_cleaned!$D1402,Table4[Product_Name],Table4[Product_Key],"not found")</f>
        <v>20</v>
      </c>
      <c r="P1402" s="25">
        <f>_xlfn.XLOOKUP(Snitch_Fashion_Sales_cleaned!$I1402,Table3[Order_Date],Table3[Date_Key])</f>
        <v>281</v>
      </c>
    </row>
    <row r="1403" spans="1:16" x14ac:dyDescent="0.3">
      <c r="A1403" s="34">
        <v>2401</v>
      </c>
      <c r="B1403" s="32" t="s">
        <v>1436</v>
      </c>
      <c r="C1403" s="32" t="s">
        <v>28</v>
      </c>
      <c r="D1403" s="33" t="s">
        <v>29</v>
      </c>
      <c r="E1403" s="34">
        <v>2</v>
      </c>
      <c r="F1403" s="35">
        <v>2159.6799999999998</v>
      </c>
      <c r="G1403" s="36">
        <v>0.51</v>
      </c>
      <c r="H1403" s="35">
        <f t="shared" si="44"/>
        <v>4319.3599999999997</v>
      </c>
      <c r="I1403" s="37">
        <v>45666</v>
      </c>
      <c r="J1403" s="33" t="s">
        <v>43</v>
      </c>
      <c r="K1403" s="33" t="s">
        <v>23</v>
      </c>
      <c r="L1403" s="38">
        <f t="shared" si="45"/>
        <v>2116.4863999999998</v>
      </c>
      <c r="M1403" s="38">
        <v>1873.8</v>
      </c>
      <c r="N1403" s="24">
        <f>_xlfn.XLOOKUP(Snitch_Fashion_Sales_cleaned!$J1403,Table2[City],Table2[City_Key],"not found")</f>
        <v>6</v>
      </c>
      <c r="O1403" s="23">
        <f>_xlfn.XLOOKUP(Snitch_Fashion_Sales_cleaned!$D1403,Table4[Product_Name],Table4[Product_Key],"not found")</f>
        <v>4</v>
      </c>
      <c r="P1403" s="32">
        <f>_xlfn.XLOOKUP(Snitch_Fashion_Sales_cleaned!$I1403,Table3[Order_Date],Table3[Date_Key])</f>
        <v>107</v>
      </c>
    </row>
    <row r="1404" spans="1:16" x14ac:dyDescent="0.3">
      <c r="A1404" s="27">
        <v>2402</v>
      </c>
      <c r="B1404" s="25" t="s">
        <v>1437</v>
      </c>
      <c r="C1404" s="25" t="s">
        <v>31</v>
      </c>
      <c r="D1404" s="26" t="s">
        <v>32</v>
      </c>
      <c r="E1404" s="27">
        <v>4</v>
      </c>
      <c r="F1404" s="28">
        <v>744.83</v>
      </c>
      <c r="G1404" s="29">
        <v>0.16</v>
      </c>
      <c r="H1404" s="28">
        <f t="shared" si="44"/>
        <v>2979.32</v>
      </c>
      <c r="I1404" s="30">
        <v>45647</v>
      </c>
      <c r="J1404" s="26" t="s">
        <v>22</v>
      </c>
      <c r="K1404" s="26" t="s">
        <v>23</v>
      </c>
      <c r="L1404" s="31">
        <f t="shared" si="45"/>
        <v>2502.6288</v>
      </c>
      <c r="M1404" s="31">
        <v>625.65719999999999</v>
      </c>
      <c r="N1404" s="22">
        <f>_xlfn.XLOOKUP(Snitch_Fashion_Sales_cleaned!$J1404,Table2[City],Table2[City_Key],"not found")</f>
        <v>3</v>
      </c>
      <c r="O1404" s="21">
        <f>_xlfn.XLOOKUP(Snitch_Fashion_Sales_cleaned!$D1404,Table4[Product_Name],Table4[Product_Key],"not found")</f>
        <v>5</v>
      </c>
      <c r="P1404" s="25">
        <f>_xlfn.XLOOKUP(Snitch_Fashion_Sales_cleaned!$I1404,Table3[Order_Date],Table3[Date_Key])</f>
        <v>5</v>
      </c>
    </row>
    <row r="1405" spans="1:16" x14ac:dyDescent="0.3">
      <c r="A1405" s="34">
        <v>2403</v>
      </c>
      <c r="B1405" s="32" t="s">
        <v>1438</v>
      </c>
      <c r="C1405" s="32" t="s">
        <v>31</v>
      </c>
      <c r="D1405" s="33" t="s">
        <v>41</v>
      </c>
      <c r="E1405" s="34">
        <v>3</v>
      </c>
      <c r="F1405" s="35">
        <v>3027.66</v>
      </c>
      <c r="G1405" s="36">
        <v>0.51</v>
      </c>
      <c r="H1405" s="35">
        <f t="shared" si="44"/>
        <v>9082.98</v>
      </c>
      <c r="I1405" s="37">
        <v>45686</v>
      </c>
      <c r="J1405" s="33" t="s">
        <v>52</v>
      </c>
      <c r="K1405" s="33" t="s">
        <v>23</v>
      </c>
      <c r="L1405" s="38">
        <f t="shared" si="45"/>
        <v>4450.6601999999993</v>
      </c>
      <c r="M1405" s="38">
        <v>2312.7199999999998</v>
      </c>
      <c r="N1405" s="24">
        <f>_xlfn.XLOOKUP(Snitch_Fashion_Sales_cleaned!$J1405,Table2[City],Table2[City_Key],"not found")</f>
        <v>5</v>
      </c>
      <c r="O1405" s="23">
        <f>_xlfn.XLOOKUP(Snitch_Fashion_Sales_cleaned!$D1405,Table4[Product_Name],Table4[Product_Key],"not found")</f>
        <v>9</v>
      </c>
      <c r="P1405" s="32">
        <f>_xlfn.XLOOKUP(Snitch_Fashion_Sales_cleaned!$I1405,Table3[Order_Date],Table3[Date_Key])</f>
        <v>351</v>
      </c>
    </row>
    <row r="1406" spans="1:16" x14ac:dyDescent="0.3">
      <c r="A1406" s="27">
        <v>2404</v>
      </c>
      <c r="B1406" s="25" t="s">
        <v>1439</v>
      </c>
      <c r="C1406" s="25" t="s">
        <v>28</v>
      </c>
      <c r="D1406" s="26" t="s">
        <v>137</v>
      </c>
      <c r="E1406" s="27">
        <v>4</v>
      </c>
      <c r="F1406" s="28">
        <v>2338.04</v>
      </c>
      <c r="G1406" s="29">
        <v>0.51</v>
      </c>
      <c r="H1406" s="28">
        <f t="shared" si="44"/>
        <v>9352.16</v>
      </c>
      <c r="I1406" s="30">
        <v>45657</v>
      </c>
      <c r="J1406" s="26" t="s">
        <v>15</v>
      </c>
      <c r="K1406" s="26" t="s">
        <v>16</v>
      </c>
      <c r="L1406" s="31">
        <f t="shared" si="45"/>
        <v>4582.5583999999999</v>
      </c>
      <c r="M1406" s="31">
        <v>-673.77</v>
      </c>
      <c r="N1406" s="22">
        <f>_xlfn.XLOOKUP(Snitch_Fashion_Sales_cleaned!$J1406,Table2[City],Table2[City_Key],"not found")</f>
        <v>1</v>
      </c>
      <c r="O1406" s="21">
        <f>_xlfn.XLOOKUP(Snitch_Fashion_Sales_cleaned!$D1406,Table4[Product_Name],Table4[Product_Key],"not found")</f>
        <v>24</v>
      </c>
      <c r="P1406" s="25">
        <f>_xlfn.XLOOKUP(Snitch_Fashion_Sales_cleaned!$I1406,Table3[Order_Date],Table3[Date_Key])</f>
        <v>82</v>
      </c>
    </row>
    <row r="1407" spans="1:16" x14ac:dyDescent="0.3">
      <c r="A1407" s="34">
        <v>2405</v>
      </c>
      <c r="B1407" s="32" t="s">
        <v>1440</v>
      </c>
      <c r="C1407" s="32" t="s">
        <v>20</v>
      </c>
      <c r="D1407" s="33" t="s">
        <v>84</v>
      </c>
      <c r="E1407" s="34">
        <v>3</v>
      </c>
      <c r="F1407" s="35">
        <v>1943.21</v>
      </c>
      <c r="G1407" s="36">
        <v>0.51</v>
      </c>
      <c r="H1407" s="35">
        <f t="shared" si="44"/>
        <v>5829.63</v>
      </c>
      <c r="I1407" s="37">
        <v>45647</v>
      </c>
      <c r="J1407" s="33" t="s">
        <v>18</v>
      </c>
      <c r="K1407" s="33" t="s">
        <v>23</v>
      </c>
      <c r="L1407" s="38">
        <f t="shared" si="45"/>
        <v>2856.5187000000001</v>
      </c>
      <c r="M1407" s="38">
        <v>1039.8599999999999</v>
      </c>
      <c r="N1407" s="24">
        <f>_xlfn.XLOOKUP(Snitch_Fashion_Sales_cleaned!$J1407,Table2[City],Table2[City_Key],"not found")</f>
        <v>2</v>
      </c>
      <c r="O1407" s="23">
        <f>_xlfn.XLOOKUP(Snitch_Fashion_Sales_cleaned!$D1407,Table4[Product_Name],Table4[Product_Key],"not found")</f>
        <v>19</v>
      </c>
      <c r="P1407" s="32">
        <f>_xlfn.XLOOKUP(Snitch_Fashion_Sales_cleaned!$I1407,Table3[Order_Date],Table3[Date_Key])</f>
        <v>5</v>
      </c>
    </row>
    <row r="1408" spans="1:16" x14ac:dyDescent="0.3">
      <c r="A1408" s="27">
        <v>2406</v>
      </c>
      <c r="B1408" s="25" t="s">
        <v>1441</v>
      </c>
      <c r="C1408" s="25" t="s">
        <v>13</v>
      </c>
      <c r="D1408" s="26" t="s">
        <v>14</v>
      </c>
      <c r="E1408" s="27">
        <v>4</v>
      </c>
      <c r="F1408" s="28">
        <v>4847.7299999999996</v>
      </c>
      <c r="G1408" s="29">
        <v>0.51</v>
      </c>
      <c r="H1408" s="28">
        <f t="shared" si="44"/>
        <v>19390.919999999998</v>
      </c>
      <c r="I1408" s="30">
        <v>45647</v>
      </c>
      <c r="J1408" s="26" t="s">
        <v>18</v>
      </c>
      <c r="K1408" s="26" t="s">
        <v>23</v>
      </c>
      <c r="L1408" s="31">
        <f t="shared" si="45"/>
        <v>9501.5507999999991</v>
      </c>
      <c r="M1408" s="31">
        <v>1741</v>
      </c>
      <c r="N1408" s="22">
        <f>_xlfn.XLOOKUP(Snitch_Fashion_Sales_cleaned!$J1408,Table2[City],Table2[City_Key],"not found")</f>
        <v>2</v>
      </c>
      <c r="O1408" s="21">
        <f>_xlfn.XLOOKUP(Snitch_Fashion_Sales_cleaned!$D1408,Table4[Product_Name],Table4[Product_Key],"not found")</f>
        <v>1</v>
      </c>
      <c r="P1408" s="25">
        <f>_xlfn.XLOOKUP(Snitch_Fashion_Sales_cleaned!$I1408,Table3[Order_Date],Table3[Date_Key])</f>
        <v>5</v>
      </c>
    </row>
    <row r="1409" spans="1:16" x14ac:dyDescent="0.3">
      <c r="A1409" s="34">
        <v>2407</v>
      </c>
      <c r="B1409" s="32" t="s">
        <v>1442</v>
      </c>
      <c r="C1409" s="32" t="s">
        <v>13</v>
      </c>
      <c r="D1409" s="33" t="s">
        <v>14</v>
      </c>
      <c r="E1409" s="34">
        <v>4</v>
      </c>
      <c r="F1409" s="35">
        <v>2366.6149999999998</v>
      </c>
      <c r="G1409" s="36">
        <v>0.51</v>
      </c>
      <c r="H1409" s="35">
        <f t="shared" si="44"/>
        <v>9466.4599999999991</v>
      </c>
      <c r="I1409" s="37">
        <v>45801</v>
      </c>
      <c r="J1409" s="33" t="s">
        <v>18</v>
      </c>
      <c r="K1409" s="33" t="s">
        <v>23</v>
      </c>
      <c r="L1409" s="38">
        <f t="shared" si="45"/>
        <v>4638.5653999999995</v>
      </c>
      <c r="M1409" s="38">
        <v>2990.98</v>
      </c>
      <c r="N1409" s="24">
        <f>_xlfn.XLOOKUP(Snitch_Fashion_Sales_cleaned!$J1409,Table2[City],Table2[City_Key],"not found")</f>
        <v>2</v>
      </c>
      <c r="O1409" s="23">
        <f>_xlfn.XLOOKUP(Snitch_Fashion_Sales_cleaned!$D1409,Table4[Product_Name],Table4[Product_Key],"not found")</f>
        <v>1</v>
      </c>
      <c r="P1409" s="32">
        <f>_xlfn.XLOOKUP(Snitch_Fashion_Sales_cleaned!$I1409,Table3[Order_Date],Table3[Date_Key])</f>
        <v>252</v>
      </c>
    </row>
    <row r="1410" spans="1:16" x14ac:dyDescent="0.3">
      <c r="A1410" s="27">
        <v>2408</v>
      </c>
      <c r="B1410" s="25" t="s">
        <v>1443</v>
      </c>
      <c r="C1410" s="25" t="s">
        <v>36</v>
      </c>
      <c r="D1410" s="26" t="s">
        <v>37</v>
      </c>
      <c r="E1410" s="27">
        <v>6</v>
      </c>
      <c r="F1410" s="28">
        <v>2169.73</v>
      </c>
      <c r="G1410" s="29">
        <v>0.51</v>
      </c>
      <c r="H1410" s="28">
        <f t="shared" si="44"/>
        <v>13018.380000000001</v>
      </c>
      <c r="I1410" s="30">
        <v>45647</v>
      </c>
      <c r="J1410" s="26" t="s">
        <v>2540</v>
      </c>
      <c r="K1410" s="26" t="s">
        <v>23</v>
      </c>
      <c r="L1410" s="31">
        <f t="shared" si="45"/>
        <v>6379.0062000000007</v>
      </c>
      <c r="M1410" s="31">
        <v>442.92</v>
      </c>
      <c r="N1410" s="22">
        <f>_xlfn.XLOOKUP(Snitch_Fashion_Sales_cleaned!$J1410,Table2[City],Table2[City_Key],"not found")</f>
        <v>4</v>
      </c>
      <c r="O1410" s="21">
        <f>_xlfn.XLOOKUP(Snitch_Fashion_Sales_cleaned!$D1410,Table4[Product_Name],Table4[Product_Key],"not found")</f>
        <v>7</v>
      </c>
      <c r="P1410" s="25">
        <f>_xlfn.XLOOKUP(Snitch_Fashion_Sales_cleaned!$I1410,Table3[Order_Date],Table3[Date_Key])</f>
        <v>5</v>
      </c>
    </row>
    <row r="1411" spans="1:16" x14ac:dyDescent="0.3">
      <c r="A1411" s="34">
        <v>2409</v>
      </c>
      <c r="B1411" s="32" t="s">
        <v>1444</v>
      </c>
      <c r="C1411" s="32" t="s">
        <v>36</v>
      </c>
      <c r="D1411" s="33" t="s">
        <v>59</v>
      </c>
      <c r="E1411" s="34">
        <v>3</v>
      </c>
      <c r="F1411" s="35">
        <v>1430.06</v>
      </c>
      <c r="G1411" s="36">
        <v>0.98</v>
      </c>
      <c r="H1411" s="35">
        <f t="shared" si="44"/>
        <v>4290.18</v>
      </c>
      <c r="I1411" s="37">
        <v>45744</v>
      </c>
      <c r="J1411" s="33" t="s">
        <v>43</v>
      </c>
      <c r="K1411" s="33" t="s">
        <v>23</v>
      </c>
      <c r="L1411" s="38">
        <f t="shared" si="45"/>
        <v>85.803600000000088</v>
      </c>
      <c r="M1411" s="38">
        <v>-530.32000000000005</v>
      </c>
      <c r="N1411" s="24">
        <f>_xlfn.XLOOKUP(Snitch_Fashion_Sales_cleaned!$J1411,Table2[City],Table2[City_Key],"not found")</f>
        <v>6</v>
      </c>
      <c r="O1411" s="23">
        <f>_xlfn.XLOOKUP(Snitch_Fashion_Sales_cleaned!$D1411,Table4[Product_Name],Table4[Product_Key],"not found")</f>
        <v>13</v>
      </c>
      <c r="P1411" s="32">
        <f>_xlfn.XLOOKUP(Snitch_Fashion_Sales_cleaned!$I1411,Table3[Order_Date],Table3[Date_Key])</f>
        <v>225</v>
      </c>
    </row>
    <row r="1412" spans="1:16" x14ac:dyDescent="0.3">
      <c r="A1412" s="27">
        <v>2410</v>
      </c>
      <c r="B1412" s="25" t="s">
        <v>1445</v>
      </c>
      <c r="C1412" s="25" t="s">
        <v>28</v>
      </c>
      <c r="D1412" s="26" t="s">
        <v>137</v>
      </c>
      <c r="E1412" s="27">
        <v>3</v>
      </c>
      <c r="F1412" s="28">
        <v>2338.04</v>
      </c>
      <c r="G1412" s="29">
        <v>0.51</v>
      </c>
      <c r="H1412" s="28">
        <f t="shared" si="44"/>
        <v>7014.12</v>
      </c>
      <c r="I1412" s="30">
        <v>45670</v>
      </c>
      <c r="J1412" s="26" t="s">
        <v>43</v>
      </c>
      <c r="K1412" s="26" t="s">
        <v>23</v>
      </c>
      <c r="L1412" s="31">
        <f t="shared" si="45"/>
        <v>3436.9187999999999</v>
      </c>
      <c r="M1412" s="31">
        <v>2913.29</v>
      </c>
      <c r="N1412" s="22">
        <f>_xlfn.XLOOKUP(Snitch_Fashion_Sales_cleaned!$J1412,Table2[City],Table2[City_Key],"not found")</f>
        <v>6</v>
      </c>
      <c r="O1412" s="21">
        <f>_xlfn.XLOOKUP(Snitch_Fashion_Sales_cleaned!$D1412,Table4[Product_Name],Table4[Product_Key],"not found")</f>
        <v>24</v>
      </c>
      <c r="P1412" s="25">
        <f>_xlfn.XLOOKUP(Snitch_Fashion_Sales_cleaned!$I1412,Table3[Order_Date],Table3[Date_Key])</f>
        <v>396</v>
      </c>
    </row>
    <row r="1413" spans="1:16" x14ac:dyDescent="0.3">
      <c r="A1413" s="34">
        <v>2411</v>
      </c>
      <c r="B1413" s="32" t="s">
        <v>1446</v>
      </c>
      <c r="C1413" s="32" t="s">
        <v>13</v>
      </c>
      <c r="D1413" s="33" t="s">
        <v>46</v>
      </c>
      <c r="E1413" s="34">
        <v>4</v>
      </c>
      <c r="F1413" s="35">
        <v>2891.64</v>
      </c>
      <c r="G1413" s="36">
        <v>0.51</v>
      </c>
      <c r="H1413" s="35">
        <f t="shared" si="44"/>
        <v>11566.56</v>
      </c>
      <c r="I1413" s="37">
        <v>45791</v>
      </c>
      <c r="J1413" s="33" t="s">
        <v>15</v>
      </c>
      <c r="K1413" s="33" t="s">
        <v>16</v>
      </c>
      <c r="L1413" s="38">
        <f t="shared" si="45"/>
        <v>5667.6143999999995</v>
      </c>
      <c r="M1413" s="38">
        <v>458.44</v>
      </c>
      <c r="N1413" s="24">
        <f>_xlfn.XLOOKUP(Snitch_Fashion_Sales_cleaned!$J1413,Table2[City],Table2[City_Key],"not found")</f>
        <v>1</v>
      </c>
      <c r="O1413" s="23">
        <f>_xlfn.XLOOKUP(Snitch_Fashion_Sales_cleaned!$D1413,Table4[Product_Name],Table4[Product_Key],"not found")</f>
        <v>10</v>
      </c>
      <c r="P1413" s="32">
        <f>_xlfn.XLOOKUP(Snitch_Fashion_Sales_cleaned!$I1413,Table3[Order_Date],Table3[Date_Key])</f>
        <v>79</v>
      </c>
    </row>
    <row r="1414" spans="1:16" x14ac:dyDescent="0.3">
      <c r="A1414" s="27">
        <v>2412</v>
      </c>
      <c r="B1414" s="25" t="s">
        <v>1447</v>
      </c>
      <c r="C1414" s="25" t="s">
        <v>13</v>
      </c>
      <c r="D1414" s="26" t="s">
        <v>46</v>
      </c>
      <c r="E1414" s="27">
        <v>4</v>
      </c>
      <c r="F1414" s="28">
        <v>2891.64</v>
      </c>
      <c r="G1414" s="29">
        <v>0.51</v>
      </c>
      <c r="H1414" s="28">
        <f t="shared" ref="H1414:H1477" si="46">E1414*F1414</f>
        <v>11566.56</v>
      </c>
      <c r="I1414" s="30">
        <v>45218</v>
      </c>
      <c r="J1414" s="26" t="s">
        <v>15</v>
      </c>
      <c r="K1414" s="26" t="s">
        <v>23</v>
      </c>
      <c r="L1414" s="31">
        <f t="shared" ref="L1414:L1477" si="47">H1414*(1-G1414)</f>
        <v>5667.6143999999995</v>
      </c>
      <c r="M1414" s="31">
        <v>1676.75</v>
      </c>
      <c r="N1414" s="22">
        <f>_xlfn.XLOOKUP(Snitch_Fashion_Sales_cleaned!$J1414,Table2[City],Table2[City_Key],"not found")</f>
        <v>1</v>
      </c>
      <c r="O1414" s="21">
        <f>_xlfn.XLOOKUP(Snitch_Fashion_Sales_cleaned!$D1414,Table4[Product_Name],Table4[Product_Key],"not found")</f>
        <v>10</v>
      </c>
      <c r="P1414" s="25">
        <f>_xlfn.XLOOKUP(Snitch_Fashion_Sales_cleaned!$I1414,Table3[Order_Date],Table3[Date_Key])</f>
        <v>471</v>
      </c>
    </row>
    <row r="1415" spans="1:16" x14ac:dyDescent="0.3">
      <c r="A1415" s="34">
        <v>2413</v>
      </c>
      <c r="B1415" s="32" t="s">
        <v>1448</v>
      </c>
      <c r="C1415" s="32" t="s">
        <v>25</v>
      </c>
      <c r="D1415" s="33" t="s">
        <v>26</v>
      </c>
      <c r="E1415" s="34">
        <v>4</v>
      </c>
      <c r="F1415" s="35">
        <v>4140.8599999999997</v>
      </c>
      <c r="G1415" s="36">
        <v>0.51</v>
      </c>
      <c r="H1415" s="35">
        <f t="shared" si="46"/>
        <v>16563.439999999999</v>
      </c>
      <c r="I1415" s="37">
        <v>45580</v>
      </c>
      <c r="J1415" s="33" t="s">
        <v>15</v>
      </c>
      <c r="K1415" s="33" t="s">
        <v>23</v>
      </c>
      <c r="L1415" s="38">
        <f t="shared" si="47"/>
        <v>8116.0855999999994</v>
      </c>
      <c r="M1415" s="38">
        <v>162.16</v>
      </c>
      <c r="N1415" s="24">
        <f>_xlfn.XLOOKUP(Snitch_Fashion_Sales_cleaned!$J1415,Table2[City],Table2[City_Key],"not found")</f>
        <v>1</v>
      </c>
      <c r="O1415" s="23">
        <f>_xlfn.XLOOKUP(Snitch_Fashion_Sales_cleaned!$D1415,Table4[Product_Name],Table4[Product_Key],"not found")</f>
        <v>3</v>
      </c>
      <c r="P1415" s="32">
        <f>_xlfn.XLOOKUP(Snitch_Fashion_Sales_cleaned!$I1415,Table3[Order_Date],Table3[Date_Key])</f>
        <v>236</v>
      </c>
    </row>
    <row r="1416" spans="1:16" x14ac:dyDescent="0.3">
      <c r="A1416" s="27">
        <v>1037</v>
      </c>
      <c r="B1416" s="25" t="s">
        <v>1449</v>
      </c>
      <c r="C1416" s="25" t="s">
        <v>28</v>
      </c>
      <c r="D1416" s="26" t="s">
        <v>137</v>
      </c>
      <c r="E1416" s="27">
        <v>3.5</v>
      </c>
      <c r="F1416" s="28">
        <v>3127.73</v>
      </c>
      <c r="G1416" s="29">
        <v>0.06</v>
      </c>
      <c r="H1416" s="28">
        <f t="shared" si="46"/>
        <v>10947.055</v>
      </c>
      <c r="I1416" s="30">
        <v>45581</v>
      </c>
      <c r="J1416" s="26" t="s">
        <v>18</v>
      </c>
      <c r="K1416" s="26" t="s">
        <v>23</v>
      </c>
      <c r="L1416" s="31">
        <f t="shared" si="47"/>
        <v>10290.2317</v>
      </c>
      <c r="M1416" s="31">
        <v>-793.02</v>
      </c>
      <c r="N1416" s="22">
        <f>_xlfn.XLOOKUP(Snitch_Fashion_Sales_cleaned!$J1416,Table2[City],Table2[City_Key],"not found")</f>
        <v>2</v>
      </c>
      <c r="O1416" s="21">
        <f>_xlfn.XLOOKUP(Snitch_Fashion_Sales_cleaned!$D1416,Table4[Product_Name],Table4[Product_Key],"not found")</f>
        <v>24</v>
      </c>
      <c r="P1416" s="25">
        <f>_xlfn.XLOOKUP(Snitch_Fashion_Sales_cleaned!$I1416,Table3[Order_Date],Table3[Date_Key])</f>
        <v>34</v>
      </c>
    </row>
    <row r="1417" spans="1:16" x14ac:dyDescent="0.3">
      <c r="A1417" s="34">
        <v>2415</v>
      </c>
      <c r="B1417" s="32" t="s">
        <v>1450</v>
      </c>
      <c r="C1417" s="32" t="s">
        <v>13</v>
      </c>
      <c r="D1417" s="33" t="s">
        <v>98</v>
      </c>
      <c r="E1417" s="34">
        <v>5</v>
      </c>
      <c r="F1417" s="35">
        <v>3395.67</v>
      </c>
      <c r="G1417" s="36">
        <v>0.51</v>
      </c>
      <c r="H1417" s="35">
        <f t="shared" si="46"/>
        <v>16978.349999999999</v>
      </c>
      <c r="I1417" s="37">
        <v>45647</v>
      </c>
      <c r="J1417" s="33" t="s">
        <v>2540</v>
      </c>
      <c r="K1417" s="33" t="s">
        <v>16</v>
      </c>
      <c r="L1417" s="38">
        <f t="shared" si="47"/>
        <v>8319.3914999999997</v>
      </c>
      <c r="M1417" s="38">
        <v>1958.51</v>
      </c>
      <c r="N1417" s="24">
        <f>_xlfn.XLOOKUP(Snitch_Fashion_Sales_cleaned!$J1417,Table2[City],Table2[City_Key],"not found")</f>
        <v>4</v>
      </c>
      <c r="O1417" s="23">
        <f>_xlfn.XLOOKUP(Snitch_Fashion_Sales_cleaned!$D1417,Table4[Product_Name],Table4[Product_Key],"not found")</f>
        <v>21</v>
      </c>
      <c r="P1417" s="32">
        <f>_xlfn.XLOOKUP(Snitch_Fashion_Sales_cleaned!$I1417,Table3[Order_Date],Table3[Date_Key])</f>
        <v>5</v>
      </c>
    </row>
    <row r="1418" spans="1:16" x14ac:dyDescent="0.3">
      <c r="A1418" s="27">
        <v>2416</v>
      </c>
      <c r="B1418" s="25" t="s">
        <v>1451</v>
      </c>
      <c r="C1418" s="25" t="s">
        <v>36</v>
      </c>
      <c r="D1418" s="26" t="s">
        <v>87</v>
      </c>
      <c r="E1418" s="27">
        <v>4</v>
      </c>
      <c r="F1418" s="28">
        <v>2889.5349999999999</v>
      </c>
      <c r="G1418" s="29">
        <v>0.51</v>
      </c>
      <c r="H1418" s="28">
        <f t="shared" si="46"/>
        <v>11558.14</v>
      </c>
      <c r="I1418" s="30">
        <v>45364</v>
      </c>
      <c r="J1418" s="26" t="s">
        <v>43</v>
      </c>
      <c r="K1418" s="26" t="s">
        <v>23</v>
      </c>
      <c r="L1418" s="31">
        <f t="shared" si="47"/>
        <v>5663.4885999999997</v>
      </c>
      <c r="M1418" s="31">
        <v>1219.82</v>
      </c>
      <c r="N1418" s="22">
        <f>_xlfn.XLOOKUP(Snitch_Fashion_Sales_cleaned!$J1418,Table2[City],Table2[City_Key],"not found")</f>
        <v>6</v>
      </c>
      <c r="O1418" s="21">
        <f>_xlfn.XLOOKUP(Snitch_Fashion_Sales_cleaned!$D1418,Table4[Product_Name],Table4[Product_Key],"not found")</f>
        <v>20</v>
      </c>
      <c r="P1418" s="25">
        <f>_xlfn.XLOOKUP(Snitch_Fashion_Sales_cleaned!$I1418,Table3[Order_Date],Table3[Date_Key])</f>
        <v>472</v>
      </c>
    </row>
    <row r="1419" spans="1:16" x14ac:dyDescent="0.3">
      <c r="A1419" s="34">
        <v>2417</v>
      </c>
      <c r="B1419" s="32" t="s">
        <v>1452</v>
      </c>
      <c r="C1419" s="32" t="s">
        <v>20</v>
      </c>
      <c r="D1419" s="33" t="s">
        <v>76</v>
      </c>
      <c r="E1419" s="34">
        <v>3</v>
      </c>
      <c r="F1419" s="35">
        <v>4268.68</v>
      </c>
      <c r="G1419" s="36">
        <v>0.67</v>
      </c>
      <c r="H1419" s="35">
        <f t="shared" si="46"/>
        <v>12806.04</v>
      </c>
      <c r="I1419" s="37">
        <v>45506</v>
      </c>
      <c r="J1419" s="33" t="s">
        <v>15</v>
      </c>
      <c r="K1419" s="33" t="s">
        <v>23</v>
      </c>
      <c r="L1419" s="38">
        <f t="shared" si="47"/>
        <v>4225.9931999999999</v>
      </c>
      <c r="M1419" s="38">
        <v>1818.31</v>
      </c>
      <c r="N1419" s="24">
        <f>_xlfn.XLOOKUP(Snitch_Fashion_Sales_cleaned!$J1419,Table2[City],Table2[City_Key],"not found")</f>
        <v>1</v>
      </c>
      <c r="O1419" s="23">
        <f>_xlfn.XLOOKUP(Snitch_Fashion_Sales_cleaned!$D1419,Table4[Product_Name],Table4[Product_Key],"not found")</f>
        <v>16</v>
      </c>
      <c r="P1419" s="32">
        <f>_xlfn.XLOOKUP(Snitch_Fashion_Sales_cleaned!$I1419,Table3[Order_Date],Table3[Date_Key])</f>
        <v>178</v>
      </c>
    </row>
    <row r="1420" spans="1:16" x14ac:dyDescent="0.3">
      <c r="A1420" s="27">
        <v>2418</v>
      </c>
      <c r="B1420" s="25" t="s">
        <v>1453</v>
      </c>
      <c r="C1420" s="25" t="s">
        <v>20</v>
      </c>
      <c r="D1420" s="26" t="s">
        <v>84</v>
      </c>
      <c r="E1420" s="27">
        <v>3</v>
      </c>
      <c r="F1420" s="28">
        <v>3435.95</v>
      </c>
      <c r="G1420" s="29">
        <v>0.36</v>
      </c>
      <c r="H1420" s="28">
        <f t="shared" si="46"/>
        <v>10307.849999999999</v>
      </c>
      <c r="I1420" s="30">
        <v>45647</v>
      </c>
      <c r="J1420" s="26" t="s">
        <v>15</v>
      </c>
      <c r="K1420" s="26" t="s">
        <v>23</v>
      </c>
      <c r="L1420" s="31">
        <f t="shared" si="47"/>
        <v>6597.0239999999994</v>
      </c>
      <c r="M1420" s="31">
        <v>-77.180000000000007</v>
      </c>
      <c r="N1420" s="22">
        <f>_xlfn.XLOOKUP(Snitch_Fashion_Sales_cleaned!$J1420,Table2[City],Table2[City_Key],"not found")</f>
        <v>1</v>
      </c>
      <c r="O1420" s="21">
        <f>_xlfn.XLOOKUP(Snitch_Fashion_Sales_cleaned!$D1420,Table4[Product_Name],Table4[Product_Key],"not found")</f>
        <v>19</v>
      </c>
      <c r="P1420" s="25">
        <f>_xlfn.XLOOKUP(Snitch_Fashion_Sales_cleaned!$I1420,Table3[Order_Date],Table3[Date_Key])</f>
        <v>5</v>
      </c>
    </row>
    <row r="1421" spans="1:16" x14ac:dyDescent="0.3">
      <c r="A1421" s="34">
        <v>2419</v>
      </c>
      <c r="B1421" s="32" t="s">
        <v>1454</v>
      </c>
      <c r="C1421" s="32" t="s">
        <v>25</v>
      </c>
      <c r="D1421" s="33" t="s">
        <v>62</v>
      </c>
      <c r="E1421" s="34">
        <v>2</v>
      </c>
      <c r="F1421" s="35">
        <v>1832.16</v>
      </c>
      <c r="G1421" s="36">
        <v>0.51</v>
      </c>
      <c r="H1421" s="35">
        <f t="shared" si="46"/>
        <v>3664.32</v>
      </c>
      <c r="I1421" s="37">
        <v>45552</v>
      </c>
      <c r="J1421" s="33" t="s">
        <v>22</v>
      </c>
      <c r="K1421" s="33" t="s">
        <v>16</v>
      </c>
      <c r="L1421" s="38">
        <f t="shared" si="47"/>
        <v>1795.5168000000001</v>
      </c>
      <c r="M1421" s="38">
        <v>448.87920000000003</v>
      </c>
      <c r="N1421" s="24">
        <f>_xlfn.XLOOKUP(Snitch_Fashion_Sales_cleaned!$J1421,Table2[City],Table2[City_Key],"not found")</f>
        <v>3</v>
      </c>
      <c r="O1421" s="23">
        <f>_xlfn.XLOOKUP(Snitch_Fashion_Sales_cleaned!$D1421,Table4[Product_Name],Table4[Product_Key],"not found")</f>
        <v>14</v>
      </c>
      <c r="P1421" s="32">
        <f>_xlfn.XLOOKUP(Snitch_Fashion_Sales_cleaned!$I1421,Table3[Order_Date],Table3[Date_Key])</f>
        <v>310</v>
      </c>
    </row>
    <row r="1422" spans="1:16" x14ac:dyDescent="0.3">
      <c r="A1422" s="27">
        <v>2420</v>
      </c>
      <c r="B1422" s="25" t="s">
        <v>1455</v>
      </c>
      <c r="C1422" s="25" t="s">
        <v>20</v>
      </c>
      <c r="D1422" s="26" t="s">
        <v>76</v>
      </c>
      <c r="E1422" s="27">
        <v>3</v>
      </c>
      <c r="F1422" s="28">
        <v>3714.46</v>
      </c>
      <c r="G1422" s="29">
        <v>0.51</v>
      </c>
      <c r="H1422" s="28">
        <f t="shared" si="46"/>
        <v>11143.380000000001</v>
      </c>
      <c r="I1422" s="30">
        <v>45684</v>
      </c>
      <c r="J1422" s="26" t="s">
        <v>18</v>
      </c>
      <c r="K1422" s="26" t="s">
        <v>16</v>
      </c>
      <c r="L1422" s="31">
        <f t="shared" si="47"/>
        <v>5460.2562000000007</v>
      </c>
      <c r="M1422" s="31">
        <v>2452.7199999999998</v>
      </c>
      <c r="N1422" s="22">
        <f>_xlfn.XLOOKUP(Snitch_Fashion_Sales_cleaned!$J1422,Table2[City],Table2[City_Key],"not found")</f>
        <v>2</v>
      </c>
      <c r="O1422" s="21">
        <f>_xlfn.XLOOKUP(Snitch_Fashion_Sales_cleaned!$D1422,Table4[Product_Name],Table4[Product_Key],"not found")</f>
        <v>16</v>
      </c>
      <c r="P1422" s="25">
        <f>_xlfn.XLOOKUP(Snitch_Fashion_Sales_cleaned!$I1422,Table3[Order_Date],Table3[Date_Key])</f>
        <v>131</v>
      </c>
    </row>
    <row r="1423" spans="1:16" x14ac:dyDescent="0.3">
      <c r="A1423" s="34">
        <v>2421</v>
      </c>
      <c r="B1423" s="32" t="s">
        <v>1456</v>
      </c>
      <c r="C1423" s="32" t="s">
        <v>28</v>
      </c>
      <c r="D1423" s="33" t="s">
        <v>137</v>
      </c>
      <c r="E1423" s="34">
        <v>4</v>
      </c>
      <c r="F1423" s="35">
        <v>4411.3900000000003</v>
      </c>
      <c r="G1423" s="36">
        <v>0.51</v>
      </c>
      <c r="H1423" s="35">
        <f t="shared" si="46"/>
        <v>17645.560000000001</v>
      </c>
      <c r="I1423" s="37">
        <v>45516</v>
      </c>
      <c r="J1423" s="33" t="s">
        <v>52</v>
      </c>
      <c r="K1423" s="33" t="s">
        <v>23</v>
      </c>
      <c r="L1423" s="38">
        <f t="shared" si="47"/>
        <v>8646.3244000000013</v>
      </c>
      <c r="M1423" s="38">
        <v>-501.29</v>
      </c>
      <c r="N1423" s="24">
        <f>_xlfn.XLOOKUP(Snitch_Fashion_Sales_cleaned!$J1423,Table2[City],Table2[City_Key],"not found")</f>
        <v>5</v>
      </c>
      <c r="O1423" s="23">
        <f>_xlfn.XLOOKUP(Snitch_Fashion_Sales_cleaned!$D1423,Table4[Product_Name],Table4[Product_Key],"not found")</f>
        <v>24</v>
      </c>
      <c r="P1423" s="32">
        <f>_xlfn.XLOOKUP(Snitch_Fashion_Sales_cleaned!$I1423,Table3[Order_Date],Table3[Date_Key])</f>
        <v>299</v>
      </c>
    </row>
    <row r="1424" spans="1:16" x14ac:dyDescent="0.3">
      <c r="A1424" s="27">
        <v>2422</v>
      </c>
      <c r="B1424" s="25" t="s">
        <v>1457</v>
      </c>
      <c r="C1424" s="25" t="s">
        <v>31</v>
      </c>
      <c r="D1424" s="26" t="s">
        <v>41</v>
      </c>
      <c r="E1424" s="27">
        <v>3</v>
      </c>
      <c r="F1424" s="28">
        <v>3027.66</v>
      </c>
      <c r="G1424" s="29">
        <v>0.22</v>
      </c>
      <c r="H1424" s="28">
        <f t="shared" si="46"/>
        <v>9082.98</v>
      </c>
      <c r="I1424" s="30">
        <v>45536</v>
      </c>
      <c r="J1424" s="26" t="s">
        <v>2540</v>
      </c>
      <c r="K1424" s="26" t="s">
        <v>23</v>
      </c>
      <c r="L1424" s="31">
        <f t="shared" si="47"/>
        <v>7084.7244000000001</v>
      </c>
      <c r="M1424" s="31">
        <v>756.56</v>
      </c>
      <c r="N1424" s="22">
        <f>_xlfn.XLOOKUP(Snitch_Fashion_Sales_cleaned!$J1424,Table2[City],Table2[City_Key],"not found")</f>
        <v>4</v>
      </c>
      <c r="O1424" s="21">
        <f>_xlfn.XLOOKUP(Snitch_Fashion_Sales_cleaned!$D1424,Table4[Product_Name],Table4[Product_Key],"not found")</f>
        <v>9</v>
      </c>
      <c r="P1424" s="25">
        <f>_xlfn.XLOOKUP(Snitch_Fashion_Sales_cleaned!$I1424,Table3[Order_Date],Table3[Date_Key])</f>
        <v>473</v>
      </c>
    </row>
    <row r="1425" spans="1:16" x14ac:dyDescent="0.3">
      <c r="A1425" s="34">
        <v>2423</v>
      </c>
      <c r="B1425" s="32" t="s">
        <v>1458</v>
      </c>
      <c r="C1425" s="32" t="s">
        <v>25</v>
      </c>
      <c r="D1425" s="33" t="s">
        <v>50</v>
      </c>
      <c r="E1425" s="34">
        <v>4</v>
      </c>
      <c r="F1425" s="35">
        <v>2666.2200000000003</v>
      </c>
      <c r="G1425" s="36">
        <v>0.51</v>
      </c>
      <c r="H1425" s="35">
        <f t="shared" si="46"/>
        <v>10664.880000000001</v>
      </c>
      <c r="I1425" s="37">
        <v>45256</v>
      </c>
      <c r="J1425" s="33" t="s">
        <v>18</v>
      </c>
      <c r="K1425" s="33" t="s">
        <v>23</v>
      </c>
      <c r="L1425" s="38">
        <f t="shared" si="47"/>
        <v>5225.7912000000006</v>
      </c>
      <c r="M1425" s="38">
        <v>2661.66</v>
      </c>
      <c r="N1425" s="24">
        <f>_xlfn.XLOOKUP(Snitch_Fashion_Sales_cleaned!$J1425,Table2[City],Table2[City_Key],"not found")</f>
        <v>2</v>
      </c>
      <c r="O1425" s="23">
        <f>_xlfn.XLOOKUP(Snitch_Fashion_Sales_cleaned!$D1425,Table4[Product_Name],Table4[Product_Key],"not found")</f>
        <v>11</v>
      </c>
      <c r="P1425" s="32">
        <f>_xlfn.XLOOKUP(Snitch_Fashion_Sales_cleaned!$I1425,Table3[Order_Date],Table3[Date_Key])</f>
        <v>400</v>
      </c>
    </row>
    <row r="1426" spans="1:16" x14ac:dyDescent="0.3">
      <c r="A1426" s="27">
        <v>2424</v>
      </c>
      <c r="B1426" s="25" t="s">
        <v>1459</v>
      </c>
      <c r="C1426" s="25" t="s">
        <v>25</v>
      </c>
      <c r="D1426" s="26" t="s">
        <v>26</v>
      </c>
      <c r="E1426" s="27">
        <v>5</v>
      </c>
      <c r="F1426" s="28">
        <v>2476.15</v>
      </c>
      <c r="G1426" s="29">
        <v>0.51</v>
      </c>
      <c r="H1426" s="28">
        <f t="shared" si="46"/>
        <v>12380.75</v>
      </c>
      <c r="I1426" s="30">
        <v>45279</v>
      </c>
      <c r="J1426" s="26" t="s">
        <v>43</v>
      </c>
      <c r="K1426" s="26" t="s">
        <v>16</v>
      </c>
      <c r="L1426" s="31">
        <f t="shared" si="47"/>
        <v>6066.5675000000001</v>
      </c>
      <c r="M1426" s="31">
        <v>387.88</v>
      </c>
      <c r="N1426" s="22">
        <f>_xlfn.XLOOKUP(Snitch_Fashion_Sales_cleaned!$J1426,Table2[City],Table2[City_Key],"not found")</f>
        <v>6</v>
      </c>
      <c r="O1426" s="21">
        <f>_xlfn.XLOOKUP(Snitch_Fashion_Sales_cleaned!$D1426,Table4[Product_Name],Table4[Product_Key],"not found")</f>
        <v>3</v>
      </c>
      <c r="P1426" s="25">
        <f>_xlfn.XLOOKUP(Snitch_Fashion_Sales_cleaned!$I1426,Table3[Order_Date],Table3[Date_Key])</f>
        <v>474</v>
      </c>
    </row>
    <row r="1427" spans="1:16" x14ac:dyDescent="0.3">
      <c r="A1427" s="34">
        <v>2425</v>
      </c>
      <c r="B1427" s="32" t="s">
        <v>1460</v>
      </c>
      <c r="C1427" s="32" t="s">
        <v>36</v>
      </c>
      <c r="D1427" s="33" t="s">
        <v>59</v>
      </c>
      <c r="E1427" s="34">
        <v>3</v>
      </c>
      <c r="F1427" s="35">
        <v>2632.44</v>
      </c>
      <c r="G1427" s="36">
        <v>0.51</v>
      </c>
      <c r="H1427" s="35">
        <f t="shared" si="46"/>
        <v>7897.32</v>
      </c>
      <c r="I1427" s="37">
        <v>45591</v>
      </c>
      <c r="J1427" s="33" t="s">
        <v>43</v>
      </c>
      <c r="K1427" s="33" t="s">
        <v>23</v>
      </c>
      <c r="L1427" s="38">
        <f t="shared" si="47"/>
        <v>3869.6867999999999</v>
      </c>
      <c r="M1427" s="38">
        <v>2036.93</v>
      </c>
      <c r="N1427" s="24">
        <f>_xlfn.XLOOKUP(Snitch_Fashion_Sales_cleaned!$J1427,Table2[City],Table2[City_Key],"not found")</f>
        <v>6</v>
      </c>
      <c r="O1427" s="23">
        <f>_xlfn.XLOOKUP(Snitch_Fashion_Sales_cleaned!$D1427,Table4[Product_Name],Table4[Product_Key],"not found")</f>
        <v>13</v>
      </c>
      <c r="P1427" s="32">
        <f>_xlfn.XLOOKUP(Snitch_Fashion_Sales_cleaned!$I1427,Table3[Order_Date],Table3[Date_Key])</f>
        <v>12</v>
      </c>
    </row>
    <row r="1428" spans="1:16" x14ac:dyDescent="0.3">
      <c r="A1428" s="27">
        <v>2426</v>
      </c>
      <c r="B1428" s="25" t="s">
        <v>1461</v>
      </c>
      <c r="C1428" s="25" t="s">
        <v>20</v>
      </c>
      <c r="D1428" s="26" t="s">
        <v>76</v>
      </c>
      <c r="E1428" s="27">
        <v>3</v>
      </c>
      <c r="F1428" s="28">
        <v>2229.4899999999998</v>
      </c>
      <c r="G1428" s="29">
        <v>0.51</v>
      </c>
      <c r="H1428" s="28">
        <f t="shared" si="46"/>
        <v>6688.4699999999993</v>
      </c>
      <c r="I1428" s="30">
        <v>45844</v>
      </c>
      <c r="J1428" s="26" t="s">
        <v>15</v>
      </c>
      <c r="K1428" s="26" t="s">
        <v>23</v>
      </c>
      <c r="L1428" s="31">
        <f t="shared" si="47"/>
        <v>3277.3502999999996</v>
      </c>
      <c r="M1428" s="31">
        <v>261.68</v>
      </c>
      <c r="N1428" s="22">
        <f>_xlfn.XLOOKUP(Snitch_Fashion_Sales_cleaned!$J1428,Table2[City],Table2[City_Key],"not found")</f>
        <v>1</v>
      </c>
      <c r="O1428" s="21">
        <f>_xlfn.XLOOKUP(Snitch_Fashion_Sales_cleaned!$D1428,Table4[Product_Name],Table4[Product_Key],"not found")</f>
        <v>16</v>
      </c>
      <c r="P1428" s="25">
        <f>_xlfn.XLOOKUP(Snitch_Fashion_Sales_cleaned!$I1428,Table3[Order_Date],Table3[Date_Key])</f>
        <v>103</v>
      </c>
    </row>
    <row r="1429" spans="1:16" x14ac:dyDescent="0.3">
      <c r="A1429" s="34">
        <v>2427</v>
      </c>
      <c r="B1429" s="32" t="s">
        <v>1462</v>
      </c>
      <c r="C1429" s="32" t="s">
        <v>31</v>
      </c>
      <c r="D1429" s="33" t="s">
        <v>68</v>
      </c>
      <c r="E1429" s="34">
        <v>5</v>
      </c>
      <c r="F1429" s="35">
        <v>1510.89</v>
      </c>
      <c r="G1429" s="36">
        <v>0.51</v>
      </c>
      <c r="H1429" s="35">
        <f t="shared" si="46"/>
        <v>7554.4500000000007</v>
      </c>
      <c r="I1429" s="37">
        <v>45611</v>
      </c>
      <c r="J1429" s="33" t="s">
        <v>2540</v>
      </c>
      <c r="K1429" s="33" t="s">
        <v>23</v>
      </c>
      <c r="L1429" s="38">
        <f t="shared" si="47"/>
        <v>3701.6805000000004</v>
      </c>
      <c r="M1429" s="38">
        <v>2959.19</v>
      </c>
      <c r="N1429" s="24">
        <f>_xlfn.XLOOKUP(Snitch_Fashion_Sales_cleaned!$J1429,Table2[City],Table2[City_Key],"not found")</f>
        <v>4</v>
      </c>
      <c r="O1429" s="23">
        <f>_xlfn.XLOOKUP(Snitch_Fashion_Sales_cleaned!$D1429,Table4[Product_Name],Table4[Product_Key],"not found")</f>
        <v>15</v>
      </c>
      <c r="P1429" s="32">
        <f>_xlfn.XLOOKUP(Snitch_Fashion_Sales_cleaned!$I1429,Table3[Order_Date],Table3[Date_Key])</f>
        <v>27</v>
      </c>
    </row>
    <row r="1430" spans="1:16" x14ac:dyDescent="0.3">
      <c r="A1430" s="27">
        <v>2428</v>
      </c>
      <c r="B1430" s="25" t="s">
        <v>1463</v>
      </c>
      <c r="C1430" s="25" t="s">
        <v>25</v>
      </c>
      <c r="D1430" s="26" t="s">
        <v>26</v>
      </c>
      <c r="E1430" s="27">
        <v>4</v>
      </c>
      <c r="F1430" s="28">
        <v>2933.45</v>
      </c>
      <c r="G1430" s="29">
        <v>0.51</v>
      </c>
      <c r="H1430" s="28">
        <f t="shared" si="46"/>
        <v>11733.8</v>
      </c>
      <c r="I1430" s="30">
        <v>45674</v>
      </c>
      <c r="J1430" s="26" t="s">
        <v>15</v>
      </c>
      <c r="K1430" s="26" t="s">
        <v>23</v>
      </c>
      <c r="L1430" s="31">
        <f t="shared" si="47"/>
        <v>5749.5619999999999</v>
      </c>
      <c r="M1430" s="31">
        <v>1885.43</v>
      </c>
      <c r="N1430" s="22">
        <f>_xlfn.XLOOKUP(Snitch_Fashion_Sales_cleaned!$J1430,Table2[City],Table2[City_Key],"not found")</f>
        <v>1</v>
      </c>
      <c r="O1430" s="21">
        <f>_xlfn.XLOOKUP(Snitch_Fashion_Sales_cleaned!$D1430,Table4[Product_Name],Table4[Product_Key],"not found")</f>
        <v>3</v>
      </c>
      <c r="P1430" s="25">
        <f>_xlfn.XLOOKUP(Snitch_Fashion_Sales_cleaned!$I1430,Table3[Order_Date],Table3[Date_Key])</f>
        <v>475</v>
      </c>
    </row>
    <row r="1431" spans="1:16" x14ac:dyDescent="0.3">
      <c r="A1431" s="34">
        <v>2429</v>
      </c>
      <c r="B1431" s="32" t="s">
        <v>1464</v>
      </c>
      <c r="C1431" s="32" t="s">
        <v>25</v>
      </c>
      <c r="D1431" s="33" t="s">
        <v>26</v>
      </c>
      <c r="E1431" s="34">
        <v>4</v>
      </c>
      <c r="F1431" s="35">
        <v>4193.1000000000004</v>
      </c>
      <c r="G1431" s="36">
        <v>0.51</v>
      </c>
      <c r="H1431" s="35">
        <f t="shared" si="46"/>
        <v>16772.400000000001</v>
      </c>
      <c r="I1431" s="37">
        <v>45561</v>
      </c>
      <c r="J1431" s="33" t="s">
        <v>52</v>
      </c>
      <c r="K1431" s="33" t="s">
        <v>16</v>
      </c>
      <c r="L1431" s="38">
        <f t="shared" si="47"/>
        <v>8218.4760000000006</v>
      </c>
      <c r="M1431" s="38">
        <v>436.03</v>
      </c>
      <c r="N1431" s="24">
        <f>_xlfn.XLOOKUP(Snitch_Fashion_Sales_cleaned!$J1431,Table2[City],Table2[City_Key],"not found")</f>
        <v>5</v>
      </c>
      <c r="O1431" s="23">
        <f>_xlfn.XLOOKUP(Snitch_Fashion_Sales_cleaned!$D1431,Table4[Product_Name],Table4[Product_Key],"not found")</f>
        <v>3</v>
      </c>
      <c r="P1431" s="32">
        <f>_xlfn.XLOOKUP(Snitch_Fashion_Sales_cleaned!$I1431,Table3[Order_Date],Table3[Date_Key])</f>
        <v>190</v>
      </c>
    </row>
    <row r="1432" spans="1:16" x14ac:dyDescent="0.3">
      <c r="A1432" s="27">
        <v>2430</v>
      </c>
      <c r="B1432" s="25" t="s">
        <v>1465</v>
      </c>
      <c r="C1432" s="25" t="s">
        <v>13</v>
      </c>
      <c r="D1432" s="26" t="s">
        <v>98</v>
      </c>
      <c r="E1432" s="27">
        <v>5</v>
      </c>
      <c r="F1432" s="28">
        <v>3149.37</v>
      </c>
      <c r="G1432" s="29">
        <v>0.51</v>
      </c>
      <c r="H1432" s="28">
        <f t="shared" si="46"/>
        <v>15746.849999999999</v>
      </c>
      <c r="I1432" s="30">
        <v>45647</v>
      </c>
      <c r="J1432" s="26" t="s">
        <v>43</v>
      </c>
      <c r="K1432" s="26" t="s">
        <v>16</v>
      </c>
      <c r="L1432" s="31">
        <f t="shared" si="47"/>
        <v>7715.9564999999993</v>
      </c>
      <c r="M1432" s="31">
        <v>1094.4000000000001</v>
      </c>
      <c r="N1432" s="22">
        <f>_xlfn.XLOOKUP(Snitch_Fashion_Sales_cleaned!$J1432,Table2[City],Table2[City_Key],"not found")</f>
        <v>6</v>
      </c>
      <c r="O1432" s="21">
        <f>_xlfn.XLOOKUP(Snitch_Fashion_Sales_cleaned!$D1432,Table4[Product_Name],Table4[Product_Key],"not found")</f>
        <v>21</v>
      </c>
      <c r="P1432" s="25">
        <f>_xlfn.XLOOKUP(Snitch_Fashion_Sales_cleaned!$I1432,Table3[Order_Date],Table3[Date_Key])</f>
        <v>5</v>
      </c>
    </row>
    <row r="1433" spans="1:16" x14ac:dyDescent="0.3">
      <c r="A1433" s="34">
        <v>1006</v>
      </c>
      <c r="B1433" s="32" t="s">
        <v>351</v>
      </c>
      <c r="C1433" s="32" t="s">
        <v>20</v>
      </c>
      <c r="D1433" s="33" t="s">
        <v>118</v>
      </c>
      <c r="E1433" s="34">
        <v>3.5</v>
      </c>
      <c r="F1433" s="35">
        <v>714.5</v>
      </c>
      <c r="G1433" s="36">
        <v>0.72</v>
      </c>
      <c r="H1433" s="35">
        <f t="shared" si="46"/>
        <v>2500.75</v>
      </c>
      <c r="I1433" s="37">
        <v>45497</v>
      </c>
      <c r="J1433" s="33" t="s">
        <v>15</v>
      </c>
      <c r="K1433" s="33" t="s">
        <v>23</v>
      </c>
      <c r="L1433" s="38">
        <f t="shared" si="47"/>
        <v>700.21</v>
      </c>
      <c r="M1433" s="38">
        <v>-29.59</v>
      </c>
      <c r="N1433" s="24">
        <f>_xlfn.XLOOKUP(Snitch_Fashion_Sales_cleaned!$J1433,Table2[City],Table2[City_Key],"not found")</f>
        <v>1</v>
      </c>
      <c r="O1433" s="23">
        <f>_xlfn.XLOOKUP(Snitch_Fashion_Sales_cleaned!$D1433,Table4[Product_Name],Table4[Product_Key],"not found")</f>
        <v>23</v>
      </c>
      <c r="P1433" s="32">
        <f>_xlfn.XLOOKUP(Snitch_Fashion_Sales_cleaned!$I1433,Table3[Order_Date],Table3[Date_Key])</f>
        <v>449</v>
      </c>
    </row>
    <row r="1434" spans="1:16" x14ac:dyDescent="0.3">
      <c r="A1434" s="27">
        <v>2432</v>
      </c>
      <c r="B1434" s="25" t="s">
        <v>1466</v>
      </c>
      <c r="C1434" s="25" t="s">
        <v>20</v>
      </c>
      <c r="D1434" s="26" t="s">
        <v>84</v>
      </c>
      <c r="E1434" s="27">
        <v>1</v>
      </c>
      <c r="F1434" s="28">
        <v>2537.59</v>
      </c>
      <c r="G1434" s="29">
        <v>0.11</v>
      </c>
      <c r="H1434" s="28">
        <f t="shared" si="46"/>
        <v>2537.59</v>
      </c>
      <c r="I1434" s="30">
        <v>45647</v>
      </c>
      <c r="J1434" s="26" t="s">
        <v>22</v>
      </c>
      <c r="K1434" s="26" t="s">
        <v>23</v>
      </c>
      <c r="L1434" s="31">
        <f t="shared" si="47"/>
        <v>2258.4551000000001</v>
      </c>
      <c r="M1434" s="31">
        <v>564.61377500000003</v>
      </c>
      <c r="N1434" s="22">
        <f>_xlfn.XLOOKUP(Snitch_Fashion_Sales_cleaned!$J1434,Table2[City],Table2[City_Key],"not found")</f>
        <v>3</v>
      </c>
      <c r="O1434" s="21">
        <f>_xlfn.XLOOKUP(Snitch_Fashion_Sales_cleaned!$D1434,Table4[Product_Name],Table4[Product_Key],"not found")</f>
        <v>19</v>
      </c>
      <c r="P1434" s="25">
        <f>_xlfn.XLOOKUP(Snitch_Fashion_Sales_cleaned!$I1434,Table3[Order_Date],Table3[Date_Key])</f>
        <v>5</v>
      </c>
    </row>
    <row r="1435" spans="1:16" x14ac:dyDescent="0.3">
      <c r="A1435" s="34">
        <v>2433</v>
      </c>
      <c r="B1435" s="32" t="s">
        <v>1467</v>
      </c>
      <c r="C1435" s="32" t="s">
        <v>31</v>
      </c>
      <c r="D1435" s="33" t="s">
        <v>32</v>
      </c>
      <c r="E1435" s="34">
        <v>4</v>
      </c>
      <c r="F1435" s="35">
        <v>2489.1799999999998</v>
      </c>
      <c r="G1435" s="36">
        <v>0.51</v>
      </c>
      <c r="H1435" s="35">
        <f t="shared" si="46"/>
        <v>9956.7199999999993</v>
      </c>
      <c r="I1435" s="37">
        <v>45531</v>
      </c>
      <c r="J1435" s="33" t="s">
        <v>18</v>
      </c>
      <c r="K1435" s="33" t="s">
        <v>16</v>
      </c>
      <c r="L1435" s="38">
        <f t="shared" si="47"/>
        <v>4878.7927999999993</v>
      </c>
      <c r="M1435" s="38">
        <v>-22.68</v>
      </c>
      <c r="N1435" s="24">
        <f>_xlfn.XLOOKUP(Snitch_Fashion_Sales_cleaned!$J1435,Table2[City],Table2[City_Key],"not found")</f>
        <v>2</v>
      </c>
      <c r="O1435" s="23">
        <f>_xlfn.XLOOKUP(Snitch_Fashion_Sales_cleaned!$D1435,Table4[Product_Name],Table4[Product_Key],"not found")</f>
        <v>5</v>
      </c>
      <c r="P1435" s="32">
        <f>_xlfn.XLOOKUP(Snitch_Fashion_Sales_cleaned!$I1435,Table3[Order_Date],Table3[Date_Key])</f>
        <v>117</v>
      </c>
    </row>
    <row r="1436" spans="1:16" x14ac:dyDescent="0.3">
      <c r="A1436" s="27">
        <v>2434</v>
      </c>
      <c r="B1436" s="25" t="s">
        <v>1468</v>
      </c>
      <c r="C1436" s="25" t="s">
        <v>20</v>
      </c>
      <c r="D1436" s="26" t="s">
        <v>118</v>
      </c>
      <c r="E1436" s="27">
        <v>3.5</v>
      </c>
      <c r="F1436" s="28">
        <v>2752.99</v>
      </c>
      <c r="G1436" s="29">
        <v>0.51</v>
      </c>
      <c r="H1436" s="28">
        <f t="shared" si="46"/>
        <v>9635.4650000000001</v>
      </c>
      <c r="I1436" s="30">
        <v>45508</v>
      </c>
      <c r="J1436" s="26" t="s">
        <v>52</v>
      </c>
      <c r="K1436" s="26" t="s">
        <v>23</v>
      </c>
      <c r="L1436" s="31">
        <f t="shared" si="47"/>
        <v>4721.3778499999999</v>
      </c>
      <c r="M1436" s="31">
        <v>1953.07</v>
      </c>
      <c r="N1436" s="22">
        <f>_xlfn.XLOOKUP(Snitch_Fashion_Sales_cleaned!$J1436,Table2[City],Table2[City_Key],"not found")</f>
        <v>5</v>
      </c>
      <c r="O1436" s="21">
        <f>_xlfn.XLOOKUP(Snitch_Fashion_Sales_cleaned!$D1436,Table4[Product_Name],Table4[Product_Key],"not found")</f>
        <v>23</v>
      </c>
      <c r="P1436" s="25">
        <f>_xlfn.XLOOKUP(Snitch_Fashion_Sales_cleaned!$I1436,Table3[Order_Date],Table3[Date_Key])</f>
        <v>188</v>
      </c>
    </row>
    <row r="1437" spans="1:16" x14ac:dyDescent="0.3">
      <c r="A1437" s="34">
        <v>2435</v>
      </c>
      <c r="B1437" s="32" t="s">
        <v>1469</v>
      </c>
      <c r="C1437" s="32" t="s">
        <v>28</v>
      </c>
      <c r="D1437" s="33" t="s">
        <v>29</v>
      </c>
      <c r="E1437" s="34">
        <v>3</v>
      </c>
      <c r="F1437" s="35">
        <v>2515.415</v>
      </c>
      <c r="G1437" s="36">
        <v>0.51</v>
      </c>
      <c r="H1437" s="35">
        <f t="shared" si="46"/>
        <v>7546.2449999999999</v>
      </c>
      <c r="I1437" s="37">
        <v>45136</v>
      </c>
      <c r="J1437" s="33" t="s">
        <v>22</v>
      </c>
      <c r="K1437" s="33" t="s">
        <v>16</v>
      </c>
      <c r="L1437" s="38">
        <f t="shared" si="47"/>
        <v>3697.66005</v>
      </c>
      <c r="M1437" s="38">
        <v>2711.18</v>
      </c>
      <c r="N1437" s="24">
        <f>_xlfn.XLOOKUP(Snitch_Fashion_Sales_cleaned!$J1437,Table2[City],Table2[City_Key],"not found")</f>
        <v>3</v>
      </c>
      <c r="O1437" s="23">
        <f>_xlfn.XLOOKUP(Snitch_Fashion_Sales_cleaned!$D1437,Table4[Product_Name],Table4[Product_Key],"not found")</f>
        <v>4</v>
      </c>
      <c r="P1437" s="32">
        <f>_xlfn.XLOOKUP(Snitch_Fashion_Sales_cleaned!$I1437,Table3[Order_Date],Table3[Date_Key])</f>
        <v>145</v>
      </c>
    </row>
    <row r="1438" spans="1:16" x14ac:dyDescent="0.3">
      <c r="A1438" s="27">
        <v>2436</v>
      </c>
      <c r="B1438" s="25" t="s">
        <v>1470</v>
      </c>
      <c r="C1438" s="25" t="s">
        <v>31</v>
      </c>
      <c r="D1438" s="26" t="s">
        <v>41</v>
      </c>
      <c r="E1438" s="27">
        <v>3</v>
      </c>
      <c r="F1438" s="28">
        <v>3027.66</v>
      </c>
      <c r="G1438" s="29">
        <v>0.51</v>
      </c>
      <c r="H1438" s="28">
        <f t="shared" si="46"/>
        <v>9082.98</v>
      </c>
      <c r="I1438" s="30">
        <v>45647</v>
      </c>
      <c r="J1438" s="26" t="s">
        <v>52</v>
      </c>
      <c r="K1438" s="26" t="s">
        <v>23</v>
      </c>
      <c r="L1438" s="31">
        <f t="shared" si="47"/>
        <v>4450.6601999999993</v>
      </c>
      <c r="M1438" s="31">
        <v>2492.87</v>
      </c>
      <c r="N1438" s="22">
        <f>_xlfn.XLOOKUP(Snitch_Fashion_Sales_cleaned!$J1438,Table2[City],Table2[City_Key],"not found")</f>
        <v>5</v>
      </c>
      <c r="O1438" s="21">
        <f>_xlfn.XLOOKUP(Snitch_Fashion_Sales_cleaned!$D1438,Table4[Product_Name],Table4[Product_Key],"not found")</f>
        <v>9</v>
      </c>
      <c r="P1438" s="25">
        <f>_xlfn.XLOOKUP(Snitch_Fashion_Sales_cleaned!$I1438,Table3[Order_Date],Table3[Date_Key])</f>
        <v>5</v>
      </c>
    </row>
    <row r="1439" spans="1:16" x14ac:dyDescent="0.3">
      <c r="A1439" s="34">
        <v>2437</v>
      </c>
      <c r="B1439" s="32" t="s">
        <v>1471</v>
      </c>
      <c r="C1439" s="32" t="s">
        <v>31</v>
      </c>
      <c r="D1439" s="33" t="s">
        <v>32</v>
      </c>
      <c r="E1439" s="34">
        <v>1</v>
      </c>
      <c r="F1439" s="35">
        <v>1906.91</v>
      </c>
      <c r="G1439" s="36">
        <v>0.97</v>
      </c>
      <c r="H1439" s="35">
        <f t="shared" si="46"/>
        <v>1906.91</v>
      </c>
      <c r="I1439" s="37">
        <v>45647</v>
      </c>
      <c r="J1439" s="33" t="s">
        <v>18</v>
      </c>
      <c r="K1439" s="33" t="s">
        <v>23</v>
      </c>
      <c r="L1439" s="38">
        <f t="shared" si="47"/>
        <v>57.207300000000053</v>
      </c>
      <c r="M1439" s="38">
        <v>14.301825000000013</v>
      </c>
      <c r="N1439" s="24">
        <f>_xlfn.XLOOKUP(Snitch_Fashion_Sales_cleaned!$J1439,Table2[City],Table2[City_Key],"not found")</f>
        <v>2</v>
      </c>
      <c r="O1439" s="23">
        <f>_xlfn.XLOOKUP(Snitch_Fashion_Sales_cleaned!$D1439,Table4[Product_Name],Table4[Product_Key],"not found")</f>
        <v>5</v>
      </c>
      <c r="P1439" s="32">
        <f>_xlfn.XLOOKUP(Snitch_Fashion_Sales_cleaned!$I1439,Table3[Order_Date],Table3[Date_Key])</f>
        <v>5</v>
      </c>
    </row>
    <row r="1440" spans="1:16" x14ac:dyDescent="0.3">
      <c r="A1440" s="27">
        <v>2438</v>
      </c>
      <c r="B1440" s="25" t="s">
        <v>1472</v>
      </c>
      <c r="C1440" s="25" t="s">
        <v>31</v>
      </c>
      <c r="D1440" s="26" t="s">
        <v>78</v>
      </c>
      <c r="E1440" s="27">
        <v>5</v>
      </c>
      <c r="F1440" s="28">
        <v>2599.75</v>
      </c>
      <c r="G1440" s="29">
        <v>0.51</v>
      </c>
      <c r="H1440" s="28">
        <f t="shared" si="46"/>
        <v>12998.75</v>
      </c>
      <c r="I1440" s="30">
        <v>45365</v>
      </c>
      <c r="J1440" s="26" t="s">
        <v>52</v>
      </c>
      <c r="K1440" s="26" t="s">
        <v>23</v>
      </c>
      <c r="L1440" s="31">
        <f t="shared" si="47"/>
        <v>6369.3874999999998</v>
      </c>
      <c r="M1440" s="31">
        <v>1037.5</v>
      </c>
      <c r="N1440" s="22">
        <f>_xlfn.XLOOKUP(Snitch_Fashion_Sales_cleaned!$J1440,Table2[City],Table2[City_Key],"not found")</f>
        <v>5</v>
      </c>
      <c r="O1440" s="21">
        <f>_xlfn.XLOOKUP(Snitch_Fashion_Sales_cleaned!$D1440,Table4[Product_Name],Table4[Product_Key],"not found")</f>
        <v>17</v>
      </c>
      <c r="P1440" s="25">
        <f>_xlfn.XLOOKUP(Snitch_Fashion_Sales_cleaned!$I1440,Table3[Order_Date],Table3[Date_Key])</f>
        <v>399</v>
      </c>
    </row>
    <row r="1441" spans="1:16" x14ac:dyDescent="0.3">
      <c r="A1441" s="34">
        <v>2439</v>
      </c>
      <c r="B1441" s="32" t="s">
        <v>1473</v>
      </c>
      <c r="C1441" s="32" t="s">
        <v>28</v>
      </c>
      <c r="D1441" s="33" t="s">
        <v>137</v>
      </c>
      <c r="E1441" s="34">
        <v>3.5</v>
      </c>
      <c r="F1441" s="35">
        <v>2338.04</v>
      </c>
      <c r="G1441" s="36">
        <v>0.24</v>
      </c>
      <c r="H1441" s="35">
        <f t="shared" si="46"/>
        <v>8183.1399999999994</v>
      </c>
      <c r="I1441" s="37">
        <v>45562</v>
      </c>
      <c r="J1441" s="33" t="s">
        <v>15</v>
      </c>
      <c r="K1441" s="33" t="s">
        <v>16</v>
      </c>
      <c r="L1441" s="38">
        <f t="shared" si="47"/>
        <v>6219.1863999999996</v>
      </c>
      <c r="M1441" s="38">
        <v>-789.39</v>
      </c>
      <c r="N1441" s="24">
        <f>_xlfn.XLOOKUP(Snitch_Fashion_Sales_cleaned!$J1441,Table2[City],Table2[City_Key],"not found")</f>
        <v>1</v>
      </c>
      <c r="O1441" s="23">
        <f>_xlfn.XLOOKUP(Snitch_Fashion_Sales_cleaned!$D1441,Table4[Product_Name],Table4[Product_Key],"not found")</f>
        <v>24</v>
      </c>
      <c r="P1441" s="32">
        <f>_xlfn.XLOOKUP(Snitch_Fashion_Sales_cleaned!$I1441,Table3[Order_Date],Table3[Date_Key])</f>
        <v>337</v>
      </c>
    </row>
    <row r="1442" spans="1:16" x14ac:dyDescent="0.3">
      <c r="A1442" s="27">
        <v>2440</v>
      </c>
      <c r="B1442" s="25" t="s">
        <v>1474</v>
      </c>
      <c r="C1442" s="25" t="s">
        <v>31</v>
      </c>
      <c r="D1442" s="26" t="s">
        <v>68</v>
      </c>
      <c r="E1442" s="27">
        <v>4</v>
      </c>
      <c r="F1442" s="28">
        <v>3846.31</v>
      </c>
      <c r="G1442" s="29">
        <v>0.51</v>
      </c>
      <c r="H1442" s="28">
        <f t="shared" si="46"/>
        <v>15385.24</v>
      </c>
      <c r="I1442" s="30">
        <v>45539</v>
      </c>
      <c r="J1442" s="26" t="s">
        <v>43</v>
      </c>
      <c r="K1442" s="26" t="s">
        <v>23</v>
      </c>
      <c r="L1442" s="31">
        <f t="shared" si="47"/>
        <v>7538.7676000000001</v>
      </c>
      <c r="M1442" s="31">
        <v>381.13</v>
      </c>
      <c r="N1442" s="22">
        <f>_xlfn.XLOOKUP(Snitch_Fashion_Sales_cleaned!$J1442,Table2[City],Table2[City_Key],"not found")</f>
        <v>6</v>
      </c>
      <c r="O1442" s="21">
        <f>_xlfn.XLOOKUP(Snitch_Fashion_Sales_cleaned!$D1442,Table4[Product_Name],Table4[Product_Key],"not found")</f>
        <v>15</v>
      </c>
      <c r="P1442" s="25">
        <f>_xlfn.XLOOKUP(Snitch_Fashion_Sales_cleaned!$I1442,Table3[Order_Date],Table3[Date_Key])</f>
        <v>231</v>
      </c>
    </row>
    <row r="1443" spans="1:16" x14ac:dyDescent="0.3">
      <c r="A1443" s="34">
        <v>2441</v>
      </c>
      <c r="B1443" s="32" t="s">
        <v>1475</v>
      </c>
      <c r="C1443" s="32" t="s">
        <v>36</v>
      </c>
      <c r="D1443" s="33" t="s">
        <v>59</v>
      </c>
      <c r="E1443" s="34">
        <v>3</v>
      </c>
      <c r="F1443" s="35">
        <v>2765.26</v>
      </c>
      <c r="G1443" s="36">
        <v>0.81</v>
      </c>
      <c r="H1443" s="35">
        <f t="shared" si="46"/>
        <v>8295.7800000000007</v>
      </c>
      <c r="I1443" s="37">
        <v>45647</v>
      </c>
      <c r="J1443" s="33" t="s">
        <v>43</v>
      </c>
      <c r="K1443" s="33" t="s">
        <v>23</v>
      </c>
      <c r="L1443" s="38">
        <f t="shared" si="47"/>
        <v>1576.1981999999996</v>
      </c>
      <c r="M1443" s="38">
        <v>1220.9100000000001</v>
      </c>
      <c r="N1443" s="24">
        <f>_xlfn.XLOOKUP(Snitch_Fashion_Sales_cleaned!$J1443,Table2[City],Table2[City_Key],"not found")</f>
        <v>6</v>
      </c>
      <c r="O1443" s="23">
        <f>_xlfn.XLOOKUP(Snitch_Fashion_Sales_cleaned!$D1443,Table4[Product_Name],Table4[Product_Key],"not found")</f>
        <v>13</v>
      </c>
      <c r="P1443" s="32">
        <f>_xlfn.XLOOKUP(Snitch_Fashion_Sales_cleaned!$I1443,Table3[Order_Date],Table3[Date_Key])</f>
        <v>5</v>
      </c>
    </row>
    <row r="1444" spans="1:16" x14ac:dyDescent="0.3">
      <c r="A1444" s="27">
        <v>2442</v>
      </c>
      <c r="B1444" s="25" t="s">
        <v>1476</v>
      </c>
      <c r="C1444" s="25" t="s">
        <v>13</v>
      </c>
      <c r="D1444" s="26" t="s">
        <v>34</v>
      </c>
      <c r="E1444" s="27">
        <v>3</v>
      </c>
      <c r="F1444" s="28">
        <v>3008.6549999999997</v>
      </c>
      <c r="G1444" s="29">
        <v>0.51</v>
      </c>
      <c r="H1444" s="28">
        <f t="shared" si="46"/>
        <v>9025.9650000000001</v>
      </c>
      <c r="I1444" s="30">
        <v>45688</v>
      </c>
      <c r="J1444" s="26" t="s">
        <v>43</v>
      </c>
      <c r="K1444" s="26" t="s">
        <v>16</v>
      </c>
      <c r="L1444" s="31">
        <f t="shared" si="47"/>
        <v>4422.7228500000001</v>
      </c>
      <c r="M1444" s="31">
        <v>-937.17</v>
      </c>
      <c r="N1444" s="22">
        <f>_xlfn.XLOOKUP(Snitch_Fashion_Sales_cleaned!$J1444,Table2[City],Table2[City_Key],"not found")</f>
        <v>6</v>
      </c>
      <c r="O1444" s="21">
        <f>_xlfn.XLOOKUP(Snitch_Fashion_Sales_cleaned!$D1444,Table4[Product_Name],Table4[Product_Key],"not found")</f>
        <v>6</v>
      </c>
      <c r="P1444" s="25">
        <f>_xlfn.XLOOKUP(Snitch_Fashion_Sales_cleaned!$I1444,Table3[Order_Date],Table3[Date_Key])</f>
        <v>20</v>
      </c>
    </row>
    <row r="1445" spans="1:16" x14ac:dyDescent="0.3">
      <c r="A1445" s="34">
        <v>2443</v>
      </c>
      <c r="B1445" s="32" t="s">
        <v>1477</v>
      </c>
      <c r="C1445" s="32" t="s">
        <v>31</v>
      </c>
      <c r="D1445" s="33" t="s">
        <v>78</v>
      </c>
      <c r="E1445" s="34">
        <v>1</v>
      </c>
      <c r="F1445" s="35">
        <v>4981.8599999999997</v>
      </c>
      <c r="G1445" s="36">
        <v>0.51</v>
      </c>
      <c r="H1445" s="35">
        <f t="shared" si="46"/>
        <v>4981.8599999999997</v>
      </c>
      <c r="I1445" s="37">
        <v>45562</v>
      </c>
      <c r="J1445" s="33" t="s">
        <v>43</v>
      </c>
      <c r="K1445" s="33" t="s">
        <v>23</v>
      </c>
      <c r="L1445" s="38">
        <f t="shared" si="47"/>
        <v>2441.1113999999998</v>
      </c>
      <c r="M1445" s="38">
        <v>1410.16</v>
      </c>
      <c r="N1445" s="24">
        <f>_xlfn.XLOOKUP(Snitch_Fashion_Sales_cleaned!$J1445,Table2[City],Table2[City_Key],"not found")</f>
        <v>6</v>
      </c>
      <c r="O1445" s="23">
        <f>_xlfn.XLOOKUP(Snitch_Fashion_Sales_cleaned!$D1445,Table4[Product_Name],Table4[Product_Key],"not found")</f>
        <v>17</v>
      </c>
      <c r="P1445" s="32">
        <f>_xlfn.XLOOKUP(Snitch_Fashion_Sales_cleaned!$I1445,Table3[Order_Date],Table3[Date_Key])</f>
        <v>337</v>
      </c>
    </row>
    <row r="1446" spans="1:16" x14ac:dyDescent="0.3">
      <c r="A1446" s="27">
        <v>2444</v>
      </c>
      <c r="B1446" s="25" t="s">
        <v>1478</v>
      </c>
      <c r="C1446" s="25" t="s">
        <v>13</v>
      </c>
      <c r="D1446" s="26" t="s">
        <v>34</v>
      </c>
      <c r="E1446" s="27">
        <v>3</v>
      </c>
      <c r="F1446" s="28">
        <v>3470.88</v>
      </c>
      <c r="G1446" s="29">
        <v>0.51</v>
      </c>
      <c r="H1446" s="28">
        <f t="shared" si="46"/>
        <v>10412.64</v>
      </c>
      <c r="I1446" s="30">
        <v>45647</v>
      </c>
      <c r="J1446" s="26" t="s">
        <v>43</v>
      </c>
      <c r="K1446" s="26" t="s">
        <v>23</v>
      </c>
      <c r="L1446" s="31">
        <f t="shared" si="47"/>
        <v>5102.1935999999996</v>
      </c>
      <c r="M1446" s="31">
        <v>638.83000000000004</v>
      </c>
      <c r="N1446" s="22">
        <f>_xlfn.XLOOKUP(Snitch_Fashion_Sales_cleaned!$J1446,Table2[City],Table2[City_Key],"not found")</f>
        <v>6</v>
      </c>
      <c r="O1446" s="21">
        <f>_xlfn.XLOOKUP(Snitch_Fashion_Sales_cleaned!$D1446,Table4[Product_Name],Table4[Product_Key],"not found")</f>
        <v>6</v>
      </c>
      <c r="P1446" s="25">
        <f>_xlfn.XLOOKUP(Snitch_Fashion_Sales_cleaned!$I1446,Table3[Order_Date],Table3[Date_Key])</f>
        <v>5</v>
      </c>
    </row>
    <row r="1447" spans="1:16" x14ac:dyDescent="0.3">
      <c r="A1447" s="34">
        <v>2445</v>
      </c>
      <c r="B1447" s="32" t="s">
        <v>1479</v>
      </c>
      <c r="C1447" s="32" t="s">
        <v>28</v>
      </c>
      <c r="D1447" s="33" t="s">
        <v>137</v>
      </c>
      <c r="E1447" s="34">
        <v>3.5</v>
      </c>
      <c r="F1447" s="35">
        <v>2282.02</v>
      </c>
      <c r="G1447" s="36">
        <v>0.51</v>
      </c>
      <c r="H1447" s="35">
        <f t="shared" si="46"/>
        <v>7987.07</v>
      </c>
      <c r="I1447" s="37">
        <v>45658</v>
      </c>
      <c r="J1447" s="33" t="s">
        <v>22</v>
      </c>
      <c r="K1447" s="33" t="s">
        <v>16</v>
      </c>
      <c r="L1447" s="38">
        <f t="shared" si="47"/>
        <v>3913.6642999999999</v>
      </c>
      <c r="M1447" s="38">
        <v>555.12</v>
      </c>
      <c r="N1447" s="24">
        <f>_xlfn.XLOOKUP(Snitch_Fashion_Sales_cleaned!$J1447,Table2[City],Table2[City_Key],"not found")</f>
        <v>3</v>
      </c>
      <c r="O1447" s="23">
        <f>_xlfn.XLOOKUP(Snitch_Fashion_Sales_cleaned!$D1447,Table4[Product_Name],Table4[Product_Key],"not found")</f>
        <v>24</v>
      </c>
      <c r="P1447" s="32">
        <f>_xlfn.XLOOKUP(Snitch_Fashion_Sales_cleaned!$I1447,Table3[Order_Date],Table3[Date_Key])</f>
        <v>352</v>
      </c>
    </row>
    <row r="1448" spans="1:16" x14ac:dyDescent="0.3">
      <c r="A1448" s="27">
        <v>1009</v>
      </c>
      <c r="B1448" s="25" t="s">
        <v>1424</v>
      </c>
      <c r="C1448" s="25" t="s">
        <v>13</v>
      </c>
      <c r="D1448" s="26" t="s">
        <v>98</v>
      </c>
      <c r="E1448" s="27">
        <v>6</v>
      </c>
      <c r="F1448" s="28">
        <v>2750.33</v>
      </c>
      <c r="G1448" s="29">
        <v>0.51</v>
      </c>
      <c r="H1448" s="28">
        <f t="shared" si="46"/>
        <v>16501.98</v>
      </c>
      <c r="I1448" s="30">
        <v>45606</v>
      </c>
      <c r="J1448" s="26" t="s">
        <v>2540</v>
      </c>
      <c r="K1448" s="26" t="s">
        <v>16</v>
      </c>
      <c r="L1448" s="31">
        <f t="shared" si="47"/>
        <v>8085.9701999999997</v>
      </c>
      <c r="M1448" s="31">
        <v>2936.21</v>
      </c>
      <c r="N1448" s="22">
        <f>_xlfn.XLOOKUP(Snitch_Fashion_Sales_cleaned!$J1448,Table2[City],Table2[City_Key],"not found")</f>
        <v>4</v>
      </c>
      <c r="O1448" s="21">
        <f>_xlfn.XLOOKUP(Snitch_Fashion_Sales_cleaned!$D1448,Table4[Product_Name],Table4[Product_Key],"not found")</f>
        <v>21</v>
      </c>
      <c r="P1448" s="25">
        <f>_xlfn.XLOOKUP(Snitch_Fashion_Sales_cleaned!$I1448,Table3[Order_Date],Table3[Date_Key])</f>
        <v>278</v>
      </c>
    </row>
    <row r="1449" spans="1:16" x14ac:dyDescent="0.3">
      <c r="A1449" s="34">
        <v>2447</v>
      </c>
      <c r="B1449" s="32" t="s">
        <v>1480</v>
      </c>
      <c r="C1449" s="32" t="s">
        <v>36</v>
      </c>
      <c r="D1449" s="33" t="s">
        <v>55</v>
      </c>
      <c r="E1449" s="34">
        <v>6</v>
      </c>
      <c r="F1449" s="35">
        <v>1773.3</v>
      </c>
      <c r="G1449" s="36">
        <v>0.51</v>
      </c>
      <c r="H1449" s="35">
        <f t="shared" si="46"/>
        <v>10639.8</v>
      </c>
      <c r="I1449" s="37">
        <v>45607</v>
      </c>
      <c r="J1449" s="33" t="s">
        <v>52</v>
      </c>
      <c r="K1449" s="33" t="s">
        <v>23</v>
      </c>
      <c r="L1449" s="38">
        <f t="shared" si="47"/>
        <v>5213.5019999999995</v>
      </c>
      <c r="M1449" s="38">
        <v>2073.35</v>
      </c>
      <c r="N1449" s="24">
        <f>_xlfn.XLOOKUP(Snitch_Fashion_Sales_cleaned!$J1449,Table2[City],Table2[City_Key],"not found")</f>
        <v>5</v>
      </c>
      <c r="O1449" s="23">
        <f>_xlfn.XLOOKUP(Snitch_Fashion_Sales_cleaned!$D1449,Table4[Product_Name],Table4[Product_Key],"not found")</f>
        <v>12</v>
      </c>
      <c r="P1449" s="32">
        <f>_xlfn.XLOOKUP(Snitch_Fashion_Sales_cleaned!$I1449,Table3[Order_Date],Table3[Date_Key])</f>
        <v>104</v>
      </c>
    </row>
    <row r="1450" spans="1:16" x14ac:dyDescent="0.3">
      <c r="A1450" s="27">
        <v>2448</v>
      </c>
      <c r="B1450" s="25" t="s">
        <v>1481</v>
      </c>
      <c r="C1450" s="25" t="s">
        <v>20</v>
      </c>
      <c r="D1450" s="26" t="s">
        <v>84</v>
      </c>
      <c r="E1450" s="27">
        <v>3</v>
      </c>
      <c r="F1450" s="28">
        <v>2537.59</v>
      </c>
      <c r="G1450" s="29">
        <v>0.51</v>
      </c>
      <c r="H1450" s="28">
        <f t="shared" si="46"/>
        <v>7612.77</v>
      </c>
      <c r="I1450" s="30">
        <v>45844</v>
      </c>
      <c r="J1450" s="26" t="s">
        <v>15</v>
      </c>
      <c r="K1450" s="26" t="s">
        <v>16</v>
      </c>
      <c r="L1450" s="31">
        <f t="shared" si="47"/>
        <v>3730.2573000000002</v>
      </c>
      <c r="M1450" s="31">
        <v>-244.83</v>
      </c>
      <c r="N1450" s="22">
        <f>_xlfn.XLOOKUP(Snitch_Fashion_Sales_cleaned!$J1450,Table2[City],Table2[City_Key],"not found")</f>
        <v>1</v>
      </c>
      <c r="O1450" s="21">
        <f>_xlfn.XLOOKUP(Snitch_Fashion_Sales_cleaned!$D1450,Table4[Product_Name],Table4[Product_Key],"not found")</f>
        <v>19</v>
      </c>
      <c r="P1450" s="25">
        <f>_xlfn.XLOOKUP(Snitch_Fashion_Sales_cleaned!$I1450,Table3[Order_Date],Table3[Date_Key])</f>
        <v>103</v>
      </c>
    </row>
    <row r="1451" spans="1:16" x14ac:dyDescent="0.3">
      <c r="A1451" s="34">
        <v>2449</v>
      </c>
      <c r="B1451" s="32" t="s">
        <v>1482</v>
      </c>
      <c r="C1451" s="32" t="s">
        <v>25</v>
      </c>
      <c r="D1451" s="33" t="s">
        <v>82</v>
      </c>
      <c r="E1451" s="34">
        <v>3</v>
      </c>
      <c r="F1451" s="35">
        <v>2344.38</v>
      </c>
      <c r="G1451" s="36">
        <v>0.51</v>
      </c>
      <c r="H1451" s="35">
        <f t="shared" si="46"/>
        <v>7033.14</v>
      </c>
      <c r="I1451" s="37">
        <v>45647</v>
      </c>
      <c r="J1451" s="33" t="s">
        <v>22</v>
      </c>
      <c r="K1451" s="33" t="s">
        <v>23</v>
      </c>
      <c r="L1451" s="38">
        <f t="shared" si="47"/>
        <v>3446.2386000000001</v>
      </c>
      <c r="M1451" s="38">
        <v>419.95</v>
      </c>
      <c r="N1451" s="24">
        <f>_xlfn.XLOOKUP(Snitch_Fashion_Sales_cleaned!$J1451,Table2[City],Table2[City_Key],"not found")</f>
        <v>3</v>
      </c>
      <c r="O1451" s="23">
        <f>_xlfn.XLOOKUP(Snitch_Fashion_Sales_cleaned!$D1451,Table4[Product_Name],Table4[Product_Key],"not found")</f>
        <v>18</v>
      </c>
      <c r="P1451" s="32">
        <f>_xlfn.XLOOKUP(Snitch_Fashion_Sales_cleaned!$I1451,Table3[Order_Date],Table3[Date_Key])</f>
        <v>5</v>
      </c>
    </row>
    <row r="1452" spans="1:16" x14ac:dyDescent="0.3">
      <c r="A1452" s="27">
        <v>2450</v>
      </c>
      <c r="B1452" s="25" t="s">
        <v>1483</v>
      </c>
      <c r="C1452" s="25" t="s">
        <v>28</v>
      </c>
      <c r="D1452" s="26" t="s">
        <v>137</v>
      </c>
      <c r="E1452" s="27">
        <v>2</v>
      </c>
      <c r="F1452" s="28">
        <v>3333.87</v>
      </c>
      <c r="G1452" s="29">
        <v>0.51</v>
      </c>
      <c r="H1452" s="28">
        <f t="shared" si="46"/>
        <v>6667.74</v>
      </c>
      <c r="I1452" s="30">
        <v>45782</v>
      </c>
      <c r="J1452" s="26" t="s">
        <v>18</v>
      </c>
      <c r="K1452" s="26" t="s">
        <v>23</v>
      </c>
      <c r="L1452" s="31">
        <f t="shared" si="47"/>
        <v>3267.1925999999999</v>
      </c>
      <c r="M1452" s="31">
        <v>1673.63</v>
      </c>
      <c r="N1452" s="22">
        <f>_xlfn.XLOOKUP(Snitch_Fashion_Sales_cleaned!$J1452,Table2[City],Table2[City_Key],"not found")</f>
        <v>2</v>
      </c>
      <c r="O1452" s="21">
        <f>_xlfn.XLOOKUP(Snitch_Fashion_Sales_cleaned!$D1452,Table4[Product_Name],Table4[Product_Key],"not found")</f>
        <v>24</v>
      </c>
      <c r="P1452" s="25">
        <f>_xlfn.XLOOKUP(Snitch_Fashion_Sales_cleaned!$I1452,Table3[Order_Date],Table3[Date_Key])</f>
        <v>80</v>
      </c>
    </row>
    <row r="1453" spans="1:16" x14ac:dyDescent="0.3">
      <c r="A1453" s="34">
        <v>2451</v>
      </c>
      <c r="B1453" s="32" t="s">
        <v>1484</v>
      </c>
      <c r="C1453" s="32" t="s">
        <v>25</v>
      </c>
      <c r="D1453" s="33" t="s">
        <v>82</v>
      </c>
      <c r="E1453" s="34">
        <v>3</v>
      </c>
      <c r="F1453" s="35">
        <v>2385.5749999999998</v>
      </c>
      <c r="G1453" s="36">
        <v>0.51</v>
      </c>
      <c r="H1453" s="35">
        <f t="shared" si="46"/>
        <v>7156.7249999999995</v>
      </c>
      <c r="I1453" s="37">
        <v>45535</v>
      </c>
      <c r="J1453" s="33" t="s">
        <v>18</v>
      </c>
      <c r="K1453" s="33" t="s">
        <v>23</v>
      </c>
      <c r="L1453" s="38">
        <f t="shared" si="47"/>
        <v>3506.7952499999997</v>
      </c>
      <c r="M1453" s="38">
        <v>1177.96</v>
      </c>
      <c r="N1453" s="24">
        <f>_xlfn.XLOOKUP(Snitch_Fashion_Sales_cleaned!$J1453,Table2[City],Table2[City_Key],"not found")</f>
        <v>2</v>
      </c>
      <c r="O1453" s="23">
        <f>_xlfn.XLOOKUP(Snitch_Fashion_Sales_cleaned!$D1453,Table4[Product_Name],Table4[Product_Key],"not found")</f>
        <v>18</v>
      </c>
      <c r="P1453" s="32">
        <f>_xlfn.XLOOKUP(Snitch_Fashion_Sales_cleaned!$I1453,Table3[Order_Date],Table3[Date_Key])</f>
        <v>476</v>
      </c>
    </row>
    <row r="1454" spans="1:16" x14ac:dyDescent="0.3">
      <c r="A1454" s="27">
        <v>1011</v>
      </c>
      <c r="B1454" s="25" t="s">
        <v>1485</v>
      </c>
      <c r="C1454" s="25" t="s">
        <v>28</v>
      </c>
      <c r="D1454" s="26" t="s">
        <v>39</v>
      </c>
      <c r="E1454" s="27">
        <v>3</v>
      </c>
      <c r="F1454" s="28">
        <v>2577.6350000000002</v>
      </c>
      <c r="G1454" s="29">
        <v>0.51</v>
      </c>
      <c r="H1454" s="28">
        <f t="shared" si="46"/>
        <v>7732.9050000000007</v>
      </c>
      <c r="I1454" s="30">
        <v>45647</v>
      </c>
      <c r="J1454" s="26" t="s">
        <v>22</v>
      </c>
      <c r="K1454" s="26" t="s">
        <v>23</v>
      </c>
      <c r="L1454" s="31">
        <f t="shared" si="47"/>
        <v>3789.12345</v>
      </c>
      <c r="M1454" s="31">
        <v>-360.37</v>
      </c>
      <c r="N1454" s="22">
        <f>_xlfn.XLOOKUP(Snitch_Fashion_Sales_cleaned!$J1454,Table2[City],Table2[City_Key],"not found")</f>
        <v>3</v>
      </c>
      <c r="O1454" s="21">
        <f>_xlfn.XLOOKUP(Snitch_Fashion_Sales_cleaned!$D1454,Table4[Product_Name],Table4[Product_Key],"not found")</f>
        <v>8</v>
      </c>
      <c r="P1454" s="25">
        <f>_xlfn.XLOOKUP(Snitch_Fashion_Sales_cleaned!$I1454,Table3[Order_Date],Table3[Date_Key])</f>
        <v>5</v>
      </c>
    </row>
    <row r="1455" spans="1:16" x14ac:dyDescent="0.3">
      <c r="A1455" s="34">
        <v>2453</v>
      </c>
      <c r="B1455" s="32" t="s">
        <v>1486</v>
      </c>
      <c r="C1455" s="32" t="s">
        <v>13</v>
      </c>
      <c r="D1455" s="33" t="s">
        <v>14</v>
      </c>
      <c r="E1455" s="34">
        <v>4</v>
      </c>
      <c r="F1455" s="35">
        <v>2366.6149999999998</v>
      </c>
      <c r="G1455" s="36">
        <v>0.72</v>
      </c>
      <c r="H1455" s="35">
        <f t="shared" si="46"/>
        <v>9466.4599999999991</v>
      </c>
      <c r="I1455" s="37">
        <v>45441</v>
      </c>
      <c r="J1455" s="33" t="s">
        <v>52</v>
      </c>
      <c r="K1455" s="33" t="s">
        <v>23</v>
      </c>
      <c r="L1455" s="38">
        <f t="shared" si="47"/>
        <v>2650.6088</v>
      </c>
      <c r="M1455" s="38">
        <v>382.31</v>
      </c>
      <c r="N1455" s="24">
        <f>_xlfn.XLOOKUP(Snitch_Fashion_Sales_cleaned!$J1455,Table2[City],Table2[City_Key],"not found")</f>
        <v>5</v>
      </c>
      <c r="O1455" s="23">
        <f>_xlfn.XLOOKUP(Snitch_Fashion_Sales_cleaned!$D1455,Table4[Product_Name],Table4[Product_Key],"not found")</f>
        <v>1</v>
      </c>
      <c r="P1455" s="32">
        <f>_xlfn.XLOOKUP(Snitch_Fashion_Sales_cleaned!$I1455,Table3[Order_Date],Table3[Date_Key])</f>
        <v>477</v>
      </c>
    </row>
    <row r="1456" spans="1:16" x14ac:dyDescent="0.3">
      <c r="A1456" s="27">
        <v>2454</v>
      </c>
      <c r="B1456" s="25" t="s">
        <v>1487</v>
      </c>
      <c r="C1456" s="25" t="s">
        <v>31</v>
      </c>
      <c r="D1456" s="26" t="s">
        <v>32</v>
      </c>
      <c r="E1456" s="27">
        <v>3</v>
      </c>
      <c r="F1456" s="28">
        <v>2001.5500000000002</v>
      </c>
      <c r="G1456" s="29">
        <v>0.51</v>
      </c>
      <c r="H1456" s="28">
        <f t="shared" si="46"/>
        <v>6004.6500000000005</v>
      </c>
      <c r="I1456" s="30">
        <v>45647</v>
      </c>
      <c r="J1456" s="26" t="s">
        <v>2540</v>
      </c>
      <c r="K1456" s="26" t="s">
        <v>23</v>
      </c>
      <c r="L1456" s="31">
        <f t="shared" si="47"/>
        <v>2942.2785000000003</v>
      </c>
      <c r="M1456" s="31">
        <v>1961.19</v>
      </c>
      <c r="N1456" s="22">
        <f>_xlfn.XLOOKUP(Snitch_Fashion_Sales_cleaned!$J1456,Table2[City],Table2[City_Key],"not found")</f>
        <v>4</v>
      </c>
      <c r="O1456" s="21">
        <f>_xlfn.XLOOKUP(Snitch_Fashion_Sales_cleaned!$D1456,Table4[Product_Name],Table4[Product_Key],"not found")</f>
        <v>5</v>
      </c>
      <c r="P1456" s="25">
        <f>_xlfn.XLOOKUP(Snitch_Fashion_Sales_cleaned!$I1456,Table3[Order_Date],Table3[Date_Key])</f>
        <v>5</v>
      </c>
    </row>
    <row r="1457" spans="1:16" x14ac:dyDescent="0.3">
      <c r="A1457" s="34">
        <v>2455</v>
      </c>
      <c r="B1457" s="32" t="s">
        <v>1488</v>
      </c>
      <c r="C1457" s="32" t="s">
        <v>25</v>
      </c>
      <c r="D1457" s="33" t="s">
        <v>50</v>
      </c>
      <c r="E1457" s="34">
        <v>4</v>
      </c>
      <c r="F1457" s="35">
        <v>2666.2200000000003</v>
      </c>
      <c r="G1457" s="36">
        <v>0.51</v>
      </c>
      <c r="H1457" s="35">
        <f t="shared" si="46"/>
        <v>10664.880000000001</v>
      </c>
      <c r="I1457" s="37">
        <v>45647</v>
      </c>
      <c r="J1457" s="33" t="s">
        <v>43</v>
      </c>
      <c r="K1457" s="33" t="s">
        <v>23</v>
      </c>
      <c r="L1457" s="38">
        <f t="shared" si="47"/>
        <v>5225.7912000000006</v>
      </c>
      <c r="M1457" s="38">
        <v>2153.0100000000002</v>
      </c>
      <c r="N1457" s="24">
        <f>_xlfn.XLOOKUP(Snitch_Fashion_Sales_cleaned!$J1457,Table2[City],Table2[City_Key],"not found")</f>
        <v>6</v>
      </c>
      <c r="O1457" s="23">
        <f>_xlfn.XLOOKUP(Snitch_Fashion_Sales_cleaned!$D1457,Table4[Product_Name],Table4[Product_Key],"not found")</f>
        <v>11</v>
      </c>
      <c r="P1457" s="32">
        <f>_xlfn.XLOOKUP(Snitch_Fashion_Sales_cleaned!$I1457,Table3[Order_Date],Table3[Date_Key])</f>
        <v>5</v>
      </c>
    </row>
    <row r="1458" spans="1:16" x14ac:dyDescent="0.3">
      <c r="A1458" s="27">
        <v>2456</v>
      </c>
      <c r="B1458" s="25" t="s">
        <v>1489</v>
      </c>
      <c r="C1458" s="25" t="s">
        <v>28</v>
      </c>
      <c r="D1458" s="26" t="s">
        <v>137</v>
      </c>
      <c r="E1458" s="27">
        <v>3.5</v>
      </c>
      <c r="F1458" s="28">
        <v>889.88</v>
      </c>
      <c r="G1458" s="29">
        <v>0.51</v>
      </c>
      <c r="H1458" s="28">
        <f t="shared" si="46"/>
        <v>3114.58</v>
      </c>
      <c r="I1458" s="30">
        <v>45706</v>
      </c>
      <c r="J1458" s="26" t="s">
        <v>18</v>
      </c>
      <c r="K1458" s="26" t="s">
        <v>23</v>
      </c>
      <c r="L1458" s="31">
        <f t="shared" si="47"/>
        <v>1526.1442</v>
      </c>
      <c r="M1458" s="31">
        <v>381.53604999999999</v>
      </c>
      <c r="N1458" s="22">
        <f>_xlfn.XLOOKUP(Snitch_Fashion_Sales_cleaned!$J1458,Table2[City],Table2[City_Key],"not found")</f>
        <v>2</v>
      </c>
      <c r="O1458" s="21">
        <f>_xlfn.XLOOKUP(Snitch_Fashion_Sales_cleaned!$D1458,Table4[Product_Name],Table4[Product_Key],"not found")</f>
        <v>24</v>
      </c>
      <c r="P1458" s="25">
        <f>_xlfn.XLOOKUP(Snitch_Fashion_Sales_cleaned!$I1458,Table3[Order_Date],Table3[Date_Key])</f>
        <v>76</v>
      </c>
    </row>
    <row r="1459" spans="1:16" x14ac:dyDescent="0.3">
      <c r="A1459" s="34">
        <v>2457</v>
      </c>
      <c r="B1459" s="32" t="s">
        <v>1490</v>
      </c>
      <c r="C1459" s="32" t="s">
        <v>20</v>
      </c>
      <c r="D1459" s="33" t="s">
        <v>118</v>
      </c>
      <c r="E1459" s="34">
        <v>6</v>
      </c>
      <c r="F1459" s="35">
        <v>2752.99</v>
      </c>
      <c r="G1459" s="36">
        <v>0.51</v>
      </c>
      <c r="H1459" s="35">
        <f t="shared" si="46"/>
        <v>16517.939999999999</v>
      </c>
      <c r="I1459" s="37">
        <v>45550</v>
      </c>
      <c r="J1459" s="33" t="s">
        <v>15</v>
      </c>
      <c r="K1459" s="33" t="s">
        <v>16</v>
      </c>
      <c r="L1459" s="38">
        <f t="shared" si="47"/>
        <v>8093.7905999999994</v>
      </c>
      <c r="M1459" s="38">
        <v>179.36</v>
      </c>
      <c r="N1459" s="24">
        <f>_xlfn.XLOOKUP(Snitch_Fashion_Sales_cleaned!$J1459,Table2[City],Table2[City_Key],"not found")</f>
        <v>1</v>
      </c>
      <c r="O1459" s="23">
        <f>_xlfn.XLOOKUP(Snitch_Fashion_Sales_cleaned!$D1459,Table4[Product_Name],Table4[Product_Key],"not found")</f>
        <v>23</v>
      </c>
      <c r="P1459" s="32">
        <f>_xlfn.XLOOKUP(Snitch_Fashion_Sales_cleaned!$I1459,Table3[Order_Date],Table3[Date_Key])</f>
        <v>429</v>
      </c>
    </row>
    <row r="1460" spans="1:16" x14ac:dyDescent="0.3">
      <c r="A1460" s="27">
        <v>2458</v>
      </c>
      <c r="B1460" s="25" t="s">
        <v>1491</v>
      </c>
      <c r="C1460" s="25" t="s">
        <v>31</v>
      </c>
      <c r="D1460" s="26" t="s">
        <v>41</v>
      </c>
      <c r="E1460" s="27">
        <v>3</v>
      </c>
      <c r="F1460" s="28">
        <v>3027.66</v>
      </c>
      <c r="G1460" s="29">
        <v>0.64</v>
      </c>
      <c r="H1460" s="28">
        <f t="shared" si="46"/>
        <v>9082.98</v>
      </c>
      <c r="I1460" s="30">
        <v>45606</v>
      </c>
      <c r="J1460" s="26" t="s">
        <v>15</v>
      </c>
      <c r="K1460" s="26" t="s">
        <v>23</v>
      </c>
      <c r="L1460" s="31">
        <f t="shared" si="47"/>
        <v>3269.8727999999996</v>
      </c>
      <c r="M1460" s="31">
        <v>163.69</v>
      </c>
      <c r="N1460" s="22">
        <f>_xlfn.XLOOKUP(Snitch_Fashion_Sales_cleaned!$J1460,Table2[City],Table2[City_Key],"not found")</f>
        <v>1</v>
      </c>
      <c r="O1460" s="21">
        <f>_xlfn.XLOOKUP(Snitch_Fashion_Sales_cleaned!$D1460,Table4[Product_Name],Table4[Product_Key],"not found")</f>
        <v>9</v>
      </c>
      <c r="P1460" s="25">
        <f>_xlfn.XLOOKUP(Snitch_Fashion_Sales_cleaned!$I1460,Table3[Order_Date],Table3[Date_Key])</f>
        <v>278</v>
      </c>
    </row>
    <row r="1461" spans="1:16" x14ac:dyDescent="0.3">
      <c r="A1461" s="34">
        <v>2459</v>
      </c>
      <c r="B1461" s="32" t="s">
        <v>1492</v>
      </c>
      <c r="C1461" s="32" t="s">
        <v>28</v>
      </c>
      <c r="D1461" s="33" t="s">
        <v>39</v>
      </c>
      <c r="E1461" s="34">
        <v>3</v>
      </c>
      <c r="F1461" s="35">
        <v>2577.6350000000002</v>
      </c>
      <c r="G1461" s="36">
        <v>0.51</v>
      </c>
      <c r="H1461" s="35">
        <f t="shared" si="46"/>
        <v>7732.9050000000007</v>
      </c>
      <c r="I1461" s="37">
        <v>45647</v>
      </c>
      <c r="J1461" s="33" t="s">
        <v>22</v>
      </c>
      <c r="K1461" s="33" t="s">
        <v>23</v>
      </c>
      <c r="L1461" s="38">
        <f t="shared" si="47"/>
        <v>3789.12345</v>
      </c>
      <c r="M1461" s="38">
        <v>2616.96</v>
      </c>
      <c r="N1461" s="24">
        <f>_xlfn.XLOOKUP(Snitch_Fashion_Sales_cleaned!$J1461,Table2[City],Table2[City_Key],"not found")</f>
        <v>3</v>
      </c>
      <c r="O1461" s="23">
        <f>_xlfn.XLOOKUP(Snitch_Fashion_Sales_cleaned!$D1461,Table4[Product_Name],Table4[Product_Key],"not found")</f>
        <v>8</v>
      </c>
      <c r="P1461" s="32">
        <f>_xlfn.XLOOKUP(Snitch_Fashion_Sales_cleaned!$I1461,Table3[Order_Date],Table3[Date_Key])</f>
        <v>5</v>
      </c>
    </row>
    <row r="1462" spans="1:16" x14ac:dyDescent="0.3">
      <c r="A1462" s="27">
        <v>2460</v>
      </c>
      <c r="B1462" s="25" t="s">
        <v>1493</v>
      </c>
      <c r="C1462" s="25" t="s">
        <v>28</v>
      </c>
      <c r="D1462" s="26" t="s">
        <v>116</v>
      </c>
      <c r="E1462" s="27">
        <v>4</v>
      </c>
      <c r="F1462" s="28">
        <v>3157.28</v>
      </c>
      <c r="G1462" s="29">
        <v>7.0000000000000007E-2</v>
      </c>
      <c r="H1462" s="28">
        <f t="shared" si="46"/>
        <v>12629.12</v>
      </c>
      <c r="I1462" s="30">
        <v>45194</v>
      </c>
      <c r="J1462" s="26" t="s">
        <v>52</v>
      </c>
      <c r="K1462" s="26" t="s">
        <v>23</v>
      </c>
      <c r="L1462" s="31">
        <f t="shared" si="47"/>
        <v>11745.0816</v>
      </c>
      <c r="M1462" s="31">
        <v>971.15</v>
      </c>
      <c r="N1462" s="22">
        <f>_xlfn.XLOOKUP(Snitch_Fashion_Sales_cleaned!$J1462,Table2[City],Table2[City_Key],"not found")</f>
        <v>5</v>
      </c>
      <c r="O1462" s="21">
        <f>_xlfn.XLOOKUP(Snitch_Fashion_Sales_cleaned!$D1462,Table4[Product_Name],Table4[Product_Key],"not found")</f>
        <v>22</v>
      </c>
      <c r="P1462" s="25">
        <f>_xlfn.XLOOKUP(Snitch_Fashion_Sales_cleaned!$I1462,Table3[Order_Date],Table3[Date_Key])</f>
        <v>478</v>
      </c>
    </row>
    <row r="1463" spans="1:16" x14ac:dyDescent="0.3">
      <c r="A1463" s="34">
        <v>2461</v>
      </c>
      <c r="B1463" s="32" t="s">
        <v>1494</v>
      </c>
      <c r="C1463" s="32" t="s">
        <v>20</v>
      </c>
      <c r="D1463" s="33" t="s">
        <v>21</v>
      </c>
      <c r="E1463" s="34">
        <v>1</v>
      </c>
      <c r="F1463" s="35">
        <v>4225.58</v>
      </c>
      <c r="G1463" s="36">
        <v>0.51</v>
      </c>
      <c r="H1463" s="35">
        <f t="shared" si="46"/>
        <v>4225.58</v>
      </c>
      <c r="I1463" s="37">
        <v>45685</v>
      </c>
      <c r="J1463" s="33" t="s">
        <v>52</v>
      </c>
      <c r="K1463" s="33" t="s">
        <v>23</v>
      </c>
      <c r="L1463" s="38">
        <f t="shared" si="47"/>
        <v>2070.5342000000001</v>
      </c>
      <c r="M1463" s="38">
        <v>-793.29</v>
      </c>
      <c r="N1463" s="24">
        <f>_xlfn.XLOOKUP(Snitch_Fashion_Sales_cleaned!$J1463,Table2[City],Table2[City_Key],"not found")</f>
        <v>5</v>
      </c>
      <c r="O1463" s="23">
        <f>_xlfn.XLOOKUP(Snitch_Fashion_Sales_cleaned!$D1463,Table4[Product_Name],Table4[Product_Key],"not found")</f>
        <v>2</v>
      </c>
      <c r="P1463" s="32">
        <f>_xlfn.XLOOKUP(Snitch_Fashion_Sales_cleaned!$I1463,Table3[Order_Date],Table3[Date_Key])</f>
        <v>118</v>
      </c>
    </row>
    <row r="1464" spans="1:16" x14ac:dyDescent="0.3">
      <c r="A1464" s="27">
        <v>2462</v>
      </c>
      <c r="B1464" s="25" t="s">
        <v>1495</v>
      </c>
      <c r="C1464" s="25" t="s">
        <v>28</v>
      </c>
      <c r="D1464" s="26" t="s">
        <v>29</v>
      </c>
      <c r="E1464" s="27">
        <v>2</v>
      </c>
      <c r="F1464" s="28">
        <v>2123.2199999999998</v>
      </c>
      <c r="G1464" s="29">
        <v>0.51</v>
      </c>
      <c r="H1464" s="28">
        <f t="shared" si="46"/>
        <v>4246.4399999999996</v>
      </c>
      <c r="I1464" s="30">
        <v>45833</v>
      </c>
      <c r="J1464" s="26" t="s">
        <v>22</v>
      </c>
      <c r="K1464" s="26" t="s">
        <v>23</v>
      </c>
      <c r="L1464" s="31">
        <f t="shared" si="47"/>
        <v>2080.7556</v>
      </c>
      <c r="M1464" s="31">
        <v>520.18889999999999</v>
      </c>
      <c r="N1464" s="22">
        <f>_xlfn.XLOOKUP(Snitch_Fashion_Sales_cleaned!$J1464,Table2[City],Table2[City_Key],"not found")</f>
        <v>3</v>
      </c>
      <c r="O1464" s="21">
        <f>_xlfn.XLOOKUP(Snitch_Fashion_Sales_cleaned!$D1464,Table4[Product_Name],Table4[Product_Key],"not found")</f>
        <v>4</v>
      </c>
      <c r="P1464" s="25">
        <f>_xlfn.XLOOKUP(Snitch_Fashion_Sales_cleaned!$I1464,Table3[Order_Date],Table3[Date_Key])</f>
        <v>102</v>
      </c>
    </row>
    <row r="1465" spans="1:16" x14ac:dyDescent="0.3">
      <c r="A1465" s="34">
        <v>2463</v>
      </c>
      <c r="B1465" s="32" t="s">
        <v>1496</v>
      </c>
      <c r="C1465" s="32" t="s">
        <v>28</v>
      </c>
      <c r="D1465" s="33" t="s">
        <v>39</v>
      </c>
      <c r="E1465" s="34">
        <v>3</v>
      </c>
      <c r="F1465" s="35">
        <v>405.52</v>
      </c>
      <c r="G1465" s="36">
        <v>0.51</v>
      </c>
      <c r="H1465" s="35">
        <f t="shared" si="46"/>
        <v>1216.56</v>
      </c>
      <c r="I1465" s="37">
        <v>45723</v>
      </c>
      <c r="J1465" s="33" t="s">
        <v>15</v>
      </c>
      <c r="K1465" s="33" t="s">
        <v>23</v>
      </c>
      <c r="L1465" s="38">
        <f t="shared" si="47"/>
        <v>596.11439999999993</v>
      </c>
      <c r="M1465" s="38">
        <v>149.02859999999998</v>
      </c>
      <c r="N1465" s="24">
        <f>_xlfn.XLOOKUP(Snitch_Fashion_Sales_cleaned!$J1465,Table2[City],Table2[City_Key],"not found")</f>
        <v>1</v>
      </c>
      <c r="O1465" s="23">
        <f>_xlfn.XLOOKUP(Snitch_Fashion_Sales_cleaned!$D1465,Table4[Product_Name],Table4[Product_Key],"not found")</f>
        <v>8</v>
      </c>
      <c r="P1465" s="32">
        <f>_xlfn.XLOOKUP(Snitch_Fashion_Sales_cleaned!$I1465,Table3[Order_Date],Table3[Date_Key])</f>
        <v>28</v>
      </c>
    </row>
    <row r="1466" spans="1:16" x14ac:dyDescent="0.3">
      <c r="A1466" s="27">
        <v>2464</v>
      </c>
      <c r="B1466" s="25" t="s">
        <v>1497</v>
      </c>
      <c r="C1466" s="25" t="s">
        <v>25</v>
      </c>
      <c r="D1466" s="26" t="s">
        <v>82</v>
      </c>
      <c r="E1466" s="27">
        <v>3</v>
      </c>
      <c r="F1466" s="28">
        <v>2385.5749999999998</v>
      </c>
      <c r="G1466" s="29">
        <v>0.32</v>
      </c>
      <c r="H1466" s="28">
        <f t="shared" si="46"/>
        <v>7156.7249999999995</v>
      </c>
      <c r="I1466" s="30">
        <v>45751</v>
      </c>
      <c r="J1466" s="26" t="s">
        <v>52</v>
      </c>
      <c r="K1466" s="26" t="s">
        <v>23</v>
      </c>
      <c r="L1466" s="31">
        <f t="shared" si="47"/>
        <v>4866.5729999999994</v>
      </c>
      <c r="M1466" s="31">
        <v>2742.15</v>
      </c>
      <c r="N1466" s="22">
        <f>_xlfn.XLOOKUP(Snitch_Fashion_Sales_cleaned!$J1466,Table2[City],Table2[City_Key],"not found")</f>
        <v>5</v>
      </c>
      <c r="O1466" s="21">
        <f>_xlfn.XLOOKUP(Snitch_Fashion_Sales_cleaned!$D1466,Table4[Product_Name],Table4[Product_Key],"not found")</f>
        <v>18</v>
      </c>
      <c r="P1466" s="25">
        <f>_xlfn.XLOOKUP(Snitch_Fashion_Sales_cleaned!$I1466,Table3[Order_Date],Table3[Date_Key])</f>
        <v>113</v>
      </c>
    </row>
    <row r="1467" spans="1:16" x14ac:dyDescent="0.3">
      <c r="A1467" s="34">
        <v>2465</v>
      </c>
      <c r="B1467" s="32" t="s">
        <v>1498</v>
      </c>
      <c r="C1467" s="32" t="s">
        <v>13</v>
      </c>
      <c r="D1467" s="33" t="s">
        <v>46</v>
      </c>
      <c r="E1467" s="34">
        <v>4</v>
      </c>
      <c r="F1467" s="35">
        <v>493.99</v>
      </c>
      <c r="G1467" s="36">
        <v>0.51</v>
      </c>
      <c r="H1467" s="35">
        <f t="shared" si="46"/>
        <v>1975.96</v>
      </c>
      <c r="I1467" s="37">
        <v>45684</v>
      </c>
      <c r="J1467" s="33" t="s">
        <v>52</v>
      </c>
      <c r="K1467" s="33" t="s">
        <v>23</v>
      </c>
      <c r="L1467" s="38">
        <f t="shared" si="47"/>
        <v>968.22040000000004</v>
      </c>
      <c r="M1467" s="38">
        <v>-365.9</v>
      </c>
      <c r="N1467" s="24">
        <f>_xlfn.XLOOKUP(Snitch_Fashion_Sales_cleaned!$J1467,Table2[City],Table2[City_Key],"not found")</f>
        <v>5</v>
      </c>
      <c r="O1467" s="23">
        <f>_xlfn.XLOOKUP(Snitch_Fashion_Sales_cleaned!$D1467,Table4[Product_Name],Table4[Product_Key],"not found")</f>
        <v>10</v>
      </c>
      <c r="P1467" s="32">
        <f>_xlfn.XLOOKUP(Snitch_Fashion_Sales_cleaned!$I1467,Table3[Order_Date],Table3[Date_Key])</f>
        <v>131</v>
      </c>
    </row>
    <row r="1468" spans="1:16" x14ac:dyDescent="0.3">
      <c r="A1468" s="27">
        <v>2466</v>
      </c>
      <c r="B1468" s="25" t="s">
        <v>1499</v>
      </c>
      <c r="C1468" s="25" t="s">
        <v>36</v>
      </c>
      <c r="D1468" s="26" t="s">
        <v>55</v>
      </c>
      <c r="E1468" s="27">
        <v>3</v>
      </c>
      <c r="F1468" s="28">
        <v>2335.61</v>
      </c>
      <c r="G1468" s="29">
        <v>0.17</v>
      </c>
      <c r="H1468" s="28">
        <f t="shared" si="46"/>
        <v>7006.83</v>
      </c>
      <c r="I1468" s="30">
        <v>45647</v>
      </c>
      <c r="J1468" s="26" t="s">
        <v>18</v>
      </c>
      <c r="K1468" s="26" t="s">
        <v>23</v>
      </c>
      <c r="L1468" s="31">
        <f t="shared" si="47"/>
        <v>5815.6688999999997</v>
      </c>
      <c r="M1468" s="31">
        <v>-36.92</v>
      </c>
      <c r="N1468" s="22">
        <f>_xlfn.XLOOKUP(Snitch_Fashion_Sales_cleaned!$J1468,Table2[City],Table2[City_Key],"not found")</f>
        <v>2</v>
      </c>
      <c r="O1468" s="21">
        <f>_xlfn.XLOOKUP(Snitch_Fashion_Sales_cleaned!$D1468,Table4[Product_Name],Table4[Product_Key],"not found")</f>
        <v>12</v>
      </c>
      <c r="P1468" s="25">
        <f>_xlfn.XLOOKUP(Snitch_Fashion_Sales_cleaned!$I1468,Table3[Order_Date],Table3[Date_Key])</f>
        <v>5</v>
      </c>
    </row>
    <row r="1469" spans="1:16" x14ac:dyDescent="0.3">
      <c r="A1469" s="34">
        <v>2467</v>
      </c>
      <c r="B1469" s="32" t="s">
        <v>1500</v>
      </c>
      <c r="C1469" s="32" t="s">
        <v>25</v>
      </c>
      <c r="D1469" s="33" t="s">
        <v>26</v>
      </c>
      <c r="E1469" s="34">
        <v>4</v>
      </c>
      <c r="F1469" s="35">
        <v>2933.45</v>
      </c>
      <c r="G1469" s="36">
        <v>0.51</v>
      </c>
      <c r="H1469" s="35">
        <f t="shared" si="46"/>
        <v>11733.8</v>
      </c>
      <c r="I1469" s="37">
        <v>45823</v>
      </c>
      <c r="J1469" s="33" t="s">
        <v>22</v>
      </c>
      <c r="K1469" s="33" t="s">
        <v>16</v>
      </c>
      <c r="L1469" s="38">
        <f t="shared" si="47"/>
        <v>5749.5619999999999</v>
      </c>
      <c r="M1469" s="38">
        <v>485.02</v>
      </c>
      <c r="N1469" s="24">
        <f>_xlfn.XLOOKUP(Snitch_Fashion_Sales_cleaned!$J1469,Table2[City],Table2[City_Key],"not found")</f>
        <v>3</v>
      </c>
      <c r="O1469" s="23">
        <f>_xlfn.XLOOKUP(Snitch_Fashion_Sales_cleaned!$D1469,Table4[Product_Name],Table4[Product_Key],"not found")</f>
        <v>3</v>
      </c>
      <c r="P1469" s="32">
        <f>_xlfn.XLOOKUP(Snitch_Fashion_Sales_cleaned!$I1469,Table3[Order_Date],Table3[Date_Key])</f>
        <v>230</v>
      </c>
    </row>
    <row r="1470" spans="1:16" x14ac:dyDescent="0.3">
      <c r="A1470" s="27">
        <v>2468</v>
      </c>
      <c r="B1470" s="25" t="s">
        <v>1501</v>
      </c>
      <c r="C1470" s="25" t="s">
        <v>31</v>
      </c>
      <c r="D1470" s="26" t="s">
        <v>41</v>
      </c>
      <c r="E1470" s="27">
        <v>3</v>
      </c>
      <c r="F1470" s="28">
        <v>3027.66</v>
      </c>
      <c r="G1470" s="29">
        <v>0.51</v>
      </c>
      <c r="H1470" s="28">
        <f t="shared" si="46"/>
        <v>9082.98</v>
      </c>
      <c r="I1470" s="30">
        <v>45760</v>
      </c>
      <c r="J1470" s="26" t="s">
        <v>22</v>
      </c>
      <c r="K1470" s="26" t="s">
        <v>23</v>
      </c>
      <c r="L1470" s="31">
        <f t="shared" si="47"/>
        <v>4450.6601999999993</v>
      </c>
      <c r="M1470" s="31">
        <v>1149.6500000000001</v>
      </c>
      <c r="N1470" s="22">
        <f>_xlfn.XLOOKUP(Snitch_Fashion_Sales_cleaned!$J1470,Table2[City],Table2[City_Key],"not found")</f>
        <v>3</v>
      </c>
      <c r="O1470" s="21">
        <f>_xlfn.XLOOKUP(Snitch_Fashion_Sales_cleaned!$D1470,Table4[Product_Name],Table4[Product_Key],"not found")</f>
        <v>9</v>
      </c>
      <c r="P1470" s="25">
        <f>_xlfn.XLOOKUP(Snitch_Fashion_Sales_cleaned!$I1470,Table3[Order_Date],Table3[Date_Key])</f>
        <v>458</v>
      </c>
    </row>
    <row r="1471" spans="1:16" x14ac:dyDescent="0.3">
      <c r="A1471" s="34">
        <v>2469</v>
      </c>
      <c r="B1471" s="32" t="s">
        <v>1502</v>
      </c>
      <c r="C1471" s="32" t="s">
        <v>20</v>
      </c>
      <c r="D1471" s="33" t="s">
        <v>76</v>
      </c>
      <c r="E1471" s="34">
        <v>3</v>
      </c>
      <c r="F1471" s="35">
        <v>4132.13</v>
      </c>
      <c r="G1471" s="36">
        <v>0.51</v>
      </c>
      <c r="H1471" s="35">
        <f t="shared" si="46"/>
        <v>12396.39</v>
      </c>
      <c r="I1471" s="37">
        <v>45776</v>
      </c>
      <c r="J1471" s="33" t="s">
        <v>22</v>
      </c>
      <c r="K1471" s="33" t="s">
        <v>23</v>
      </c>
      <c r="L1471" s="38">
        <f t="shared" si="47"/>
        <v>6074.2311</v>
      </c>
      <c r="M1471" s="38">
        <v>828.43</v>
      </c>
      <c r="N1471" s="24">
        <f>_xlfn.XLOOKUP(Snitch_Fashion_Sales_cleaned!$J1471,Table2[City],Table2[City_Key],"not found")</f>
        <v>3</v>
      </c>
      <c r="O1471" s="23">
        <f>_xlfn.XLOOKUP(Snitch_Fashion_Sales_cleaned!$D1471,Table4[Product_Name],Table4[Product_Key],"not found")</f>
        <v>16</v>
      </c>
      <c r="P1471" s="32">
        <f>_xlfn.XLOOKUP(Snitch_Fashion_Sales_cleaned!$I1471,Table3[Order_Date],Table3[Date_Key])</f>
        <v>239</v>
      </c>
    </row>
    <row r="1472" spans="1:16" x14ac:dyDescent="0.3">
      <c r="A1472" s="27">
        <v>2470</v>
      </c>
      <c r="B1472" s="25" t="s">
        <v>1503</v>
      </c>
      <c r="C1472" s="25" t="s">
        <v>20</v>
      </c>
      <c r="D1472" s="26" t="s">
        <v>21</v>
      </c>
      <c r="E1472" s="27">
        <v>3</v>
      </c>
      <c r="F1472" s="28">
        <v>2579.8000000000002</v>
      </c>
      <c r="G1472" s="29">
        <v>0.74</v>
      </c>
      <c r="H1472" s="28">
        <f t="shared" si="46"/>
        <v>7739.4000000000005</v>
      </c>
      <c r="I1472" s="30">
        <v>45535</v>
      </c>
      <c r="J1472" s="26" t="s">
        <v>43</v>
      </c>
      <c r="K1472" s="26" t="s">
        <v>23</v>
      </c>
      <c r="L1472" s="31">
        <f t="shared" si="47"/>
        <v>2012.2440000000001</v>
      </c>
      <c r="M1472" s="31">
        <v>321.20999999999998</v>
      </c>
      <c r="N1472" s="22">
        <f>_xlfn.XLOOKUP(Snitch_Fashion_Sales_cleaned!$J1472,Table2[City],Table2[City_Key],"not found")</f>
        <v>6</v>
      </c>
      <c r="O1472" s="21">
        <f>_xlfn.XLOOKUP(Snitch_Fashion_Sales_cleaned!$D1472,Table4[Product_Name],Table4[Product_Key],"not found")</f>
        <v>2</v>
      </c>
      <c r="P1472" s="25">
        <f>_xlfn.XLOOKUP(Snitch_Fashion_Sales_cleaned!$I1472,Table3[Order_Date],Table3[Date_Key])</f>
        <v>476</v>
      </c>
    </row>
    <row r="1473" spans="1:16" x14ac:dyDescent="0.3">
      <c r="A1473" s="34">
        <v>2471</v>
      </c>
      <c r="B1473" s="32" t="s">
        <v>1504</v>
      </c>
      <c r="C1473" s="32" t="s">
        <v>13</v>
      </c>
      <c r="D1473" s="33" t="s">
        <v>14</v>
      </c>
      <c r="E1473" s="34">
        <v>4</v>
      </c>
      <c r="F1473" s="35">
        <v>4457.83</v>
      </c>
      <c r="G1473" s="36">
        <v>0.66</v>
      </c>
      <c r="H1473" s="35">
        <f t="shared" si="46"/>
        <v>17831.32</v>
      </c>
      <c r="I1473" s="37">
        <v>45647</v>
      </c>
      <c r="J1473" s="33" t="s">
        <v>43</v>
      </c>
      <c r="K1473" s="33" t="s">
        <v>23</v>
      </c>
      <c r="L1473" s="38">
        <f t="shared" si="47"/>
        <v>6062.648799999999</v>
      </c>
      <c r="M1473" s="38">
        <v>780.39</v>
      </c>
      <c r="N1473" s="24">
        <f>_xlfn.XLOOKUP(Snitch_Fashion_Sales_cleaned!$J1473,Table2[City],Table2[City_Key],"not found")</f>
        <v>6</v>
      </c>
      <c r="O1473" s="23">
        <f>_xlfn.XLOOKUP(Snitch_Fashion_Sales_cleaned!$D1473,Table4[Product_Name],Table4[Product_Key],"not found")</f>
        <v>1</v>
      </c>
      <c r="P1473" s="32">
        <f>_xlfn.XLOOKUP(Snitch_Fashion_Sales_cleaned!$I1473,Table3[Order_Date],Table3[Date_Key])</f>
        <v>5</v>
      </c>
    </row>
    <row r="1474" spans="1:16" x14ac:dyDescent="0.3">
      <c r="A1474" s="27">
        <v>2472</v>
      </c>
      <c r="B1474" s="25" t="s">
        <v>1505</v>
      </c>
      <c r="C1474" s="25" t="s">
        <v>13</v>
      </c>
      <c r="D1474" s="26" t="s">
        <v>98</v>
      </c>
      <c r="E1474" s="27">
        <v>5</v>
      </c>
      <c r="F1474" s="28">
        <v>4357.9399999999996</v>
      </c>
      <c r="G1474" s="29">
        <v>0.33</v>
      </c>
      <c r="H1474" s="28">
        <f t="shared" si="46"/>
        <v>21789.699999999997</v>
      </c>
      <c r="I1474" s="30">
        <v>45647</v>
      </c>
      <c r="J1474" s="26" t="s">
        <v>15</v>
      </c>
      <c r="K1474" s="26" t="s">
        <v>23</v>
      </c>
      <c r="L1474" s="31">
        <f t="shared" si="47"/>
        <v>14599.098999999997</v>
      </c>
      <c r="M1474" s="31">
        <v>971.5</v>
      </c>
      <c r="N1474" s="22">
        <f>_xlfn.XLOOKUP(Snitch_Fashion_Sales_cleaned!$J1474,Table2[City],Table2[City_Key],"not found")</f>
        <v>1</v>
      </c>
      <c r="O1474" s="21">
        <f>_xlfn.XLOOKUP(Snitch_Fashion_Sales_cleaned!$D1474,Table4[Product_Name],Table4[Product_Key],"not found")</f>
        <v>21</v>
      </c>
      <c r="P1474" s="25">
        <f>_xlfn.XLOOKUP(Snitch_Fashion_Sales_cleaned!$I1474,Table3[Order_Date],Table3[Date_Key])</f>
        <v>5</v>
      </c>
    </row>
    <row r="1475" spans="1:16" x14ac:dyDescent="0.3">
      <c r="A1475" s="34">
        <v>2473</v>
      </c>
      <c r="B1475" s="32" t="s">
        <v>1506</v>
      </c>
      <c r="C1475" s="32" t="s">
        <v>25</v>
      </c>
      <c r="D1475" s="33" t="s">
        <v>50</v>
      </c>
      <c r="E1475" s="34">
        <v>6</v>
      </c>
      <c r="F1475" s="35">
        <v>408.21</v>
      </c>
      <c r="G1475" s="36">
        <v>0.51</v>
      </c>
      <c r="H1475" s="35">
        <f t="shared" si="46"/>
        <v>2449.2599999999998</v>
      </c>
      <c r="I1475" s="37">
        <v>45516</v>
      </c>
      <c r="J1475" s="33" t="s">
        <v>15</v>
      </c>
      <c r="K1475" s="33" t="s">
        <v>23</v>
      </c>
      <c r="L1475" s="38">
        <f t="shared" si="47"/>
        <v>1200.1373999999998</v>
      </c>
      <c r="M1475" s="38">
        <v>611.86</v>
      </c>
      <c r="N1475" s="24">
        <f>_xlfn.XLOOKUP(Snitch_Fashion_Sales_cleaned!$J1475,Table2[City],Table2[City_Key],"not found")</f>
        <v>1</v>
      </c>
      <c r="O1475" s="23">
        <f>_xlfn.XLOOKUP(Snitch_Fashion_Sales_cleaned!$D1475,Table4[Product_Name],Table4[Product_Key],"not found")</f>
        <v>11</v>
      </c>
      <c r="P1475" s="32">
        <f>_xlfn.XLOOKUP(Snitch_Fashion_Sales_cleaned!$I1475,Table3[Order_Date],Table3[Date_Key])</f>
        <v>299</v>
      </c>
    </row>
    <row r="1476" spans="1:16" x14ac:dyDescent="0.3">
      <c r="A1476" s="27">
        <v>2474</v>
      </c>
      <c r="B1476" s="25" t="s">
        <v>1507</v>
      </c>
      <c r="C1476" s="25" t="s">
        <v>25</v>
      </c>
      <c r="D1476" s="26" t="s">
        <v>26</v>
      </c>
      <c r="E1476" s="27">
        <v>4</v>
      </c>
      <c r="F1476" s="28">
        <v>2933.45</v>
      </c>
      <c r="G1476" s="29">
        <v>0.51</v>
      </c>
      <c r="H1476" s="28">
        <f t="shared" si="46"/>
        <v>11733.8</v>
      </c>
      <c r="I1476" s="30">
        <v>45605</v>
      </c>
      <c r="J1476" s="26" t="s">
        <v>2540</v>
      </c>
      <c r="K1476" s="26" t="s">
        <v>23</v>
      </c>
      <c r="L1476" s="31">
        <f t="shared" si="47"/>
        <v>5749.5619999999999</v>
      </c>
      <c r="M1476" s="31">
        <v>-930.79</v>
      </c>
      <c r="N1476" s="22">
        <f>_xlfn.XLOOKUP(Snitch_Fashion_Sales_cleaned!$J1476,Table2[City],Table2[City_Key],"not found")</f>
        <v>4</v>
      </c>
      <c r="O1476" s="21">
        <f>_xlfn.XLOOKUP(Snitch_Fashion_Sales_cleaned!$D1476,Table4[Product_Name],Table4[Product_Key],"not found")</f>
        <v>3</v>
      </c>
      <c r="P1476" s="25">
        <f>_xlfn.XLOOKUP(Snitch_Fashion_Sales_cleaned!$I1476,Table3[Order_Date],Table3[Date_Key])</f>
        <v>60</v>
      </c>
    </row>
    <row r="1477" spans="1:16" x14ac:dyDescent="0.3">
      <c r="A1477" s="34">
        <v>2475</v>
      </c>
      <c r="B1477" s="32" t="s">
        <v>1508</v>
      </c>
      <c r="C1477" s="32" t="s">
        <v>20</v>
      </c>
      <c r="D1477" s="33" t="s">
        <v>118</v>
      </c>
      <c r="E1477" s="34">
        <v>5</v>
      </c>
      <c r="F1477" s="35">
        <v>642.48</v>
      </c>
      <c r="G1477" s="36">
        <v>0.17</v>
      </c>
      <c r="H1477" s="35">
        <f t="shared" si="46"/>
        <v>3212.4</v>
      </c>
      <c r="I1477" s="37">
        <v>45647</v>
      </c>
      <c r="J1477" s="33" t="s">
        <v>18</v>
      </c>
      <c r="K1477" s="33" t="s">
        <v>16</v>
      </c>
      <c r="L1477" s="38">
        <f t="shared" si="47"/>
        <v>2666.2919999999999</v>
      </c>
      <c r="M1477" s="38">
        <v>1800.37</v>
      </c>
      <c r="N1477" s="24">
        <f>_xlfn.XLOOKUP(Snitch_Fashion_Sales_cleaned!$J1477,Table2[City],Table2[City_Key],"not found")</f>
        <v>2</v>
      </c>
      <c r="O1477" s="23">
        <f>_xlfn.XLOOKUP(Snitch_Fashion_Sales_cleaned!$D1477,Table4[Product_Name],Table4[Product_Key],"not found")</f>
        <v>23</v>
      </c>
      <c r="P1477" s="32">
        <f>_xlfn.XLOOKUP(Snitch_Fashion_Sales_cleaned!$I1477,Table3[Order_Date],Table3[Date_Key])</f>
        <v>5</v>
      </c>
    </row>
    <row r="1478" spans="1:16" x14ac:dyDescent="0.3">
      <c r="A1478" s="27">
        <v>2476</v>
      </c>
      <c r="B1478" s="25" t="s">
        <v>1509</v>
      </c>
      <c r="C1478" s="25" t="s">
        <v>36</v>
      </c>
      <c r="D1478" s="26" t="s">
        <v>37</v>
      </c>
      <c r="E1478" s="27">
        <v>5</v>
      </c>
      <c r="F1478" s="28">
        <v>2967.26</v>
      </c>
      <c r="G1478" s="29">
        <v>0.51</v>
      </c>
      <c r="H1478" s="28">
        <f t="shared" ref="H1478:H1541" si="48">E1478*F1478</f>
        <v>14836.300000000001</v>
      </c>
      <c r="I1478" s="30">
        <v>45647</v>
      </c>
      <c r="J1478" s="26" t="s">
        <v>52</v>
      </c>
      <c r="K1478" s="26" t="s">
        <v>23</v>
      </c>
      <c r="L1478" s="31">
        <f t="shared" ref="L1478:L1541" si="49">H1478*(1-G1478)</f>
        <v>7269.7870000000003</v>
      </c>
      <c r="M1478" s="31">
        <v>2069.15</v>
      </c>
      <c r="N1478" s="22">
        <f>_xlfn.XLOOKUP(Snitch_Fashion_Sales_cleaned!$J1478,Table2[City],Table2[City_Key],"not found")</f>
        <v>5</v>
      </c>
      <c r="O1478" s="21">
        <f>_xlfn.XLOOKUP(Snitch_Fashion_Sales_cleaned!$D1478,Table4[Product_Name],Table4[Product_Key],"not found")</f>
        <v>7</v>
      </c>
      <c r="P1478" s="25">
        <f>_xlfn.XLOOKUP(Snitch_Fashion_Sales_cleaned!$I1478,Table3[Order_Date],Table3[Date_Key])</f>
        <v>5</v>
      </c>
    </row>
    <row r="1479" spans="1:16" x14ac:dyDescent="0.3">
      <c r="A1479" s="34">
        <v>2477</v>
      </c>
      <c r="B1479" s="32" t="s">
        <v>1510</v>
      </c>
      <c r="C1479" s="32" t="s">
        <v>25</v>
      </c>
      <c r="D1479" s="33" t="s">
        <v>82</v>
      </c>
      <c r="E1479" s="34">
        <v>3</v>
      </c>
      <c r="F1479" s="35">
        <v>3725.14</v>
      </c>
      <c r="G1479" s="36">
        <v>0.51</v>
      </c>
      <c r="H1479" s="35">
        <f t="shared" si="48"/>
        <v>11175.42</v>
      </c>
      <c r="I1479" s="37">
        <v>45647</v>
      </c>
      <c r="J1479" s="33" t="s">
        <v>2540</v>
      </c>
      <c r="K1479" s="33" t="s">
        <v>16</v>
      </c>
      <c r="L1479" s="38">
        <f t="shared" si="49"/>
        <v>5475.9557999999997</v>
      </c>
      <c r="M1479" s="38">
        <v>1220.32</v>
      </c>
      <c r="N1479" s="24">
        <f>_xlfn.XLOOKUP(Snitch_Fashion_Sales_cleaned!$J1479,Table2[City],Table2[City_Key],"not found")</f>
        <v>4</v>
      </c>
      <c r="O1479" s="23">
        <f>_xlfn.XLOOKUP(Snitch_Fashion_Sales_cleaned!$D1479,Table4[Product_Name],Table4[Product_Key],"not found")</f>
        <v>18</v>
      </c>
      <c r="P1479" s="32">
        <f>_xlfn.XLOOKUP(Snitch_Fashion_Sales_cleaned!$I1479,Table3[Order_Date],Table3[Date_Key])</f>
        <v>5</v>
      </c>
    </row>
    <row r="1480" spans="1:16" x14ac:dyDescent="0.3">
      <c r="A1480" s="27">
        <v>2478</v>
      </c>
      <c r="B1480" s="25" t="s">
        <v>1511</v>
      </c>
      <c r="C1480" s="25" t="s">
        <v>36</v>
      </c>
      <c r="D1480" s="26" t="s">
        <v>87</v>
      </c>
      <c r="E1480" s="27">
        <v>4</v>
      </c>
      <c r="F1480" s="28">
        <v>1904.58</v>
      </c>
      <c r="G1480" s="29">
        <v>0.51</v>
      </c>
      <c r="H1480" s="28">
        <f t="shared" si="48"/>
        <v>7618.32</v>
      </c>
      <c r="I1480" s="30">
        <v>45557</v>
      </c>
      <c r="J1480" s="26" t="s">
        <v>22</v>
      </c>
      <c r="K1480" s="26" t="s">
        <v>23</v>
      </c>
      <c r="L1480" s="31">
        <f t="shared" si="49"/>
        <v>3732.9767999999999</v>
      </c>
      <c r="M1480" s="31">
        <v>2090.91</v>
      </c>
      <c r="N1480" s="22">
        <f>_xlfn.XLOOKUP(Snitch_Fashion_Sales_cleaned!$J1480,Table2[City],Table2[City_Key],"not found")</f>
        <v>3</v>
      </c>
      <c r="O1480" s="21">
        <f>_xlfn.XLOOKUP(Snitch_Fashion_Sales_cleaned!$D1480,Table4[Product_Name],Table4[Product_Key],"not found")</f>
        <v>20</v>
      </c>
      <c r="P1480" s="25">
        <f>_xlfn.XLOOKUP(Snitch_Fashion_Sales_cleaned!$I1480,Table3[Order_Date],Table3[Date_Key])</f>
        <v>479</v>
      </c>
    </row>
    <row r="1481" spans="1:16" x14ac:dyDescent="0.3">
      <c r="A1481" s="34">
        <v>2479</v>
      </c>
      <c r="B1481" s="32" t="s">
        <v>1512</v>
      </c>
      <c r="C1481" s="32" t="s">
        <v>25</v>
      </c>
      <c r="D1481" s="33" t="s">
        <v>62</v>
      </c>
      <c r="E1481" s="34">
        <v>4</v>
      </c>
      <c r="F1481" s="35">
        <v>2538.0450000000001</v>
      </c>
      <c r="G1481" s="36">
        <v>0.51</v>
      </c>
      <c r="H1481" s="35">
        <f t="shared" si="48"/>
        <v>10152.18</v>
      </c>
      <c r="I1481" s="37">
        <v>45696</v>
      </c>
      <c r="J1481" s="33" t="s">
        <v>43</v>
      </c>
      <c r="K1481" s="33" t="s">
        <v>23</v>
      </c>
      <c r="L1481" s="38">
        <f t="shared" si="49"/>
        <v>4974.5681999999997</v>
      </c>
      <c r="M1481" s="38">
        <v>81.23</v>
      </c>
      <c r="N1481" s="24">
        <f>_xlfn.XLOOKUP(Snitch_Fashion_Sales_cleaned!$J1481,Table2[City],Table2[City_Key],"not found")</f>
        <v>6</v>
      </c>
      <c r="O1481" s="23">
        <f>_xlfn.XLOOKUP(Snitch_Fashion_Sales_cleaned!$D1481,Table4[Product_Name],Table4[Product_Key],"not found")</f>
        <v>14</v>
      </c>
      <c r="P1481" s="32">
        <f>_xlfn.XLOOKUP(Snitch_Fashion_Sales_cleaned!$I1481,Table3[Order_Date],Table3[Date_Key])</f>
        <v>367</v>
      </c>
    </row>
    <row r="1482" spans="1:16" x14ac:dyDescent="0.3">
      <c r="A1482" s="27">
        <v>2480</v>
      </c>
      <c r="B1482" s="25" t="s">
        <v>1513</v>
      </c>
      <c r="C1482" s="25" t="s">
        <v>25</v>
      </c>
      <c r="D1482" s="26" t="s">
        <v>50</v>
      </c>
      <c r="E1482" s="27">
        <v>4</v>
      </c>
      <c r="F1482" s="28">
        <v>2666.2200000000003</v>
      </c>
      <c r="G1482" s="29">
        <v>0.14000000000000001</v>
      </c>
      <c r="H1482" s="28">
        <f t="shared" si="48"/>
        <v>10664.880000000001</v>
      </c>
      <c r="I1482" s="30">
        <v>45573</v>
      </c>
      <c r="J1482" s="26" t="s">
        <v>2540</v>
      </c>
      <c r="K1482" s="26" t="s">
        <v>23</v>
      </c>
      <c r="L1482" s="31">
        <f t="shared" si="49"/>
        <v>9171.7968000000001</v>
      </c>
      <c r="M1482" s="31">
        <v>1556.81</v>
      </c>
      <c r="N1482" s="22">
        <f>_xlfn.XLOOKUP(Snitch_Fashion_Sales_cleaned!$J1482,Table2[City],Table2[City_Key],"not found")</f>
        <v>4</v>
      </c>
      <c r="O1482" s="21">
        <f>_xlfn.XLOOKUP(Snitch_Fashion_Sales_cleaned!$D1482,Table4[Product_Name],Table4[Product_Key],"not found")</f>
        <v>11</v>
      </c>
      <c r="P1482" s="25">
        <f>_xlfn.XLOOKUP(Snitch_Fashion_Sales_cleaned!$I1482,Table3[Order_Date],Table3[Date_Key])</f>
        <v>364</v>
      </c>
    </row>
    <row r="1483" spans="1:16" x14ac:dyDescent="0.3">
      <c r="A1483" s="34">
        <v>2481</v>
      </c>
      <c r="B1483" s="32" t="s">
        <v>1514</v>
      </c>
      <c r="C1483" s="32" t="s">
        <v>20</v>
      </c>
      <c r="D1483" s="33" t="s">
        <v>76</v>
      </c>
      <c r="E1483" s="34">
        <v>3</v>
      </c>
      <c r="F1483" s="35">
        <v>2229.4899999999998</v>
      </c>
      <c r="G1483" s="36">
        <v>0.51</v>
      </c>
      <c r="H1483" s="35">
        <f t="shared" si="48"/>
        <v>6688.4699999999993</v>
      </c>
      <c r="I1483" s="37">
        <v>45774</v>
      </c>
      <c r="J1483" s="33" t="s">
        <v>22</v>
      </c>
      <c r="K1483" s="33" t="s">
        <v>23</v>
      </c>
      <c r="L1483" s="38">
        <f t="shared" si="49"/>
        <v>3277.3502999999996</v>
      </c>
      <c r="M1483" s="38">
        <v>142.82</v>
      </c>
      <c r="N1483" s="24">
        <f>_xlfn.XLOOKUP(Snitch_Fashion_Sales_cleaned!$J1483,Table2[City],Table2[City_Key],"not found")</f>
        <v>3</v>
      </c>
      <c r="O1483" s="23">
        <f>_xlfn.XLOOKUP(Snitch_Fashion_Sales_cleaned!$D1483,Table4[Product_Name],Table4[Product_Key],"not found")</f>
        <v>16</v>
      </c>
      <c r="P1483" s="32">
        <f>_xlfn.XLOOKUP(Snitch_Fashion_Sales_cleaned!$I1483,Table3[Order_Date],Table3[Date_Key])</f>
        <v>267</v>
      </c>
    </row>
    <row r="1484" spans="1:16" x14ac:dyDescent="0.3">
      <c r="A1484" s="27">
        <v>1050</v>
      </c>
      <c r="B1484" s="25" t="s">
        <v>1515</v>
      </c>
      <c r="C1484" s="25" t="s">
        <v>28</v>
      </c>
      <c r="D1484" s="26" t="s">
        <v>137</v>
      </c>
      <c r="E1484" s="27">
        <v>4</v>
      </c>
      <c r="F1484" s="28">
        <v>4439.3900000000003</v>
      </c>
      <c r="G1484" s="29">
        <v>0.51</v>
      </c>
      <c r="H1484" s="28">
        <f t="shared" si="48"/>
        <v>17757.560000000001</v>
      </c>
      <c r="I1484" s="30">
        <v>45543</v>
      </c>
      <c r="J1484" s="26" t="s">
        <v>18</v>
      </c>
      <c r="K1484" s="26" t="s">
        <v>16</v>
      </c>
      <c r="L1484" s="31">
        <f t="shared" si="49"/>
        <v>8701.2044000000005</v>
      </c>
      <c r="M1484" s="31">
        <v>2062.85</v>
      </c>
      <c r="N1484" s="22">
        <f>_xlfn.XLOOKUP(Snitch_Fashion_Sales_cleaned!$J1484,Table2[City],Table2[City_Key],"not found")</f>
        <v>2</v>
      </c>
      <c r="O1484" s="21">
        <f>_xlfn.XLOOKUP(Snitch_Fashion_Sales_cleaned!$D1484,Table4[Product_Name],Table4[Product_Key],"not found")</f>
        <v>24</v>
      </c>
      <c r="P1484" s="25">
        <f>_xlfn.XLOOKUP(Snitch_Fashion_Sales_cleaned!$I1484,Table3[Order_Date],Table3[Date_Key])</f>
        <v>65</v>
      </c>
    </row>
    <row r="1485" spans="1:16" x14ac:dyDescent="0.3">
      <c r="A1485" s="34">
        <v>2483</v>
      </c>
      <c r="B1485" s="32" t="s">
        <v>1516</v>
      </c>
      <c r="C1485" s="32" t="s">
        <v>36</v>
      </c>
      <c r="D1485" s="33" t="s">
        <v>59</v>
      </c>
      <c r="E1485" s="34">
        <v>3</v>
      </c>
      <c r="F1485" s="35">
        <v>2765.26</v>
      </c>
      <c r="G1485" s="36">
        <v>0.96</v>
      </c>
      <c r="H1485" s="35">
        <f t="shared" si="48"/>
        <v>8295.7800000000007</v>
      </c>
      <c r="I1485" s="37">
        <v>45790</v>
      </c>
      <c r="J1485" s="33" t="s">
        <v>43</v>
      </c>
      <c r="K1485" s="33" t="s">
        <v>23</v>
      </c>
      <c r="L1485" s="38">
        <f t="shared" si="49"/>
        <v>331.83120000000031</v>
      </c>
      <c r="M1485" s="38">
        <v>-369.21</v>
      </c>
      <c r="N1485" s="24">
        <f>_xlfn.XLOOKUP(Snitch_Fashion_Sales_cleaned!$J1485,Table2[City],Table2[City_Key],"not found")</f>
        <v>6</v>
      </c>
      <c r="O1485" s="23">
        <f>_xlfn.XLOOKUP(Snitch_Fashion_Sales_cleaned!$D1485,Table4[Product_Name],Table4[Product_Key],"not found")</f>
        <v>13</v>
      </c>
      <c r="P1485" s="32">
        <f>_xlfn.XLOOKUP(Snitch_Fashion_Sales_cleaned!$I1485,Table3[Order_Date],Table3[Date_Key])</f>
        <v>291</v>
      </c>
    </row>
    <row r="1486" spans="1:16" x14ac:dyDescent="0.3">
      <c r="A1486" s="27">
        <v>2484</v>
      </c>
      <c r="B1486" s="25" t="s">
        <v>1517</v>
      </c>
      <c r="C1486" s="25" t="s">
        <v>31</v>
      </c>
      <c r="D1486" s="26" t="s">
        <v>78</v>
      </c>
      <c r="E1486" s="27">
        <v>4</v>
      </c>
      <c r="F1486" s="28">
        <v>2599.75</v>
      </c>
      <c r="G1486" s="29">
        <v>0.51</v>
      </c>
      <c r="H1486" s="28">
        <f t="shared" si="48"/>
        <v>10399</v>
      </c>
      <c r="I1486" s="30">
        <v>45622</v>
      </c>
      <c r="J1486" s="26" t="s">
        <v>43</v>
      </c>
      <c r="K1486" s="26" t="s">
        <v>16</v>
      </c>
      <c r="L1486" s="31">
        <f t="shared" si="49"/>
        <v>5095.51</v>
      </c>
      <c r="M1486" s="31">
        <v>516.5</v>
      </c>
      <c r="N1486" s="22">
        <f>_xlfn.XLOOKUP(Snitch_Fashion_Sales_cleaned!$J1486,Table2[City],Table2[City_Key],"not found")</f>
        <v>6</v>
      </c>
      <c r="O1486" s="21">
        <f>_xlfn.XLOOKUP(Snitch_Fashion_Sales_cleaned!$D1486,Table4[Product_Name],Table4[Product_Key],"not found")</f>
        <v>17</v>
      </c>
      <c r="P1486" s="25">
        <f>_xlfn.XLOOKUP(Snitch_Fashion_Sales_cleaned!$I1486,Table3[Order_Date],Table3[Date_Key])</f>
        <v>464</v>
      </c>
    </row>
    <row r="1487" spans="1:16" x14ac:dyDescent="0.3">
      <c r="A1487" s="34">
        <v>1050</v>
      </c>
      <c r="B1487" s="32" t="s">
        <v>1518</v>
      </c>
      <c r="C1487" s="32" t="s">
        <v>13</v>
      </c>
      <c r="D1487" s="33" t="s">
        <v>34</v>
      </c>
      <c r="E1487" s="34">
        <v>1</v>
      </c>
      <c r="F1487" s="35">
        <v>2103.54</v>
      </c>
      <c r="G1487" s="36">
        <v>0.51</v>
      </c>
      <c r="H1487" s="35">
        <f t="shared" si="48"/>
        <v>2103.54</v>
      </c>
      <c r="I1487" s="37">
        <v>45662</v>
      </c>
      <c r="J1487" s="33" t="s">
        <v>52</v>
      </c>
      <c r="K1487" s="33" t="s">
        <v>16</v>
      </c>
      <c r="L1487" s="38">
        <f t="shared" si="49"/>
        <v>1030.7346</v>
      </c>
      <c r="M1487" s="38">
        <v>257.68365</v>
      </c>
      <c r="N1487" s="24">
        <f>_xlfn.XLOOKUP(Snitch_Fashion_Sales_cleaned!$J1487,Table2[City],Table2[City_Key],"not found")</f>
        <v>5</v>
      </c>
      <c r="O1487" s="23">
        <f>_xlfn.XLOOKUP(Snitch_Fashion_Sales_cleaned!$D1487,Table4[Product_Name],Table4[Product_Key],"not found")</f>
        <v>6</v>
      </c>
      <c r="P1487" s="32">
        <f>_xlfn.XLOOKUP(Snitch_Fashion_Sales_cleaned!$I1487,Table3[Order_Date],Table3[Date_Key])</f>
        <v>302</v>
      </c>
    </row>
    <row r="1488" spans="1:16" x14ac:dyDescent="0.3">
      <c r="A1488" s="27">
        <v>2486</v>
      </c>
      <c r="B1488" s="25" t="s">
        <v>1519</v>
      </c>
      <c r="C1488" s="25" t="s">
        <v>20</v>
      </c>
      <c r="D1488" s="26" t="s">
        <v>118</v>
      </c>
      <c r="E1488" s="27">
        <v>3.5</v>
      </c>
      <c r="F1488" s="28">
        <v>2752.99</v>
      </c>
      <c r="G1488" s="29">
        <v>0.51</v>
      </c>
      <c r="H1488" s="28">
        <f t="shared" si="48"/>
        <v>9635.4650000000001</v>
      </c>
      <c r="I1488" s="30">
        <v>45507</v>
      </c>
      <c r="J1488" s="26" t="s">
        <v>18</v>
      </c>
      <c r="K1488" s="26" t="s">
        <v>23</v>
      </c>
      <c r="L1488" s="31">
        <f t="shared" si="49"/>
        <v>4721.3778499999999</v>
      </c>
      <c r="M1488" s="31">
        <v>2082.36</v>
      </c>
      <c r="N1488" s="22">
        <f>_xlfn.XLOOKUP(Snitch_Fashion_Sales_cleaned!$J1488,Table2[City],Table2[City_Key],"not found")</f>
        <v>2</v>
      </c>
      <c r="O1488" s="21">
        <f>_xlfn.XLOOKUP(Snitch_Fashion_Sales_cleaned!$D1488,Table4[Product_Name],Table4[Product_Key],"not found")</f>
        <v>23</v>
      </c>
      <c r="P1488" s="25">
        <f>_xlfn.XLOOKUP(Snitch_Fashion_Sales_cleaned!$I1488,Table3[Order_Date],Table3[Date_Key])</f>
        <v>222</v>
      </c>
    </row>
    <row r="1489" spans="1:16" x14ac:dyDescent="0.3">
      <c r="A1489" s="34">
        <v>2487</v>
      </c>
      <c r="B1489" s="32" t="s">
        <v>1520</v>
      </c>
      <c r="C1489" s="32" t="s">
        <v>20</v>
      </c>
      <c r="D1489" s="33" t="s">
        <v>118</v>
      </c>
      <c r="E1489" s="34">
        <v>3.5</v>
      </c>
      <c r="F1489" s="35">
        <v>2752.99</v>
      </c>
      <c r="G1489" s="36">
        <v>0.51</v>
      </c>
      <c r="H1489" s="35">
        <f t="shared" si="48"/>
        <v>9635.4650000000001</v>
      </c>
      <c r="I1489" s="37">
        <v>45706</v>
      </c>
      <c r="J1489" s="33" t="s">
        <v>22</v>
      </c>
      <c r="K1489" s="33" t="s">
        <v>23</v>
      </c>
      <c r="L1489" s="38">
        <f t="shared" si="49"/>
        <v>4721.3778499999999</v>
      </c>
      <c r="M1489" s="38">
        <v>-395.34</v>
      </c>
      <c r="N1489" s="24">
        <f>_xlfn.XLOOKUP(Snitch_Fashion_Sales_cleaned!$J1489,Table2[City],Table2[City_Key],"not found")</f>
        <v>3</v>
      </c>
      <c r="O1489" s="23">
        <f>_xlfn.XLOOKUP(Snitch_Fashion_Sales_cleaned!$D1489,Table4[Product_Name],Table4[Product_Key],"not found")</f>
        <v>23</v>
      </c>
      <c r="P1489" s="32">
        <f>_xlfn.XLOOKUP(Snitch_Fashion_Sales_cleaned!$I1489,Table3[Order_Date],Table3[Date_Key])</f>
        <v>76</v>
      </c>
    </row>
    <row r="1490" spans="1:16" x14ac:dyDescent="0.3">
      <c r="A1490" s="27">
        <v>2488</v>
      </c>
      <c r="B1490" s="25" t="s">
        <v>1521</v>
      </c>
      <c r="C1490" s="25" t="s">
        <v>20</v>
      </c>
      <c r="D1490" s="26" t="s">
        <v>76</v>
      </c>
      <c r="E1490" s="27">
        <v>3</v>
      </c>
      <c r="F1490" s="28">
        <v>718.84</v>
      </c>
      <c r="G1490" s="29">
        <v>0.53</v>
      </c>
      <c r="H1490" s="28">
        <f t="shared" si="48"/>
        <v>2156.52</v>
      </c>
      <c r="I1490" s="30">
        <v>45335</v>
      </c>
      <c r="J1490" s="26" t="s">
        <v>18</v>
      </c>
      <c r="K1490" s="26" t="s">
        <v>23</v>
      </c>
      <c r="L1490" s="31">
        <f t="shared" si="49"/>
        <v>1013.5644</v>
      </c>
      <c r="M1490" s="31">
        <v>528.71</v>
      </c>
      <c r="N1490" s="22">
        <f>_xlfn.XLOOKUP(Snitch_Fashion_Sales_cleaned!$J1490,Table2[City],Table2[City_Key],"not found")</f>
        <v>2</v>
      </c>
      <c r="O1490" s="21">
        <f>_xlfn.XLOOKUP(Snitch_Fashion_Sales_cleaned!$D1490,Table4[Product_Name],Table4[Product_Key],"not found")</f>
        <v>16</v>
      </c>
      <c r="P1490" s="25">
        <f>_xlfn.XLOOKUP(Snitch_Fashion_Sales_cleaned!$I1490,Table3[Order_Date],Table3[Date_Key])</f>
        <v>215</v>
      </c>
    </row>
    <row r="1491" spans="1:16" x14ac:dyDescent="0.3">
      <c r="A1491" s="34">
        <v>2489</v>
      </c>
      <c r="B1491" s="32" t="s">
        <v>1522</v>
      </c>
      <c r="C1491" s="32" t="s">
        <v>25</v>
      </c>
      <c r="D1491" s="33" t="s">
        <v>82</v>
      </c>
      <c r="E1491" s="34">
        <v>3</v>
      </c>
      <c r="F1491" s="35">
        <v>2385.5749999999998</v>
      </c>
      <c r="G1491" s="36">
        <v>0.51</v>
      </c>
      <c r="H1491" s="35">
        <f t="shared" si="48"/>
        <v>7156.7249999999995</v>
      </c>
      <c r="I1491" s="37">
        <v>45842</v>
      </c>
      <c r="J1491" s="33" t="s">
        <v>43</v>
      </c>
      <c r="K1491" s="33" t="s">
        <v>23</v>
      </c>
      <c r="L1491" s="38">
        <f t="shared" si="49"/>
        <v>3506.7952499999997</v>
      </c>
      <c r="M1491" s="38">
        <v>-194.49</v>
      </c>
      <c r="N1491" s="24">
        <f>_xlfn.XLOOKUP(Snitch_Fashion_Sales_cleaned!$J1491,Table2[City],Table2[City_Key],"not found")</f>
        <v>6</v>
      </c>
      <c r="O1491" s="23">
        <f>_xlfn.XLOOKUP(Snitch_Fashion_Sales_cleaned!$D1491,Table4[Product_Name],Table4[Product_Key],"not found")</f>
        <v>18</v>
      </c>
      <c r="P1491" s="32">
        <f>_xlfn.XLOOKUP(Snitch_Fashion_Sales_cleaned!$I1491,Table3[Order_Date],Table3[Date_Key])</f>
        <v>376</v>
      </c>
    </row>
    <row r="1492" spans="1:16" x14ac:dyDescent="0.3">
      <c r="A1492" s="27">
        <v>2490</v>
      </c>
      <c r="B1492" s="25" t="s">
        <v>1523</v>
      </c>
      <c r="C1492" s="25" t="s">
        <v>31</v>
      </c>
      <c r="D1492" s="26" t="s">
        <v>41</v>
      </c>
      <c r="E1492" s="27">
        <v>5</v>
      </c>
      <c r="F1492" s="28">
        <v>688.38</v>
      </c>
      <c r="G1492" s="29">
        <v>0.51</v>
      </c>
      <c r="H1492" s="28">
        <f t="shared" si="48"/>
        <v>3441.9</v>
      </c>
      <c r="I1492" s="30">
        <v>45624</v>
      </c>
      <c r="J1492" s="26" t="s">
        <v>2540</v>
      </c>
      <c r="K1492" s="26" t="s">
        <v>23</v>
      </c>
      <c r="L1492" s="31">
        <f t="shared" si="49"/>
        <v>1686.5309999999999</v>
      </c>
      <c r="M1492" s="31">
        <v>-25.21</v>
      </c>
      <c r="N1492" s="22">
        <f>_xlfn.XLOOKUP(Snitch_Fashion_Sales_cleaned!$J1492,Table2[City],Table2[City_Key],"not found")</f>
        <v>4</v>
      </c>
      <c r="O1492" s="21">
        <f>_xlfn.XLOOKUP(Snitch_Fashion_Sales_cleaned!$D1492,Table4[Product_Name],Table4[Product_Key],"not found")</f>
        <v>9</v>
      </c>
      <c r="P1492" s="25">
        <f>_xlfn.XLOOKUP(Snitch_Fashion_Sales_cleaned!$I1492,Table3[Order_Date],Table3[Date_Key])</f>
        <v>133</v>
      </c>
    </row>
    <row r="1493" spans="1:16" x14ac:dyDescent="0.3">
      <c r="A1493" s="34">
        <v>2491</v>
      </c>
      <c r="B1493" s="32" t="s">
        <v>1524</v>
      </c>
      <c r="C1493" s="32" t="s">
        <v>25</v>
      </c>
      <c r="D1493" s="33" t="s">
        <v>50</v>
      </c>
      <c r="E1493" s="34">
        <v>4</v>
      </c>
      <c r="F1493" s="35">
        <v>2666.2200000000003</v>
      </c>
      <c r="G1493" s="36">
        <v>0.68</v>
      </c>
      <c r="H1493" s="35">
        <f t="shared" si="48"/>
        <v>10664.880000000001</v>
      </c>
      <c r="I1493" s="37">
        <v>45517</v>
      </c>
      <c r="J1493" s="33" t="s">
        <v>2540</v>
      </c>
      <c r="K1493" s="33" t="s">
        <v>16</v>
      </c>
      <c r="L1493" s="38">
        <f t="shared" si="49"/>
        <v>3412.7615999999998</v>
      </c>
      <c r="M1493" s="38">
        <v>2466.0100000000002</v>
      </c>
      <c r="N1493" s="24">
        <f>_xlfn.XLOOKUP(Snitch_Fashion_Sales_cleaned!$J1493,Table2[City],Table2[City_Key],"not found")</f>
        <v>4</v>
      </c>
      <c r="O1493" s="23">
        <f>_xlfn.XLOOKUP(Snitch_Fashion_Sales_cleaned!$D1493,Table4[Product_Name],Table4[Product_Key],"not found")</f>
        <v>11</v>
      </c>
      <c r="P1493" s="32">
        <f>_xlfn.XLOOKUP(Snitch_Fashion_Sales_cleaned!$I1493,Table3[Order_Date],Table3[Date_Key])</f>
        <v>89</v>
      </c>
    </row>
    <row r="1494" spans="1:16" x14ac:dyDescent="0.3">
      <c r="A1494" s="27">
        <v>2492</v>
      </c>
      <c r="B1494" s="25" t="s">
        <v>1525</v>
      </c>
      <c r="C1494" s="25" t="s">
        <v>20</v>
      </c>
      <c r="D1494" s="26" t="s">
        <v>76</v>
      </c>
      <c r="E1494" s="27">
        <v>3</v>
      </c>
      <c r="F1494" s="28">
        <v>2229.4899999999998</v>
      </c>
      <c r="G1494" s="29">
        <v>0.51</v>
      </c>
      <c r="H1494" s="28">
        <f t="shared" si="48"/>
        <v>6688.4699999999993</v>
      </c>
      <c r="I1494" s="30">
        <v>45845</v>
      </c>
      <c r="J1494" s="26" t="s">
        <v>2540</v>
      </c>
      <c r="K1494" s="26" t="s">
        <v>16</v>
      </c>
      <c r="L1494" s="31">
        <f t="shared" si="49"/>
        <v>3277.3502999999996</v>
      </c>
      <c r="M1494" s="31">
        <v>549.15</v>
      </c>
      <c r="N1494" s="22">
        <f>_xlfn.XLOOKUP(Snitch_Fashion_Sales_cleaned!$J1494,Table2[City],Table2[City_Key],"not found")</f>
        <v>4</v>
      </c>
      <c r="O1494" s="21">
        <f>_xlfn.XLOOKUP(Snitch_Fashion_Sales_cleaned!$D1494,Table4[Product_Name],Table4[Product_Key],"not found")</f>
        <v>16</v>
      </c>
      <c r="P1494" s="25">
        <f>_xlfn.XLOOKUP(Snitch_Fashion_Sales_cleaned!$I1494,Table3[Order_Date],Table3[Date_Key])</f>
        <v>480</v>
      </c>
    </row>
    <row r="1495" spans="1:16" x14ac:dyDescent="0.3">
      <c r="A1495" s="34">
        <v>2493</v>
      </c>
      <c r="B1495" s="32" t="s">
        <v>1526</v>
      </c>
      <c r="C1495" s="32" t="s">
        <v>36</v>
      </c>
      <c r="D1495" s="33" t="s">
        <v>55</v>
      </c>
      <c r="E1495" s="34">
        <v>2</v>
      </c>
      <c r="F1495" s="35">
        <v>2731.6350000000002</v>
      </c>
      <c r="G1495" s="36">
        <v>0.92</v>
      </c>
      <c r="H1495" s="35">
        <f t="shared" si="48"/>
        <v>5463.27</v>
      </c>
      <c r="I1495" s="37">
        <v>45647</v>
      </c>
      <c r="J1495" s="33" t="s">
        <v>18</v>
      </c>
      <c r="K1495" s="33" t="s">
        <v>23</v>
      </c>
      <c r="L1495" s="38">
        <f t="shared" si="49"/>
        <v>437.06159999999983</v>
      </c>
      <c r="M1495" s="38">
        <v>109.26539999999996</v>
      </c>
      <c r="N1495" s="24">
        <f>_xlfn.XLOOKUP(Snitch_Fashion_Sales_cleaned!$J1495,Table2[City],Table2[City_Key],"not found")</f>
        <v>2</v>
      </c>
      <c r="O1495" s="23">
        <f>_xlfn.XLOOKUP(Snitch_Fashion_Sales_cleaned!$D1495,Table4[Product_Name],Table4[Product_Key],"not found")</f>
        <v>12</v>
      </c>
      <c r="P1495" s="32">
        <f>_xlfn.XLOOKUP(Snitch_Fashion_Sales_cleaned!$I1495,Table3[Order_Date],Table3[Date_Key])</f>
        <v>5</v>
      </c>
    </row>
    <row r="1496" spans="1:16" x14ac:dyDescent="0.3">
      <c r="A1496" s="27">
        <v>2494</v>
      </c>
      <c r="B1496" s="25" t="s">
        <v>1527</v>
      </c>
      <c r="C1496" s="25" t="s">
        <v>25</v>
      </c>
      <c r="D1496" s="26" t="s">
        <v>26</v>
      </c>
      <c r="E1496" s="27">
        <v>3</v>
      </c>
      <c r="F1496" s="28">
        <v>2933.45</v>
      </c>
      <c r="G1496" s="29">
        <v>0.51</v>
      </c>
      <c r="H1496" s="28">
        <f t="shared" si="48"/>
        <v>8800.3499999999985</v>
      </c>
      <c r="I1496" s="30">
        <v>45782</v>
      </c>
      <c r="J1496" s="26" t="s">
        <v>52</v>
      </c>
      <c r="K1496" s="26" t="s">
        <v>23</v>
      </c>
      <c r="L1496" s="31">
        <f t="shared" si="49"/>
        <v>4312.1714999999995</v>
      </c>
      <c r="M1496" s="31">
        <v>1753.67</v>
      </c>
      <c r="N1496" s="22">
        <f>_xlfn.XLOOKUP(Snitch_Fashion_Sales_cleaned!$J1496,Table2[City],Table2[City_Key],"not found")</f>
        <v>5</v>
      </c>
      <c r="O1496" s="21">
        <f>_xlfn.XLOOKUP(Snitch_Fashion_Sales_cleaned!$D1496,Table4[Product_Name],Table4[Product_Key],"not found")</f>
        <v>3</v>
      </c>
      <c r="P1496" s="25">
        <f>_xlfn.XLOOKUP(Snitch_Fashion_Sales_cleaned!$I1496,Table3[Order_Date],Table3[Date_Key])</f>
        <v>80</v>
      </c>
    </row>
    <row r="1497" spans="1:16" x14ac:dyDescent="0.3">
      <c r="A1497" s="34">
        <v>2495</v>
      </c>
      <c r="B1497" s="32" t="s">
        <v>1528</v>
      </c>
      <c r="C1497" s="32" t="s">
        <v>13</v>
      </c>
      <c r="D1497" s="33" t="s">
        <v>14</v>
      </c>
      <c r="E1497" s="34">
        <v>4</v>
      </c>
      <c r="F1497" s="35">
        <v>1106.0899999999999</v>
      </c>
      <c r="G1497" s="36">
        <v>0.51</v>
      </c>
      <c r="H1497" s="35">
        <f t="shared" si="48"/>
        <v>4424.3599999999997</v>
      </c>
      <c r="I1497" s="37">
        <v>45197</v>
      </c>
      <c r="J1497" s="33" t="s">
        <v>15</v>
      </c>
      <c r="K1497" s="33" t="s">
        <v>16</v>
      </c>
      <c r="L1497" s="38">
        <f t="shared" si="49"/>
        <v>2167.9363999999996</v>
      </c>
      <c r="M1497" s="38">
        <v>1838.39</v>
      </c>
      <c r="N1497" s="24">
        <f>_xlfn.XLOOKUP(Snitch_Fashion_Sales_cleaned!$J1497,Table2[City],Table2[City_Key],"not found")</f>
        <v>1</v>
      </c>
      <c r="O1497" s="23">
        <f>_xlfn.XLOOKUP(Snitch_Fashion_Sales_cleaned!$D1497,Table4[Product_Name],Table4[Product_Key],"not found")</f>
        <v>1</v>
      </c>
      <c r="P1497" s="32">
        <f>_xlfn.XLOOKUP(Snitch_Fashion_Sales_cleaned!$I1497,Table3[Order_Date],Table3[Date_Key])</f>
        <v>361</v>
      </c>
    </row>
    <row r="1498" spans="1:16" x14ac:dyDescent="0.3">
      <c r="A1498" s="27">
        <v>2496</v>
      </c>
      <c r="B1498" s="25" t="s">
        <v>1529</v>
      </c>
      <c r="C1498" s="25" t="s">
        <v>20</v>
      </c>
      <c r="D1498" s="26" t="s">
        <v>21</v>
      </c>
      <c r="E1498" s="27">
        <v>4</v>
      </c>
      <c r="F1498" s="28">
        <v>2579.8000000000002</v>
      </c>
      <c r="G1498" s="29">
        <v>0.51</v>
      </c>
      <c r="H1498" s="28">
        <f t="shared" si="48"/>
        <v>10319.200000000001</v>
      </c>
      <c r="I1498" s="30">
        <v>45800</v>
      </c>
      <c r="J1498" s="26" t="s">
        <v>15</v>
      </c>
      <c r="K1498" s="26" t="s">
        <v>23</v>
      </c>
      <c r="L1498" s="31">
        <f t="shared" si="49"/>
        <v>5056.4080000000004</v>
      </c>
      <c r="M1498" s="31">
        <v>2882.47</v>
      </c>
      <c r="N1498" s="22">
        <f>_xlfn.XLOOKUP(Snitch_Fashion_Sales_cleaned!$J1498,Table2[City],Table2[City_Key],"not found")</f>
        <v>1</v>
      </c>
      <c r="O1498" s="21">
        <f>_xlfn.XLOOKUP(Snitch_Fashion_Sales_cleaned!$D1498,Table4[Product_Name],Table4[Product_Key],"not found")</f>
        <v>2</v>
      </c>
      <c r="P1498" s="25">
        <f>_xlfn.XLOOKUP(Snitch_Fashion_Sales_cleaned!$I1498,Table3[Order_Date],Table3[Date_Key])</f>
        <v>442</v>
      </c>
    </row>
    <row r="1499" spans="1:16" x14ac:dyDescent="0.3">
      <c r="A1499" s="34">
        <v>2497</v>
      </c>
      <c r="B1499" s="32" t="s">
        <v>1530</v>
      </c>
      <c r="C1499" s="32" t="s">
        <v>28</v>
      </c>
      <c r="D1499" s="33" t="s">
        <v>116</v>
      </c>
      <c r="E1499" s="34">
        <v>1</v>
      </c>
      <c r="F1499" s="35">
        <v>3607.5</v>
      </c>
      <c r="G1499" s="36">
        <v>0.51</v>
      </c>
      <c r="H1499" s="35">
        <f t="shared" si="48"/>
        <v>3607.5</v>
      </c>
      <c r="I1499" s="37">
        <v>45670</v>
      </c>
      <c r="J1499" s="33" t="s">
        <v>18</v>
      </c>
      <c r="K1499" s="33" t="s">
        <v>23</v>
      </c>
      <c r="L1499" s="38">
        <f t="shared" si="49"/>
        <v>1767.675</v>
      </c>
      <c r="M1499" s="38">
        <v>-341.21</v>
      </c>
      <c r="N1499" s="24">
        <f>_xlfn.XLOOKUP(Snitch_Fashion_Sales_cleaned!$J1499,Table2[City],Table2[City_Key],"not found")</f>
        <v>2</v>
      </c>
      <c r="O1499" s="23">
        <f>_xlfn.XLOOKUP(Snitch_Fashion_Sales_cleaned!$D1499,Table4[Product_Name],Table4[Product_Key],"not found")</f>
        <v>22</v>
      </c>
      <c r="P1499" s="32">
        <f>_xlfn.XLOOKUP(Snitch_Fashion_Sales_cleaned!$I1499,Table3[Order_Date],Table3[Date_Key])</f>
        <v>396</v>
      </c>
    </row>
    <row r="1500" spans="1:16" x14ac:dyDescent="0.3">
      <c r="A1500" s="27">
        <v>2498</v>
      </c>
      <c r="B1500" s="25" t="s">
        <v>1531</v>
      </c>
      <c r="C1500" s="25" t="s">
        <v>20</v>
      </c>
      <c r="D1500" s="26" t="s">
        <v>21</v>
      </c>
      <c r="E1500" s="27">
        <v>4</v>
      </c>
      <c r="F1500" s="28">
        <v>2043.67</v>
      </c>
      <c r="G1500" s="29">
        <v>0.51</v>
      </c>
      <c r="H1500" s="28">
        <f t="shared" si="48"/>
        <v>8174.68</v>
      </c>
      <c r="I1500" s="30">
        <v>45176</v>
      </c>
      <c r="J1500" s="26" t="s">
        <v>43</v>
      </c>
      <c r="K1500" s="26" t="s">
        <v>16</v>
      </c>
      <c r="L1500" s="31">
        <f t="shared" si="49"/>
        <v>4005.5932000000003</v>
      </c>
      <c r="M1500" s="31">
        <v>-24.72</v>
      </c>
      <c r="N1500" s="22">
        <f>_xlfn.XLOOKUP(Snitch_Fashion_Sales_cleaned!$J1500,Table2[City],Table2[City_Key],"not found")</f>
        <v>6</v>
      </c>
      <c r="O1500" s="21">
        <f>_xlfn.XLOOKUP(Snitch_Fashion_Sales_cleaned!$D1500,Table4[Product_Name],Table4[Product_Key],"not found")</f>
        <v>2</v>
      </c>
      <c r="P1500" s="25">
        <f>_xlfn.XLOOKUP(Snitch_Fashion_Sales_cleaned!$I1500,Table3[Order_Date],Table3[Date_Key])</f>
        <v>259</v>
      </c>
    </row>
    <row r="1501" spans="1:16" x14ac:dyDescent="0.3">
      <c r="A1501" s="34">
        <v>2499</v>
      </c>
      <c r="B1501" s="32" t="s">
        <v>1205</v>
      </c>
      <c r="C1501" s="32" t="s">
        <v>36</v>
      </c>
      <c r="D1501" s="33" t="s">
        <v>37</v>
      </c>
      <c r="E1501" s="34">
        <v>4</v>
      </c>
      <c r="F1501" s="35">
        <v>4638.76</v>
      </c>
      <c r="G1501" s="36">
        <v>0.51</v>
      </c>
      <c r="H1501" s="35">
        <f t="shared" si="48"/>
        <v>18555.04</v>
      </c>
      <c r="I1501" s="37">
        <v>45677</v>
      </c>
      <c r="J1501" s="33" t="s">
        <v>52</v>
      </c>
      <c r="K1501" s="33" t="s">
        <v>23</v>
      </c>
      <c r="L1501" s="38">
        <f t="shared" si="49"/>
        <v>9091.9696000000004</v>
      </c>
      <c r="M1501" s="38">
        <v>379.89</v>
      </c>
      <c r="N1501" s="24">
        <f>_xlfn.XLOOKUP(Snitch_Fashion_Sales_cleaned!$J1501,Table2[City],Table2[City_Key],"not found")</f>
        <v>5</v>
      </c>
      <c r="O1501" s="23">
        <f>_xlfn.XLOOKUP(Snitch_Fashion_Sales_cleaned!$D1501,Table4[Product_Name],Table4[Product_Key],"not found")</f>
        <v>7</v>
      </c>
      <c r="P1501" s="32">
        <f>_xlfn.XLOOKUP(Snitch_Fashion_Sales_cleaned!$I1501,Table3[Order_Date],Table3[Date_Key])</f>
        <v>424</v>
      </c>
    </row>
    <row r="1502" spans="1:16" x14ac:dyDescent="0.3">
      <c r="A1502" s="27">
        <v>2500</v>
      </c>
      <c r="B1502" s="25" t="s">
        <v>1532</v>
      </c>
      <c r="C1502" s="25" t="s">
        <v>28</v>
      </c>
      <c r="D1502" s="26" t="s">
        <v>116</v>
      </c>
      <c r="E1502" s="27">
        <v>5</v>
      </c>
      <c r="F1502" s="28">
        <v>2785.79</v>
      </c>
      <c r="G1502" s="29">
        <v>0.92</v>
      </c>
      <c r="H1502" s="28">
        <f t="shared" si="48"/>
        <v>13928.95</v>
      </c>
      <c r="I1502" s="30">
        <v>45503</v>
      </c>
      <c r="J1502" s="26" t="s">
        <v>15</v>
      </c>
      <c r="K1502" s="26" t="s">
        <v>23</v>
      </c>
      <c r="L1502" s="31">
        <f t="shared" si="49"/>
        <v>1114.3159999999996</v>
      </c>
      <c r="M1502" s="31">
        <v>765.43</v>
      </c>
      <c r="N1502" s="22">
        <f>_xlfn.XLOOKUP(Snitch_Fashion_Sales_cleaned!$J1502,Table2[City],Table2[City_Key],"not found")</f>
        <v>1</v>
      </c>
      <c r="O1502" s="21">
        <f>_xlfn.XLOOKUP(Snitch_Fashion_Sales_cleaned!$D1502,Table4[Product_Name],Table4[Product_Key],"not found")</f>
        <v>22</v>
      </c>
      <c r="P1502" s="25">
        <f>_xlfn.XLOOKUP(Snitch_Fashion_Sales_cleaned!$I1502,Table3[Order_Date],Table3[Date_Key])</f>
        <v>283</v>
      </c>
    </row>
    <row r="1503" spans="1:16" x14ac:dyDescent="0.3">
      <c r="A1503" s="34">
        <v>2501</v>
      </c>
      <c r="B1503" s="32" t="s">
        <v>1533</v>
      </c>
      <c r="C1503" s="32" t="s">
        <v>36</v>
      </c>
      <c r="D1503" s="33" t="s">
        <v>55</v>
      </c>
      <c r="E1503" s="34">
        <v>3</v>
      </c>
      <c r="F1503" s="35">
        <v>2731.6350000000002</v>
      </c>
      <c r="G1503" s="36">
        <v>0.51</v>
      </c>
      <c r="H1503" s="35">
        <f t="shared" si="48"/>
        <v>8194.9050000000007</v>
      </c>
      <c r="I1503" s="37">
        <v>45647</v>
      </c>
      <c r="J1503" s="33" t="s">
        <v>18</v>
      </c>
      <c r="K1503" s="33" t="s">
        <v>23</v>
      </c>
      <c r="L1503" s="38">
        <f t="shared" si="49"/>
        <v>4015.5034500000002</v>
      </c>
      <c r="M1503" s="38">
        <v>106.21</v>
      </c>
      <c r="N1503" s="24">
        <f>_xlfn.XLOOKUP(Snitch_Fashion_Sales_cleaned!$J1503,Table2[City],Table2[City_Key],"not found")</f>
        <v>2</v>
      </c>
      <c r="O1503" s="23">
        <f>_xlfn.XLOOKUP(Snitch_Fashion_Sales_cleaned!$D1503,Table4[Product_Name],Table4[Product_Key],"not found")</f>
        <v>12</v>
      </c>
      <c r="P1503" s="32">
        <f>_xlfn.XLOOKUP(Snitch_Fashion_Sales_cleaned!$I1503,Table3[Order_Date],Table3[Date_Key])</f>
        <v>5</v>
      </c>
    </row>
    <row r="1504" spans="1:16" x14ac:dyDescent="0.3">
      <c r="A1504" s="27">
        <v>2502</v>
      </c>
      <c r="B1504" s="25" t="s">
        <v>1534</v>
      </c>
      <c r="C1504" s="25" t="s">
        <v>25</v>
      </c>
      <c r="D1504" s="26" t="s">
        <v>26</v>
      </c>
      <c r="E1504" s="27">
        <v>4</v>
      </c>
      <c r="F1504" s="28">
        <v>2933.45</v>
      </c>
      <c r="G1504" s="29">
        <v>1</v>
      </c>
      <c r="H1504" s="28">
        <f t="shared" si="48"/>
        <v>11733.8</v>
      </c>
      <c r="I1504" s="30">
        <v>45855</v>
      </c>
      <c r="J1504" s="26" t="s">
        <v>22</v>
      </c>
      <c r="K1504" s="26" t="s">
        <v>23</v>
      </c>
      <c r="L1504" s="31">
        <f t="shared" si="49"/>
        <v>0</v>
      </c>
      <c r="M1504" s="31">
        <v>0</v>
      </c>
      <c r="N1504" s="22">
        <f>_xlfn.XLOOKUP(Snitch_Fashion_Sales_cleaned!$J1504,Table2[City],Table2[City_Key],"not found")</f>
        <v>3</v>
      </c>
      <c r="O1504" s="21">
        <f>_xlfn.XLOOKUP(Snitch_Fashion_Sales_cleaned!$D1504,Table4[Product_Name],Table4[Product_Key],"not found")</f>
        <v>3</v>
      </c>
      <c r="P1504" s="25">
        <f>_xlfn.XLOOKUP(Snitch_Fashion_Sales_cleaned!$I1504,Table3[Order_Date],Table3[Date_Key])</f>
        <v>97</v>
      </c>
    </row>
    <row r="1505" spans="1:16" x14ac:dyDescent="0.3">
      <c r="A1505" s="34">
        <v>2503</v>
      </c>
      <c r="B1505" s="32" t="s">
        <v>1535</v>
      </c>
      <c r="C1505" s="32" t="s">
        <v>28</v>
      </c>
      <c r="D1505" s="33" t="s">
        <v>39</v>
      </c>
      <c r="E1505" s="34">
        <v>3</v>
      </c>
      <c r="F1505" s="35">
        <v>1259.22</v>
      </c>
      <c r="G1505" s="36">
        <v>0.51</v>
      </c>
      <c r="H1505" s="35">
        <f t="shared" si="48"/>
        <v>3777.66</v>
      </c>
      <c r="I1505" s="37">
        <v>45499</v>
      </c>
      <c r="J1505" s="33" t="s">
        <v>2540</v>
      </c>
      <c r="K1505" s="33" t="s">
        <v>23</v>
      </c>
      <c r="L1505" s="38">
        <f t="shared" si="49"/>
        <v>1851.0533999999998</v>
      </c>
      <c r="M1505" s="38">
        <v>120.44</v>
      </c>
      <c r="N1505" s="24">
        <f>_xlfn.XLOOKUP(Snitch_Fashion_Sales_cleaned!$J1505,Table2[City],Table2[City_Key],"not found")</f>
        <v>4</v>
      </c>
      <c r="O1505" s="23">
        <f>_xlfn.XLOOKUP(Snitch_Fashion_Sales_cleaned!$D1505,Table4[Product_Name],Table4[Product_Key],"not found")</f>
        <v>8</v>
      </c>
      <c r="P1505" s="32">
        <f>_xlfn.XLOOKUP(Snitch_Fashion_Sales_cleaned!$I1505,Table3[Order_Date],Table3[Date_Key])</f>
        <v>176</v>
      </c>
    </row>
    <row r="1506" spans="1:16" x14ac:dyDescent="0.3">
      <c r="A1506" s="27">
        <v>2504</v>
      </c>
      <c r="B1506" s="25" t="s">
        <v>1536</v>
      </c>
      <c r="C1506" s="25" t="s">
        <v>36</v>
      </c>
      <c r="D1506" s="26" t="s">
        <v>59</v>
      </c>
      <c r="E1506" s="27">
        <v>2</v>
      </c>
      <c r="F1506" s="28">
        <v>2765.26</v>
      </c>
      <c r="G1506" s="29">
        <v>0.51</v>
      </c>
      <c r="H1506" s="28">
        <f t="shared" si="48"/>
        <v>5530.52</v>
      </c>
      <c r="I1506" s="30">
        <v>45647</v>
      </c>
      <c r="J1506" s="26" t="s">
        <v>18</v>
      </c>
      <c r="K1506" s="26" t="s">
        <v>23</v>
      </c>
      <c r="L1506" s="31">
        <f t="shared" si="49"/>
        <v>2709.9548</v>
      </c>
      <c r="M1506" s="31">
        <v>-757.99</v>
      </c>
      <c r="N1506" s="22">
        <f>_xlfn.XLOOKUP(Snitch_Fashion_Sales_cleaned!$J1506,Table2[City],Table2[City_Key],"not found")</f>
        <v>2</v>
      </c>
      <c r="O1506" s="21">
        <f>_xlfn.XLOOKUP(Snitch_Fashion_Sales_cleaned!$D1506,Table4[Product_Name],Table4[Product_Key],"not found")</f>
        <v>13</v>
      </c>
      <c r="P1506" s="25">
        <f>_xlfn.XLOOKUP(Snitch_Fashion_Sales_cleaned!$I1506,Table3[Order_Date],Table3[Date_Key])</f>
        <v>5</v>
      </c>
    </row>
    <row r="1507" spans="1:16" x14ac:dyDescent="0.3">
      <c r="A1507" s="34">
        <v>2505</v>
      </c>
      <c r="B1507" s="32" t="s">
        <v>1537</v>
      </c>
      <c r="C1507" s="32" t="s">
        <v>25</v>
      </c>
      <c r="D1507" s="33" t="s">
        <v>50</v>
      </c>
      <c r="E1507" s="34">
        <v>4</v>
      </c>
      <c r="F1507" s="35">
        <v>1258.77</v>
      </c>
      <c r="G1507" s="36">
        <v>0.71</v>
      </c>
      <c r="H1507" s="35">
        <f t="shared" si="48"/>
        <v>5035.08</v>
      </c>
      <c r="I1507" s="37">
        <v>45658</v>
      </c>
      <c r="J1507" s="33" t="s">
        <v>52</v>
      </c>
      <c r="K1507" s="33" t="s">
        <v>23</v>
      </c>
      <c r="L1507" s="38">
        <f t="shared" si="49"/>
        <v>1460.1732000000002</v>
      </c>
      <c r="M1507" s="38">
        <v>549.6</v>
      </c>
      <c r="N1507" s="24">
        <f>_xlfn.XLOOKUP(Snitch_Fashion_Sales_cleaned!$J1507,Table2[City],Table2[City_Key],"not found")</f>
        <v>5</v>
      </c>
      <c r="O1507" s="23">
        <f>_xlfn.XLOOKUP(Snitch_Fashion_Sales_cleaned!$D1507,Table4[Product_Name],Table4[Product_Key],"not found")</f>
        <v>11</v>
      </c>
      <c r="P1507" s="32">
        <f>_xlfn.XLOOKUP(Snitch_Fashion_Sales_cleaned!$I1507,Table3[Order_Date],Table3[Date_Key])</f>
        <v>352</v>
      </c>
    </row>
    <row r="1508" spans="1:16" x14ac:dyDescent="0.3">
      <c r="A1508" s="27">
        <v>2506</v>
      </c>
      <c r="B1508" s="25" t="s">
        <v>1538</v>
      </c>
      <c r="C1508" s="25" t="s">
        <v>20</v>
      </c>
      <c r="D1508" s="26" t="s">
        <v>118</v>
      </c>
      <c r="E1508" s="27">
        <v>3.5</v>
      </c>
      <c r="F1508" s="28">
        <v>2752.99</v>
      </c>
      <c r="G1508" s="29">
        <v>0.51</v>
      </c>
      <c r="H1508" s="28">
        <f t="shared" si="48"/>
        <v>9635.4650000000001</v>
      </c>
      <c r="I1508" s="30">
        <v>45649</v>
      </c>
      <c r="J1508" s="26" t="s">
        <v>52</v>
      </c>
      <c r="K1508" s="26" t="s">
        <v>23</v>
      </c>
      <c r="L1508" s="31">
        <f t="shared" si="49"/>
        <v>4721.3778499999999</v>
      </c>
      <c r="M1508" s="31">
        <v>1734.31</v>
      </c>
      <c r="N1508" s="22">
        <f>_xlfn.XLOOKUP(Snitch_Fashion_Sales_cleaned!$J1508,Table2[City],Table2[City_Key],"not found")</f>
        <v>5</v>
      </c>
      <c r="O1508" s="21">
        <f>_xlfn.XLOOKUP(Snitch_Fashion_Sales_cleaned!$D1508,Table4[Product_Name],Table4[Product_Key],"not found")</f>
        <v>23</v>
      </c>
      <c r="P1508" s="25">
        <f>_xlfn.XLOOKUP(Snitch_Fashion_Sales_cleaned!$I1508,Table3[Order_Date],Table3[Date_Key])</f>
        <v>42</v>
      </c>
    </row>
    <row r="1509" spans="1:16" x14ac:dyDescent="0.3">
      <c r="A1509" s="34">
        <v>2507</v>
      </c>
      <c r="B1509" s="32" t="s">
        <v>1539</v>
      </c>
      <c r="C1509" s="32" t="s">
        <v>31</v>
      </c>
      <c r="D1509" s="33" t="s">
        <v>78</v>
      </c>
      <c r="E1509" s="34">
        <v>4</v>
      </c>
      <c r="F1509" s="35">
        <v>2599.75</v>
      </c>
      <c r="G1509" s="36">
        <v>0.51</v>
      </c>
      <c r="H1509" s="35">
        <f t="shared" si="48"/>
        <v>10399</v>
      </c>
      <c r="I1509" s="37">
        <v>45821</v>
      </c>
      <c r="J1509" s="33" t="s">
        <v>18</v>
      </c>
      <c r="K1509" s="33" t="s">
        <v>16</v>
      </c>
      <c r="L1509" s="38">
        <f t="shared" si="49"/>
        <v>5095.51</v>
      </c>
      <c r="M1509" s="38">
        <v>339.83</v>
      </c>
      <c r="N1509" s="24">
        <f>_xlfn.XLOOKUP(Snitch_Fashion_Sales_cleaned!$J1509,Table2[City],Table2[City_Key],"not found")</f>
        <v>2</v>
      </c>
      <c r="O1509" s="23">
        <f>_xlfn.XLOOKUP(Snitch_Fashion_Sales_cleaned!$D1509,Table4[Product_Name],Table4[Product_Key],"not found")</f>
        <v>17</v>
      </c>
      <c r="P1509" s="32">
        <f>_xlfn.XLOOKUP(Snitch_Fashion_Sales_cleaned!$I1509,Table3[Order_Date],Table3[Date_Key])</f>
        <v>273</v>
      </c>
    </row>
    <row r="1510" spans="1:16" x14ac:dyDescent="0.3">
      <c r="A1510" s="27">
        <v>2508</v>
      </c>
      <c r="B1510" s="25" t="s">
        <v>1540</v>
      </c>
      <c r="C1510" s="25" t="s">
        <v>31</v>
      </c>
      <c r="D1510" s="26" t="s">
        <v>41</v>
      </c>
      <c r="E1510" s="27">
        <v>3</v>
      </c>
      <c r="F1510" s="28">
        <v>4245.43</v>
      </c>
      <c r="G1510" s="29">
        <v>0.51</v>
      </c>
      <c r="H1510" s="28">
        <f t="shared" si="48"/>
        <v>12736.29</v>
      </c>
      <c r="I1510" s="30">
        <v>45739</v>
      </c>
      <c r="J1510" s="26" t="s">
        <v>2540</v>
      </c>
      <c r="K1510" s="26" t="s">
        <v>23</v>
      </c>
      <c r="L1510" s="31">
        <f t="shared" si="49"/>
        <v>6240.7821000000004</v>
      </c>
      <c r="M1510" s="31">
        <v>-556.03</v>
      </c>
      <c r="N1510" s="22">
        <f>_xlfn.XLOOKUP(Snitch_Fashion_Sales_cleaned!$J1510,Table2[City],Table2[City_Key],"not found")</f>
        <v>4</v>
      </c>
      <c r="O1510" s="21">
        <f>_xlfn.XLOOKUP(Snitch_Fashion_Sales_cleaned!$D1510,Table4[Product_Name],Table4[Product_Key],"not found")</f>
        <v>9</v>
      </c>
      <c r="P1510" s="25">
        <f>_xlfn.XLOOKUP(Snitch_Fashion_Sales_cleaned!$I1510,Table3[Order_Date],Table3[Date_Key])</f>
        <v>124</v>
      </c>
    </row>
    <row r="1511" spans="1:16" x14ac:dyDescent="0.3">
      <c r="A1511" s="34">
        <v>2509</v>
      </c>
      <c r="B1511" s="32" t="s">
        <v>1541</v>
      </c>
      <c r="C1511" s="32" t="s">
        <v>20</v>
      </c>
      <c r="D1511" s="33" t="s">
        <v>21</v>
      </c>
      <c r="E1511" s="34">
        <v>5</v>
      </c>
      <c r="F1511" s="35">
        <v>2579.8000000000002</v>
      </c>
      <c r="G1511" s="36">
        <v>0.51</v>
      </c>
      <c r="H1511" s="35">
        <f t="shared" si="48"/>
        <v>12899</v>
      </c>
      <c r="I1511" s="37">
        <v>45538</v>
      </c>
      <c r="J1511" s="33" t="s">
        <v>43</v>
      </c>
      <c r="K1511" s="33" t="s">
        <v>23</v>
      </c>
      <c r="L1511" s="38">
        <f t="shared" si="49"/>
        <v>6320.51</v>
      </c>
      <c r="M1511" s="38">
        <v>1995.3</v>
      </c>
      <c r="N1511" s="24">
        <f>_xlfn.XLOOKUP(Snitch_Fashion_Sales_cleaned!$J1511,Table2[City],Table2[City_Key],"not found")</f>
        <v>6</v>
      </c>
      <c r="O1511" s="23">
        <f>_xlfn.XLOOKUP(Snitch_Fashion_Sales_cleaned!$D1511,Table4[Product_Name],Table4[Product_Key],"not found")</f>
        <v>2</v>
      </c>
      <c r="P1511" s="32">
        <f>_xlfn.XLOOKUP(Snitch_Fashion_Sales_cleaned!$I1511,Table3[Order_Date],Table3[Date_Key])</f>
        <v>294</v>
      </c>
    </row>
    <row r="1512" spans="1:16" x14ac:dyDescent="0.3">
      <c r="A1512" s="27">
        <v>2510</v>
      </c>
      <c r="B1512" s="25" t="s">
        <v>1542</v>
      </c>
      <c r="C1512" s="25" t="s">
        <v>36</v>
      </c>
      <c r="D1512" s="26" t="s">
        <v>55</v>
      </c>
      <c r="E1512" s="27">
        <v>3</v>
      </c>
      <c r="F1512" s="28">
        <v>2731.6350000000002</v>
      </c>
      <c r="G1512" s="29">
        <v>0.51</v>
      </c>
      <c r="H1512" s="28">
        <f t="shared" si="48"/>
        <v>8194.9050000000007</v>
      </c>
      <c r="I1512" s="30">
        <v>45647</v>
      </c>
      <c r="J1512" s="26" t="s">
        <v>15</v>
      </c>
      <c r="K1512" s="26" t="s">
        <v>16</v>
      </c>
      <c r="L1512" s="31">
        <f t="shared" si="49"/>
        <v>4015.5034500000002</v>
      </c>
      <c r="M1512" s="31">
        <v>-530.80999999999995</v>
      </c>
      <c r="N1512" s="22">
        <f>_xlfn.XLOOKUP(Snitch_Fashion_Sales_cleaned!$J1512,Table2[City],Table2[City_Key],"not found")</f>
        <v>1</v>
      </c>
      <c r="O1512" s="21">
        <f>_xlfn.XLOOKUP(Snitch_Fashion_Sales_cleaned!$D1512,Table4[Product_Name],Table4[Product_Key],"not found")</f>
        <v>12</v>
      </c>
      <c r="P1512" s="25">
        <f>_xlfn.XLOOKUP(Snitch_Fashion_Sales_cleaned!$I1512,Table3[Order_Date],Table3[Date_Key])</f>
        <v>5</v>
      </c>
    </row>
    <row r="1513" spans="1:16" x14ac:dyDescent="0.3">
      <c r="A1513" s="34">
        <v>2511</v>
      </c>
      <c r="B1513" s="32" t="s">
        <v>1543</v>
      </c>
      <c r="C1513" s="32" t="s">
        <v>20</v>
      </c>
      <c r="D1513" s="33" t="s">
        <v>76</v>
      </c>
      <c r="E1513" s="34">
        <v>3</v>
      </c>
      <c r="F1513" s="35">
        <v>2822.43</v>
      </c>
      <c r="G1513" s="36">
        <v>1</v>
      </c>
      <c r="H1513" s="35">
        <f t="shared" si="48"/>
        <v>8467.2899999999991</v>
      </c>
      <c r="I1513" s="37">
        <v>45730</v>
      </c>
      <c r="J1513" s="33" t="s">
        <v>2540</v>
      </c>
      <c r="K1513" s="33" t="s">
        <v>16</v>
      </c>
      <c r="L1513" s="38">
        <f t="shared" si="49"/>
        <v>0</v>
      </c>
      <c r="M1513" s="38">
        <v>0</v>
      </c>
      <c r="N1513" s="24">
        <f>_xlfn.XLOOKUP(Snitch_Fashion_Sales_cleaned!$J1513,Table2[City],Table2[City_Key],"not found")</f>
        <v>4</v>
      </c>
      <c r="O1513" s="23">
        <f>_xlfn.XLOOKUP(Snitch_Fashion_Sales_cleaned!$D1513,Table4[Product_Name],Table4[Product_Key],"not found")</f>
        <v>16</v>
      </c>
      <c r="P1513" s="32">
        <f>_xlfn.XLOOKUP(Snitch_Fashion_Sales_cleaned!$I1513,Table3[Order_Date],Table3[Date_Key])</f>
        <v>481</v>
      </c>
    </row>
    <row r="1514" spans="1:16" x14ac:dyDescent="0.3">
      <c r="A1514" s="27">
        <v>2512</v>
      </c>
      <c r="B1514" s="25" t="s">
        <v>1544</v>
      </c>
      <c r="C1514" s="25" t="s">
        <v>13</v>
      </c>
      <c r="D1514" s="26" t="s">
        <v>34</v>
      </c>
      <c r="E1514" s="27">
        <v>3</v>
      </c>
      <c r="F1514" s="28">
        <v>3008.6549999999997</v>
      </c>
      <c r="G1514" s="29">
        <v>0.53</v>
      </c>
      <c r="H1514" s="28">
        <f t="shared" si="48"/>
        <v>9025.9650000000001</v>
      </c>
      <c r="I1514" s="30">
        <v>45580</v>
      </c>
      <c r="J1514" s="26" t="s">
        <v>2540</v>
      </c>
      <c r="K1514" s="26" t="s">
        <v>23</v>
      </c>
      <c r="L1514" s="31">
        <f t="shared" si="49"/>
        <v>4242.2035500000002</v>
      </c>
      <c r="M1514" s="31">
        <v>958.94</v>
      </c>
      <c r="N1514" s="22">
        <f>_xlfn.XLOOKUP(Snitch_Fashion_Sales_cleaned!$J1514,Table2[City],Table2[City_Key],"not found")</f>
        <v>4</v>
      </c>
      <c r="O1514" s="21">
        <f>_xlfn.XLOOKUP(Snitch_Fashion_Sales_cleaned!$D1514,Table4[Product_Name],Table4[Product_Key],"not found")</f>
        <v>6</v>
      </c>
      <c r="P1514" s="25">
        <f>_xlfn.XLOOKUP(Snitch_Fashion_Sales_cleaned!$I1514,Table3[Order_Date],Table3[Date_Key])</f>
        <v>236</v>
      </c>
    </row>
    <row r="1515" spans="1:16" x14ac:dyDescent="0.3">
      <c r="A1515" s="34">
        <v>2513</v>
      </c>
      <c r="B1515" s="32" t="s">
        <v>1545</v>
      </c>
      <c r="C1515" s="32" t="s">
        <v>36</v>
      </c>
      <c r="D1515" s="33" t="s">
        <v>55</v>
      </c>
      <c r="E1515" s="34">
        <v>3</v>
      </c>
      <c r="F1515" s="35">
        <v>3625.99</v>
      </c>
      <c r="G1515" s="36">
        <v>0.93</v>
      </c>
      <c r="H1515" s="35">
        <f t="shared" si="48"/>
        <v>10877.97</v>
      </c>
      <c r="I1515" s="37">
        <v>45631</v>
      </c>
      <c r="J1515" s="33" t="s">
        <v>15</v>
      </c>
      <c r="K1515" s="33" t="s">
        <v>16</v>
      </c>
      <c r="L1515" s="38">
        <f t="shared" si="49"/>
        <v>761.45789999999943</v>
      </c>
      <c r="M1515" s="38">
        <v>190.36447499999986</v>
      </c>
      <c r="N1515" s="24">
        <f>_xlfn.XLOOKUP(Snitch_Fashion_Sales_cleaned!$J1515,Table2[City],Table2[City_Key],"not found")</f>
        <v>1</v>
      </c>
      <c r="O1515" s="23">
        <f>_xlfn.XLOOKUP(Snitch_Fashion_Sales_cleaned!$D1515,Table4[Product_Name],Table4[Product_Key],"not found")</f>
        <v>12</v>
      </c>
      <c r="P1515" s="32">
        <f>_xlfn.XLOOKUP(Snitch_Fashion_Sales_cleaned!$I1515,Table3[Order_Date],Table3[Date_Key])</f>
        <v>397</v>
      </c>
    </row>
    <row r="1516" spans="1:16" x14ac:dyDescent="0.3">
      <c r="A1516" s="27">
        <v>2514</v>
      </c>
      <c r="B1516" s="25" t="s">
        <v>1546</v>
      </c>
      <c r="C1516" s="25" t="s">
        <v>13</v>
      </c>
      <c r="D1516" s="26" t="s">
        <v>46</v>
      </c>
      <c r="E1516" s="27">
        <v>4</v>
      </c>
      <c r="F1516" s="28">
        <v>2891.64</v>
      </c>
      <c r="G1516" s="29">
        <v>0.1</v>
      </c>
      <c r="H1516" s="28">
        <f t="shared" si="48"/>
        <v>11566.56</v>
      </c>
      <c r="I1516" s="30">
        <v>45794</v>
      </c>
      <c r="J1516" s="26" t="s">
        <v>52</v>
      </c>
      <c r="K1516" s="26" t="s">
        <v>23</v>
      </c>
      <c r="L1516" s="31">
        <f t="shared" si="49"/>
        <v>10409.904</v>
      </c>
      <c r="M1516" s="31">
        <v>-862.68</v>
      </c>
      <c r="N1516" s="22">
        <f>_xlfn.XLOOKUP(Snitch_Fashion_Sales_cleaned!$J1516,Table2[City],Table2[City_Key],"not found")</f>
        <v>5</v>
      </c>
      <c r="O1516" s="21">
        <f>_xlfn.XLOOKUP(Snitch_Fashion_Sales_cleaned!$D1516,Table4[Product_Name],Table4[Product_Key],"not found")</f>
        <v>10</v>
      </c>
      <c r="P1516" s="25">
        <f>_xlfn.XLOOKUP(Snitch_Fashion_Sales_cleaned!$I1516,Table3[Order_Date],Table3[Date_Key])</f>
        <v>482</v>
      </c>
    </row>
    <row r="1517" spans="1:16" x14ac:dyDescent="0.3">
      <c r="A1517" s="34">
        <v>2515</v>
      </c>
      <c r="B1517" s="32" t="s">
        <v>1547</v>
      </c>
      <c r="C1517" s="32" t="s">
        <v>20</v>
      </c>
      <c r="D1517" s="33" t="s">
        <v>84</v>
      </c>
      <c r="E1517" s="34">
        <v>3</v>
      </c>
      <c r="F1517" s="35">
        <v>2537.59</v>
      </c>
      <c r="G1517" s="36">
        <v>0.51</v>
      </c>
      <c r="H1517" s="35">
        <f t="shared" si="48"/>
        <v>7612.77</v>
      </c>
      <c r="I1517" s="37">
        <v>45647</v>
      </c>
      <c r="J1517" s="33" t="s">
        <v>2540</v>
      </c>
      <c r="K1517" s="33" t="s">
        <v>23</v>
      </c>
      <c r="L1517" s="38">
        <f t="shared" si="49"/>
        <v>3730.2573000000002</v>
      </c>
      <c r="M1517" s="38">
        <v>2802.1</v>
      </c>
      <c r="N1517" s="24">
        <f>_xlfn.XLOOKUP(Snitch_Fashion_Sales_cleaned!$J1517,Table2[City],Table2[City_Key],"not found")</f>
        <v>4</v>
      </c>
      <c r="O1517" s="23">
        <f>_xlfn.XLOOKUP(Snitch_Fashion_Sales_cleaned!$D1517,Table4[Product_Name],Table4[Product_Key],"not found")</f>
        <v>19</v>
      </c>
      <c r="P1517" s="32">
        <f>_xlfn.XLOOKUP(Snitch_Fashion_Sales_cleaned!$I1517,Table3[Order_Date],Table3[Date_Key])</f>
        <v>5</v>
      </c>
    </row>
    <row r="1518" spans="1:16" x14ac:dyDescent="0.3">
      <c r="A1518" s="27">
        <v>2516</v>
      </c>
      <c r="B1518" s="25" t="s">
        <v>1548</v>
      </c>
      <c r="C1518" s="25" t="s">
        <v>13</v>
      </c>
      <c r="D1518" s="26" t="s">
        <v>98</v>
      </c>
      <c r="E1518" s="27">
        <v>1</v>
      </c>
      <c r="F1518" s="28">
        <v>1927.87</v>
      </c>
      <c r="G1518" s="29">
        <v>0.51</v>
      </c>
      <c r="H1518" s="28">
        <f t="shared" si="48"/>
        <v>1927.87</v>
      </c>
      <c r="I1518" s="30">
        <v>45825</v>
      </c>
      <c r="J1518" s="26" t="s">
        <v>15</v>
      </c>
      <c r="K1518" s="26" t="s">
        <v>23</v>
      </c>
      <c r="L1518" s="31">
        <f t="shared" si="49"/>
        <v>944.65629999999987</v>
      </c>
      <c r="M1518" s="31">
        <v>-876.36</v>
      </c>
      <c r="N1518" s="22">
        <f>_xlfn.XLOOKUP(Snitch_Fashion_Sales_cleaned!$J1518,Table2[City],Table2[City_Key],"not found")</f>
        <v>1</v>
      </c>
      <c r="O1518" s="21">
        <f>_xlfn.XLOOKUP(Snitch_Fashion_Sales_cleaned!$D1518,Table4[Product_Name],Table4[Product_Key],"not found")</f>
        <v>21</v>
      </c>
      <c r="P1518" s="25">
        <f>_xlfn.XLOOKUP(Snitch_Fashion_Sales_cleaned!$I1518,Table3[Order_Date],Table3[Date_Key])</f>
        <v>256</v>
      </c>
    </row>
    <row r="1519" spans="1:16" x14ac:dyDescent="0.3">
      <c r="A1519" s="34">
        <v>2517</v>
      </c>
      <c r="B1519" s="32" t="s">
        <v>1549</v>
      </c>
      <c r="C1519" s="32" t="s">
        <v>25</v>
      </c>
      <c r="D1519" s="33" t="s">
        <v>82</v>
      </c>
      <c r="E1519" s="34">
        <v>2</v>
      </c>
      <c r="F1519" s="35">
        <v>2385.5749999999998</v>
      </c>
      <c r="G1519" s="36">
        <v>0.2</v>
      </c>
      <c r="H1519" s="35">
        <f t="shared" si="48"/>
        <v>4771.1499999999996</v>
      </c>
      <c r="I1519" s="37">
        <v>45641</v>
      </c>
      <c r="J1519" s="33" t="s">
        <v>43</v>
      </c>
      <c r="K1519" s="33" t="s">
        <v>23</v>
      </c>
      <c r="L1519" s="38">
        <f t="shared" si="49"/>
        <v>3816.92</v>
      </c>
      <c r="M1519" s="38">
        <v>409.12</v>
      </c>
      <c r="N1519" s="24">
        <f>_xlfn.XLOOKUP(Snitch_Fashion_Sales_cleaned!$J1519,Table2[City],Table2[City_Key],"not found")</f>
        <v>6</v>
      </c>
      <c r="O1519" s="23">
        <f>_xlfn.XLOOKUP(Snitch_Fashion_Sales_cleaned!$D1519,Table4[Product_Name],Table4[Product_Key],"not found")</f>
        <v>18</v>
      </c>
      <c r="P1519" s="32">
        <f>_xlfn.XLOOKUP(Snitch_Fashion_Sales_cleaned!$I1519,Table3[Order_Date],Table3[Date_Key])</f>
        <v>99</v>
      </c>
    </row>
    <row r="1520" spans="1:16" x14ac:dyDescent="0.3">
      <c r="A1520" s="27">
        <v>2518</v>
      </c>
      <c r="B1520" s="25" t="s">
        <v>1550</v>
      </c>
      <c r="C1520" s="25" t="s">
        <v>25</v>
      </c>
      <c r="D1520" s="26" t="s">
        <v>82</v>
      </c>
      <c r="E1520" s="27">
        <v>6</v>
      </c>
      <c r="F1520" s="28">
        <v>773.28</v>
      </c>
      <c r="G1520" s="29">
        <v>0.51</v>
      </c>
      <c r="H1520" s="28">
        <f t="shared" si="48"/>
        <v>4639.68</v>
      </c>
      <c r="I1520" s="30">
        <v>45744</v>
      </c>
      <c r="J1520" s="26" t="s">
        <v>43</v>
      </c>
      <c r="K1520" s="26" t="s">
        <v>23</v>
      </c>
      <c r="L1520" s="31">
        <f t="shared" si="49"/>
        <v>2273.4432000000002</v>
      </c>
      <c r="M1520" s="31">
        <v>608.25</v>
      </c>
      <c r="N1520" s="22">
        <f>_xlfn.XLOOKUP(Snitch_Fashion_Sales_cleaned!$J1520,Table2[City],Table2[City_Key],"not found")</f>
        <v>6</v>
      </c>
      <c r="O1520" s="21">
        <f>_xlfn.XLOOKUP(Snitch_Fashion_Sales_cleaned!$D1520,Table4[Product_Name],Table4[Product_Key],"not found")</f>
        <v>18</v>
      </c>
      <c r="P1520" s="25">
        <f>_xlfn.XLOOKUP(Snitch_Fashion_Sales_cleaned!$I1520,Table3[Order_Date],Table3[Date_Key])</f>
        <v>225</v>
      </c>
    </row>
    <row r="1521" spans="1:16" x14ac:dyDescent="0.3">
      <c r="A1521" s="34">
        <v>2519</v>
      </c>
      <c r="B1521" s="32" t="s">
        <v>1551</v>
      </c>
      <c r="C1521" s="32" t="s">
        <v>36</v>
      </c>
      <c r="D1521" s="33" t="s">
        <v>55</v>
      </c>
      <c r="E1521" s="34">
        <v>3</v>
      </c>
      <c r="F1521" s="35">
        <v>3873.82</v>
      </c>
      <c r="G1521" s="36">
        <v>0.99</v>
      </c>
      <c r="H1521" s="35">
        <f t="shared" si="48"/>
        <v>11621.460000000001</v>
      </c>
      <c r="I1521" s="37">
        <v>45549</v>
      </c>
      <c r="J1521" s="33" t="s">
        <v>15</v>
      </c>
      <c r="K1521" s="33" t="s">
        <v>23</v>
      </c>
      <c r="L1521" s="38">
        <f t="shared" si="49"/>
        <v>116.21460000000012</v>
      </c>
      <c r="M1521" s="38">
        <v>29.05365000000003</v>
      </c>
      <c r="N1521" s="24">
        <f>_xlfn.XLOOKUP(Snitch_Fashion_Sales_cleaned!$J1521,Table2[City],Table2[City_Key],"not found")</f>
        <v>1</v>
      </c>
      <c r="O1521" s="23">
        <f>_xlfn.XLOOKUP(Snitch_Fashion_Sales_cleaned!$D1521,Table4[Product_Name],Table4[Product_Key],"not found")</f>
        <v>12</v>
      </c>
      <c r="P1521" s="32">
        <f>_xlfn.XLOOKUP(Snitch_Fashion_Sales_cleaned!$I1521,Table3[Order_Date],Table3[Date_Key])</f>
        <v>220</v>
      </c>
    </row>
    <row r="1522" spans="1:16" x14ac:dyDescent="0.3">
      <c r="A1522" s="27">
        <v>2520</v>
      </c>
      <c r="B1522" s="25" t="s">
        <v>1552</v>
      </c>
      <c r="C1522" s="25" t="s">
        <v>13</v>
      </c>
      <c r="D1522" s="26" t="s">
        <v>46</v>
      </c>
      <c r="E1522" s="27">
        <v>1</v>
      </c>
      <c r="F1522" s="28">
        <v>2581.19</v>
      </c>
      <c r="G1522" s="29">
        <v>0.51</v>
      </c>
      <c r="H1522" s="28">
        <f t="shared" si="48"/>
        <v>2581.19</v>
      </c>
      <c r="I1522" s="30">
        <v>45418</v>
      </c>
      <c r="J1522" s="26" t="s">
        <v>52</v>
      </c>
      <c r="K1522" s="26" t="s">
        <v>23</v>
      </c>
      <c r="L1522" s="31">
        <f t="shared" si="49"/>
        <v>1264.7831000000001</v>
      </c>
      <c r="M1522" s="31">
        <v>316.19577500000003</v>
      </c>
      <c r="N1522" s="22">
        <f>_xlfn.XLOOKUP(Snitch_Fashion_Sales_cleaned!$J1522,Table2[City],Table2[City_Key],"not found")</f>
        <v>5</v>
      </c>
      <c r="O1522" s="21">
        <f>_xlfn.XLOOKUP(Snitch_Fashion_Sales_cleaned!$D1522,Table4[Product_Name],Table4[Product_Key],"not found")</f>
        <v>10</v>
      </c>
      <c r="P1522" s="25">
        <f>_xlfn.XLOOKUP(Snitch_Fashion_Sales_cleaned!$I1522,Table3[Order_Date],Table3[Date_Key])</f>
        <v>483</v>
      </c>
    </row>
    <row r="1523" spans="1:16" x14ac:dyDescent="0.3">
      <c r="A1523" s="34">
        <v>2521</v>
      </c>
      <c r="B1523" s="32" t="s">
        <v>1553</v>
      </c>
      <c r="C1523" s="32" t="s">
        <v>36</v>
      </c>
      <c r="D1523" s="33" t="s">
        <v>59</v>
      </c>
      <c r="E1523" s="34">
        <v>3</v>
      </c>
      <c r="F1523" s="35">
        <v>2765.26</v>
      </c>
      <c r="G1523" s="36">
        <v>0.51</v>
      </c>
      <c r="H1523" s="35">
        <f t="shared" si="48"/>
        <v>8295.7800000000007</v>
      </c>
      <c r="I1523" s="37">
        <v>45538</v>
      </c>
      <c r="J1523" s="33" t="s">
        <v>22</v>
      </c>
      <c r="K1523" s="33" t="s">
        <v>16</v>
      </c>
      <c r="L1523" s="38">
        <f t="shared" si="49"/>
        <v>4064.9322000000002</v>
      </c>
      <c r="M1523" s="38">
        <v>140.18</v>
      </c>
      <c r="N1523" s="24">
        <f>_xlfn.XLOOKUP(Snitch_Fashion_Sales_cleaned!$J1523,Table2[City],Table2[City_Key],"not found")</f>
        <v>3</v>
      </c>
      <c r="O1523" s="23">
        <f>_xlfn.XLOOKUP(Snitch_Fashion_Sales_cleaned!$D1523,Table4[Product_Name],Table4[Product_Key],"not found")</f>
        <v>13</v>
      </c>
      <c r="P1523" s="32">
        <f>_xlfn.XLOOKUP(Snitch_Fashion_Sales_cleaned!$I1523,Table3[Order_Date],Table3[Date_Key])</f>
        <v>294</v>
      </c>
    </row>
    <row r="1524" spans="1:16" x14ac:dyDescent="0.3">
      <c r="A1524" s="27">
        <v>2522</v>
      </c>
      <c r="B1524" s="25" t="s">
        <v>1554</v>
      </c>
      <c r="C1524" s="25" t="s">
        <v>36</v>
      </c>
      <c r="D1524" s="26" t="s">
        <v>59</v>
      </c>
      <c r="E1524" s="27">
        <v>4</v>
      </c>
      <c r="F1524" s="28">
        <v>2847.02</v>
      </c>
      <c r="G1524" s="29">
        <v>0.56999999999999995</v>
      </c>
      <c r="H1524" s="28">
        <f t="shared" si="48"/>
        <v>11388.08</v>
      </c>
      <c r="I1524" s="30">
        <v>45171</v>
      </c>
      <c r="J1524" s="26" t="s">
        <v>43</v>
      </c>
      <c r="K1524" s="26" t="s">
        <v>23</v>
      </c>
      <c r="L1524" s="31">
        <f t="shared" si="49"/>
        <v>4896.8744000000006</v>
      </c>
      <c r="M1524" s="31">
        <v>1592.04</v>
      </c>
      <c r="N1524" s="22">
        <f>_xlfn.XLOOKUP(Snitch_Fashion_Sales_cleaned!$J1524,Table2[City],Table2[City_Key],"not found")</f>
        <v>6</v>
      </c>
      <c r="O1524" s="21">
        <f>_xlfn.XLOOKUP(Snitch_Fashion_Sales_cleaned!$D1524,Table4[Product_Name],Table4[Product_Key],"not found")</f>
        <v>13</v>
      </c>
      <c r="P1524" s="25">
        <f>_xlfn.XLOOKUP(Snitch_Fashion_Sales_cleaned!$I1524,Table3[Order_Date],Table3[Date_Key])</f>
        <v>435</v>
      </c>
    </row>
    <row r="1525" spans="1:16" x14ac:dyDescent="0.3">
      <c r="A1525" s="34">
        <v>2523</v>
      </c>
      <c r="B1525" s="32" t="s">
        <v>1555</v>
      </c>
      <c r="C1525" s="32" t="s">
        <v>28</v>
      </c>
      <c r="D1525" s="33" t="s">
        <v>137</v>
      </c>
      <c r="E1525" s="34">
        <v>3.5</v>
      </c>
      <c r="F1525" s="35">
        <v>2840.78</v>
      </c>
      <c r="G1525" s="36">
        <v>0.51</v>
      </c>
      <c r="H1525" s="35">
        <f t="shared" si="48"/>
        <v>9942.7300000000014</v>
      </c>
      <c r="I1525" s="37">
        <v>45565</v>
      </c>
      <c r="J1525" s="33" t="s">
        <v>43</v>
      </c>
      <c r="K1525" s="33" t="s">
        <v>23</v>
      </c>
      <c r="L1525" s="38">
        <f t="shared" si="49"/>
        <v>4871.9377000000004</v>
      </c>
      <c r="M1525" s="38">
        <v>-836.39</v>
      </c>
      <c r="N1525" s="24">
        <f>_xlfn.XLOOKUP(Snitch_Fashion_Sales_cleaned!$J1525,Table2[City],Table2[City_Key],"not found")</f>
        <v>6</v>
      </c>
      <c r="O1525" s="23">
        <f>_xlfn.XLOOKUP(Snitch_Fashion_Sales_cleaned!$D1525,Table4[Product_Name],Table4[Product_Key],"not found")</f>
        <v>24</v>
      </c>
      <c r="P1525" s="32">
        <f>_xlfn.XLOOKUP(Snitch_Fashion_Sales_cleaned!$I1525,Table3[Order_Date],Table3[Date_Key])</f>
        <v>287</v>
      </c>
    </row>
    <row r="1526" spans="1:16" x14ac:dyDescent="0.3">
      <c r="A1526" s="27">
        <v>2524</v>
      </c>
      <c r="B1526" s="25" t="s">
        <v>1556</v>
      </c>
      <c r="C1526" s="25" t="s">
        <v>31</v>
      </c>
      <c r="D1526" s="26" t="s">
        <v>41</v>
      </c>
      <c r="E1526" s="27">
        <v>3</v>
      </c>
      <c r="F1526" s="28">
        <v>3539.22</v>
      </c>
      <c r="G1526" s="29">
        <v>0.51</v>
      </c>
      <c r="H1526" s="28">
        <f t="shared" si="48"/>
        <v>10617.66</v>
      </c>
      <c r="I1526" s="30">
        <v>45540</v>
      </c>
      <c r="J1526" s="26" t="s">
        <v>2540</v>
      </c>
      <c r="K1526" s="26" t="s">
        <v>23</v>
      </c>
      <c r="L1526" s="31">
        <f t="shared" si="49"/>
        <v>5202.6534000000001</v>
      </c>
      <c r="M1526" s="31">
        <v>1991.27</v>
      </c>
      <c r="N1526" s="22">
        <f>_xlfn.XLOOKUP(Snitch_Fashion_Sales_cleaned!$J1526,Table2[City],Table2[City_Key],"not found")</f>
        <v>4</v>
      </c>
      <c r="O1526" s="21">
        <f>_xlfn.XLOOKUP(Snitch_Fashion_Sales_cleaned!$D1526,Table4[Product_Name],Table4[Product_Key],"not found")</f>
        <v>9</v>
      </c>
      <c r="P1526" s="25">
        <f>_xlfn.XLOOKUP(Snitch_Fashion_Sales_cleaned!$I1526,Table3[Order_Date],Table3[Date_Key])</f>
        <v>167</v>
      </c>
    </row>
    <row r="1527" spans="1:16" x14ac:dyDescent="0.3">
      <c r="A1527" s="34">
        <v>2525</v>
      </c>
      <c r="B1527" s="32" t="s">
        <v>1557</v>
      </c>
      <c r="C1527" s="32" t="s">
        <v>20</v>
      </c>
      <c r="D1527" s="33" t="s">
        <v>21</v>
      </c>
      <c r="E1527" s="34">
        <v>4</v>
      </c>
      <c r="F1527" s="35">
        <v>3046.11</v>
      </c>
      <c r="G1527" s="36">
        <v>0.51</v>
      </c>
      <c r="H1527" s="35">
        <f t="shared" si="48"/>
        <v>12184.44</v>
      </c>
      <c r="I1527" s="37">
        <v>45776</v>
      </c>
      <c r="J1527" s="33" t="s">
        <v>2540</v>
      </c>
      <c r="K1527" s="33" t="s">
        <v>23</v>
      </c>
      <c r="L1527" s="38">
        <f t="shared" si="49"/>
        <v>5970.3756000000003</v>
      </c>
      <c r="M1527" s="38">
        <v>-190.66</v>
      </c>
      <c r="N1527" s="24">
        <f>_xlfn.XLOOKUP(Snitch_Fashion_Sales_cleaned!$J1527,Table2[City],Table2[City_Key],"not found")</f>
        <v>4</v>
      </c>
      <c r="O1527" s="23">
        <f>_xlfn.XLOOKUP(Snitch_Fashion_Sales_cleaned!$D1527,Table4[Product_Name],Table4[Product_Key],"not found")</f>
        <v>2</v>
      </c>
      <c r="P1527" s="32">
        <f>_xlfn.XLOOKUP(Snitch_Fashion_Sales_cleaned!$I1527,Table3[Order_Date],Table3[Date_Key])</f>
        <v>239</v>
      </c>
    </row>
    <row r="1528" spans="1:16" x14ac:dyDescent="0.3">
      <c r="A1528" s="27">
        <v>2526</v>
      </c>
      <c r="B1528" s="25" t="s">
        <v>1558</v>
      </c>
      <c r="C1528" s="25" t="s">
        <v>28</v>
      </c>
      <c r="D1528" s="26" t="s">
        <v>29</v>
      </c>
      <c r="E1528" s="27">
        <v>3</v>
      </c>
      <c r="F1528" s="28">
        <v>2515.415</v>
      </c>
      <c r="G1528" s="29">
        <v>0.94</v>
      </c>
      <c r="H1528" s="28">
        <f t="shared" si="48"/>
        <v>7546.2449999999999</v>
      </c>
      <c r="I1528" s="30">
        <v>45647</v>
      </c>
      <c r="J1528" s="26" t="s">
        <v>22</v>
      </c>
      <c r="K1528" s="26" t="s">
        <v>23</v>
      </c>
      <c r="L1528" s="31">
        <f t="shared" si="49"/>
        <v>452.77470000000039</v>
      </c>
      <c r="M1528" s="31">
        <v>113.1936750000001</v>
      </c>
      <c r="N1528" s="22">
        <f>_xlfn.XLOOKUP(Snitch_Fashion_Sales_cleaned!$J1528,Table2[City],Table2[City_Key],"not found")</f>
        <v>3</v>
      </c>
      <c r="O1528" s="21">
        <f>_xlfn.XLOOKUP(Snitch_Fashion_Sales_cleaned!$D1528,Table4[Product_Name],Table4[Product_Key],"not found")</f>
        <v>4</v>
      </c>
      <c r="P1528" s="25">
        <f>_xlfn.XLOOKUP(Snitch_Fashion_Sales_cleaned!$I1528,Table3[Order_Date],Table3[Date_Key])</f>
        <v>5</v>
      </c>
    </row>
    <row r="1529" spans="1:16" x14ac:dyDescent="0.3">
      <c r="A1529" s="34">
        <v>2527</v>
      </c>
      <c r="B1529" s="32" t="s">
        <v>1559</v>
      </c>
      <c r="C1529" s="32" t="s">
        <v>25</v>
      </c>
      <c r="D1529" s="33" t="s">
        <v>62</v>
      </c>
      <c r="E1529" s="34">
        <v>4</v>
      </c>
      <c r="F1529" s="35">
        <v>4057.33</v>
      </c>
      <c r="G1529" s="36">
        <v>0.51</v>
      </c>
      <c r="H1529" s="35">
        <f t="shared" si="48"/>
        <v>16229.32</v>
      </c>
      <c r="I1529" s="37">
        <v>45647</v>
      </c>
      <c r="J1529" s="33" t="s">
        <v>2540</v>
      </c>
      <c r="K1529" s="33" t="s">
        <v>16</v>
      </c>
      <c r="L1529" s="38">
        <f t="shared" si="49"/>
        <v>7952.3667999999998</v>
      </c>
      <c r="M1529" s="38">
        <v>385.15</v>
      </c>
      <c r="N1529" s="24">
        <f>_xlfn.XLOOKUP(Snitch_Fashion_Sales_cleaned!$J1529,Table2[City],Table2[City_Key],"not found")</f>
        <v>4</v>
      </c>
      <c r="O1529" s="23">
        <f>_xlfn.XLOOKUP(Snitch_Fashion_Sales_cleaned!$D1529,Table4[Product_Name],Table4[Product_Key],"not found")</f>
        <v>14</v>
      </c>
      <c r="P1529" s="32">
        <f>_xlfn.XLOOKUP(Snitch_Fashion_Sales_cleaned!$I1529,Table3[Order_Date],Table3[Date_Key])</f>
        <v>5</v>
      </c>
    </row>
    <row r="1530" spans="1:16" x14ac:dyDescent="0.3">
      <c r="A1530" s="27">
        <v>2528</v>
      </c>
      <c r="B1530" s="25" t="s">
        <v>1560</v>
      </c>
      <c r="C1530" s="25" t="s">
        <v>25</v>
      </c>
      <c r="D1530" s="26" t="s">
        <v>50</v>
      </c>
      <c r="E1530" s="27">
        <v>4</v>
      </c>
      <c r="F1530" s="28">
        <v>2666.2200000000003</v>
      </c>
      <c r="G1530" s="29">
        <v>0.02</v>
      </c>
      <c r="H1530" s="28">
        <f t="shared" si="48"/>
        <v>10664.880000000001</v>
      </c>
      <c r="I1530" s="30">
        <v>45816</v>
      </c>
      <c r="J1530" s="26" t="s">
        <v>15</v>
      </c>
      <c r="K1530" s="26" t="s">
        <v>23</v>
      </c>
      <c r="L1530" s="31">
        <f t="shared" si="49"/>
        <v>10451.582400000001</v>
      </c>
      <c r="M1530" s="31">
        <v>-634.46</v>
      </c>
      <c r="N1530" s="22">
        <f>_xlfn.XLOOKUP(Snitch_Fashion_Sales_cleaned!$J1530,Table2[City],Table2[City_Key],"not found")</f>
        <v>1</v>
      </c>
      <c r="O1530" s="21">
        <f>_xlfn.XLOOKUP(Snitch_Fashion_Sales_cleaned!$D1530,Table4[Product_Name],Table4[Product_Key],"not found")</f>
        <v>11</v>
      </c>
      <c r="P1530" s="25">
        <f>_xlfn.XLOOKUP(Snitch_Fashion_Sales_cleaned!$I1530,Table3[Order_Date],Table3[Date_Key])</f>
        <v>205</v>
      </c>
    </row>
    <row r="1531" spans="1:16" x14ac:dyDescent="0.3">
      <c r="A1531" s="34">
        <v>2529</v>
      </c>
      <c r="B1531" s="32" t="s">
        <v>1561</v>
      </c>
      <c r="C1531" s="32" t="s">
        <v>31</v>
      </c>
      <c r="D1531" s="33" t="s">
        <v>32</v>
      </c>
      <c r="E1531" s="34">
        <v>4</v>
      </c>
      <c r="F1531" s="35">
        <v>419.25</v>
      </c>
      <c r="G1531" s="36">
        <v>0.51</v>
      </c>
      <c r="H1531" s="35">
        <f t="shared" si="48"/>
        <v>1677</v>
      </c>
      <c r="I1531" s="37">
        <v>45647</v>
      </c>
      <c r="J1531" s="33" t="s">
        <v>22</v>
      </c>
      <c r="K1531" s="33" t="s">
        <v>23</v>
      </c>
      <c r="L1531" s="38">
        <f t="shared" si="49"/>
        <v>821.73</v>
      </c>
      <c r="M1531" s="38">
        <v>205.4325</v>
      </c>
      <c r="N1531" s="24">
        <f>_xlfn.XLOOKUP(Snitch_Fashion_Sales_cleaned!$J1531,Table2[City],Table2[City_Key],"not found")</f>
        <v>3</v>
      </c>
      <c r="O1531" s="23">
        <f>_xlfn.XLOOKUP(Snitch_Fashion_Sales_cleaned!$D1531,Table4[Product_Name],Table4[Product_Key],"not found")</f>
        <v>5</v>
      </c>
      <c r="P1531" s="32">
        <f>_xlfn.XLOOKUP(Snitch_Fashion_Sales_cleaned!$I1531,Table3[Order_Date],Table3[Date_Key])</f>
        <v>5</v>
      </c>
    </row>
    <row r="1532" spans="1:16" x14ac:dyDescent="0.3">
      <c r="A1532" s="27">
        <v>1028</v>
      </c>
      <c r="B1532" s="25" t="s">
        <v>1562</v>
      </c>
      <c r="C1532" s="25" t="s">
        <v>31</v>
      </c>
      <c r="D1532" s="26" t="s">
        <v>41</v>
      </c>
      <c r="E1532" s="27">
        <v>3</v>
      </c>
      <c r="F1532" s="28">
        <v>3027.66</v>
      </c>
      <c r="G1532" s="29">
        <v>0.51</v>
      </c>
      <c r="H1532" s="28">
        <f t="shared" si="48"/>
        <v>9082.98</v>
      </c>
      <c r="I1532" s="30">
        <v>45653</v>
      </c>
      <c r="J1532" s="26" t="s">
        <v>18</v>
      </c>
      <c r="K1532" s="26" t="s">
        <v>23</v>
      </c>
      <c r="L1532" s="31">
        <f t="shared" si="49"/>
        <v>4450.6601999999993</v>
      </c>
      <c r="M1532" s="31">
        <v>-701.08</v>
      </c>
      <c r="N1532" s="22">
        <f>_xlfn.XLOOKUP(Snitch_Fashion_Sales_cleaned!$J1532,Table2[City],Table2[City_Key],"not found")</f>
        <v>2</v>
      </c>
      <c r="O1532" s="21">
        <f>_xlfn.XLOOKUP(Snitch_Fashion_Sales_cleaned!$D1532,Table4[Product_Name],Table4[Product_Key],"not found")</f>
        <v>9</v>
      </c>
      <c r="P1532" s="25">
        <f>_xlfn.XLOOKUP(Snitch_Fashion_Sales_cleaned!$I1532,Table3[Order_Date],Table3[Date_Key])</f>
        <v>484</v>
      </c>
    </row>
    <row r="1533" spans="1:16" x14ac:dyDescent="0.3">
      <c r="A1533" s="34">
        <v>2531</v>
      </c>
      <c r="B1533" s="32" t="s">
        <v>1563</v>
      </c>
      <c r="C1533" s="32" t="s">
        <v>31</v>
      </c>
      <c r="D1533" s="33" t="s">
        <v>78</v>
      </c>
      <c r="E1533" s="34">
        <v>2</v>
      </c>
      <c r="F1533" s="35">
        <v>816.33</v>
      </c>
      <c r="G1533" s="36">
        <v>0.51</v>
      </c>
      <c r="H1533" s="35">
        <f t="shared" si="48"/>
        <v>1632.66</v>
      </c>
      <c r="I1533" s="37">
        <v>45638</v>
      </c>
      <c r="J1533" s="33" t="s">
        <v>22</v>
      </c>
      <c r="K1533" s="33" t="s">
        <v>16</v>
      </c>
      <c r="L1533" s="38">
        <f t="shared" si="49"/>
        <v>800.00340000000006</v>
      </c>
      <c r="M1533" s="38">
        <v>200.00085000000001</v>
      </c>
      <c r="N1533" s="24">
        <f>_xlfn.XLOOKUP(Snitch_Fashion_Sales_cleaned!$J1533,Table2[City],Table2[City_Key],"not found")</f>
        <v>3</v>
      </c>
      <c r="O1533" s="23">
        <f>_xlfn.XLOOKUP(Snitch_Fashion_Sales_cleaned!$D1533,Table4[Product_Name],Table4[Product_Key],"not found")</f>
        <v>17</v>
      </c>
      <c r="P1533" s="32">
        <f>_xlfn.XLOOKUP(Snitch_Fashion_Sales_cleaned!$I1533,Table3[Order_Date],Table3[Date_Key])</f>
        <v>192</v>
      </c>
    </row>
    <row r="1534" spans="1:16" x14ac:dyDescent="0.3">
      <c r="A1534" s="27">
        <v>2532</v>
      </c>
      <c r="B1534" s="25" t="s">
        <v>1564</v>
      </c>
      <c r="C1534" s="25" t="s">
        <v>25</v>
      </c>
      <c r="D1534" s="26" t="s">
        <v>50</v>
      </c>
      <c r="E1534" s="27">
        <v>4</v>
      </c>
      <c r="F1534" s="28">
        <v>1863.19</v>
      </c>
      <c r="G1534" s="29">
        <v>0.01</v>
      </c>
      <c r="H1534" s="28">
        <f t="shared" si="48"/>
        <v>7452.76</v>
      </c>
      <c r="I1534" s="30">
        <v>45647</v>
      </c>
      <c r="J1534" s="26" t="s">
        <v>22</v>
      </c>
      <c r="K1534" s="26" t="s">
        <v>23</v>
      </c>
      <c r="L1534" s="31">
        <f t="shared" si="49"/>
        <v>7378.2323999999999</v>
      </c>
      <c r="M1534" s="31">
        <v>-371.04</v>
      </c>
      <c r="N1534" s="22">
        <f>_xlfn.XLOOKUP(Snitch_Fashion_Sales_cleaned!$J1534,Table2[City],Table2[City_Key],"not found")</f>
        <v>3</v>
      </c>
      <c r="O1534" s="21">
        <f>_xlfn.XLOOKUP(Snitch_Fashion_Sales_cleaned!$D1534,Table4[Product_Name],Table4[Product_Key],"not found")</f>
        <v>11</v>
      </c>
      <c r="P1534" s="25">
        <f>_xlfn.XLOOKUP(Snitch_Fashion_Sales_cleaned!$I1534,Table3[Order_Date],Table3[Date_Key])</f>
        <v>5</v>
      </c>
    </row>
    <row r="1535" spans="1:16" x14ac:dyDescent="0.3">
      <c r="A1535" s="34">
        <v>2533</v>
      </c>
      <c r="B1535" s="32" t="s">
        <v>1565</v>
      </c>
      <c r="C1535" s="32" t="s">
        <v>36</v>
      </c>
      <c r="D1535" s="33" t="s">
        <v>55</v>
      </c>
      <c r="E1535" s="34">
        <v>3</v>
      </c>
      <c r="F1535" s="35">
        <v>3960.8</v>
      </c>
      <c r="G1535" s="36">
        <v>0.03</v>
      </c>
      <c r="H1535" s="35">
        <f t="shared" si="48"/>
        <v>11882.400000000001</v>
      </c>
      <c r="I1535" s="37">
        <v>45666</v>
      </c>
      <c r="J1535" s="33" t="s">
        <v>22</v>
      </c>
      <c r="K1535" s="33" t="s">
        <v>23</v>
      </c>
      <c r="L1535" s="38">
        <f t="shared" si="49"/>
        <v>11525.928000000002</v>
      </c>
      <c r="M1535" s="38">
        <v>1266.8800000000001</v>
      </c>
      <c r="N1535" s="24">
        <f>_xlfn.XLOOKUP(Snitch_Fashion_Sales_cleaned!$J1535,Table2[City],Table2[City_Key],"not found")</f>
        <v>3</v>
      </c>
      <c r="O1535" s="23">
        <f>_xlfn.XLOOKUP(Snitch_Fashion_Sales_cleaned!$D1535,Table4[Product_Name],Table4[Product_Key],"not found")</f>
        <v>12</v>
      </c>
      <c r="P1535" s="32">
        <f>_xlfn.XLOOKUP(Snitch_Fashion_Sales_cleaned!$I1535,Table3[Order_Date],Table3[Date_Key])</f>
        <v>107</v>
      </c>
    </row>
    <row r="1536" spans="1:16" x14ac:dyDescent="0.3">
      <c r="A1536" s="27">
        <v>2534</v>
      </c>
      <c r="B1536" s="25" t="s">
        <v>1566</v>
      </c>
      <c r="C1536" s="25" t="s">
        <v>31</v>
      </c>
      <c r="D1536" s="26" t="s">
        <v>68</v>
      </c>
      <c r="E1536" s="27">
        <v>4</v>
      </c>
      <c r="F1536" s="28">
        <v>687.34</v>
      </c>
      <c r="G1536" s="29">
        <v>0.51</v>
      </c>
      <c r="H1536" s="28">
        <f t="shared" si="48"/>
        <v>2749.36</v>
      </c>
      <c r="I1536" s="30">
        <v>45671</v>
      </c>
      <c r="J1536" s="26" t="s">
        <v>15</v>
      </c>
      <c r="K1536" s="26" t="s">
        <v>23</v>
      </c>
      <c r="L1536" s="31">
        <f t="shared" si="49"/>
        <v>1347.1864</v>
      </c>
      <c r="M1536" s="31">
        <v>-234.42</v>
      </c>
      <c r="N1536" s="22">
        <f>_xlfn.XLOOKUP(Snitch_Fashion_Sales_cleaned!$J1536,Table2[City],Table2[City_Key],"not found")</f>
        <v>1</v>
      </c>
      <c r="O1536" s="21">
        <f>_xlfn.XLOOKUP(Snitch_Fashion_Sales_cleaned!$D1536,Table4[Product_Name],Table4[Product_Key],"not found")</f>
        <v>15</v>
      </c>
      <c r="P1536" s="25">
        <f>_xlfn.XLOOKUP(Snitch_Fashion_Sales_cleaned!$I1536,Table3[Order_Date],Table3[Date_Key])</f>
        <v>125</v>
      </c>
    </row>
    <row r="1537" spans="1:16" x14ac:dyDescent="0.3">
      <c r="A1537" s="34">
        <v>2535</v>
      </c>
      <c r="B1537" s="32" t="s">
        <v>1567</v>
      </c>
      <c r="C1537" s="32" t="s">
        <v>28</v>
      </c>
      <c r="D1537" s="33" t="s">
        <v>29</v>
      </c>
      <c r="E1537" s="34">
        <v>3</v>
      </c>
      <c r="F1537" s="35">
        <v>2515.415</v>
      </c>
      <c r="G1537" s="36">
        <v>0.51</v>
      </c>
      <c r="H1537" s="35">
        <f t="shared" si="48"/>
        <v>7546.2449999999999</v>
      </c>
      <c r="I1537" s="37">
        <v>45543</v>
      </c>
      <c r="J1537" s="33" t="s">
        <v>15</v>
      </c>
      <c r="K1537" s="33" t="s">
        <v>16</v>
      </c>
      <c r="L1537" s="38">
        <f t="shared" si="49"/>
        <v>3697.66005</v>
      </c>
      <c r="M1537" s="38">
        <v>782.05</v>
      </c>
      <c r="N1537" s="24">
        <f>_xlfn.XLOOKUP(Snitch_Fashion_Sales_cleaned!$J1537,Table2[City],Table2[City_Key],"not found")</f>
        <v>1</v>
      </c>
      <c r="O1537" s="23">
        <f>_xlfn.XLOOKUP(Snitch_Fashion_Sales_cleaned!$D1537,Table4[Product_Name],Table4[Product_Key],"not found")</f>
        <v>4</v>
      </c>
      <c r="P1537" s="32">
        <f>_xlfn.XLOOKUP(Snitch_Fashion_Sales_cleaned!$I1537,Table3[Order_Date],Table3[Date_Key])</f>
        <v>65</v>
      </c>
    </row>
    <row r="1538" spans="1:16" x14ac:dyDescent="0.3">
      <c r="A1538" s="27">
        <v>2536</v>
      </c>
      <c r="B1538" s="25" t="s">
        <v>1568</v>
      </c>
      <c r="C1538" s="25" t="s">
        <v>13</v>
      </c>
      <c r="D1538" s="26" t="s">
        <v>14</v>
      </c>
      <c r="E1538" s="27">
        <v>4</v>
      </c>
      <c r="F1538" s="28">
        <v>2366.6149999999998</v>
      </c>
      <c r="G1538" s="29">
        <v>0.51</v>
      </c>
      <c r="H1538" s="28">
        <f t="shared" si="48"/>
        <v>9466.4599999999991</v>
      </c>
      <c r="I1538" s="30">
        <v>45647</v>
      </c>
      <c r="J1538" s="26" t="s">
        <v>22</v>
      </c>
      <c r="K1538" s="26" t="s">
        <v>16</v>
      </c>
      <c r="L1538" s="31">
        <f t="shared" si="49"/>
        <v>4638.5653999999995</v>
      </c>
      <c r="M1538" s="31">
        <v>2685.77</v>
      </c>
      <c r="N1538" s="22">
        <f>_xlfn.XLOOKUP(Snitch_Fashion_Sales_cleaned!$J1538,Table2[City],Table2[City_Key],"not found")</f>
        <v>3</v>
      </c>
      <c r="O1538" s="21">
        <f>_xlfn.XLOOKUP(Snitch_Fashion_Sales_cleaned!$D1538,Table4[Product_Name],Table4[Product_Key],"not found")</f>
        <v>1</v>
      </c>
      <c r="P1538" s="25">
        <f>_xlfn.XLOOKUP(Snitch_Fashion_Sales_cleaned!$I1538,Table3[Order_Date],Table3[Date_Key])</f>
        <v>5</v>
      </c>
    </row>
    <row r="1539" spans="1:16" x14ac:dyDescent="0.3">
      <c r="A1539" s="34">
        <v>2537</v>
      </c>
      <c r="B1539" s="32" t="s">
        <v>1569</v>
      </c>
      <c r="C1539" s="32" t="s">
        <v>25</v>
      </c>
      <c r="D1539" s="33" t="s">
        <v>50</v>
      </c>
      <c r="E1539" s="34">
        <v>4</v>
      </c>
      <c r="F1539" s="35">
        <v>3449.08</v>
      </c>
      <c r="G1539" s="36">
        <v>0.51</v>
      </c>
      <c r="H1539" s="35">
        <f t="shared" si="48"/>
        <v>13796.32</v>
      </c>
      <c r="I1539" s="37">
        <v>45359</v>
      </c>
      <c r="J1539" s="33" t="s">
        <v>2540</v>
      </c>
      <c r="K1539" s="33" t="s">
        <v>16</v>
      </c>
      <c r="L1539" s="38">
        <f t="shared" si="49"/>
        <v>6760.1967999999997</v>
      </c>
      <c r="M1539" s="38">
        <v>181.11</v>
      </c>
      <c r="N1539" s="24">
        <f>_xlfn.XLOOKUP(Snitch_Fashion_Sales_cleaned!$J1539,Table2[City],Table2[City_Key],"not found")</f>
        <v>4</v>
      </c>
      <c r="O1539" s="23">
        <f>_xlfn.XLOOKUP(Snitch_Fashion_Sales_cleaned!$D1539,Table4[Product_Name],Table4[Product_Key],"not found")</f>
        <v>11</v>
      </c>
      <c r="P1539" s="32">
        <f>_xlfn.XLOOKUP(Snitch_Fashion_Sales_cleaned!$I1539,Table3[Order_Date],Table3[Date_Key])</f>
        <v>485</v>
      </c>
    </row>
    <row r="1540" spans="1:16" x14ac:dyDescent="0.3">
      <c r="A1540" s="27">
        <v>2538</v>
      </c>
      <c r="B1540" s="25" t="s">
        <v>1570</v>
      </c>
      <c r="C1540" s="25" t="s">
        <v>36</v>
      </c>
      <c r="D1540" s="26" t="s">
        <v>37</v>
      </c>
      <c r="E1540" s="27">
        <v>4</v>
      </c>
      <c r="F1540" s="28">
        <v>2975.64</v>
      </c>
      <c r="G1540" s="29">
        <v>0.51</v>
      </c>
      <c r="H1540" s="28">
        <f t="shared" si="48"/>
        <v>11902.56</v>
      </c>
      <c r="I1540" s="30">
        <v>45816</v>
      </c>
      <c r="J1540" s="26" t="s">
        <v>52</v>
      </c>
      <c r="K1540" s="26" t="s">
        <v>16</v>
      </c>
      <c r="L1540" s="31">
        <f t="shared" si="49"/>
        <v>5832.2543999999998</v>
      </c>
      <c r="M1540" s="31">
        <v>-705.34</v>
      </c>
      <c r="N1540" s="22">
        <f>_xlfn.XLOOKUP(Snitch_Fashion_Sales_cleaned!$J1540,Table2[City],Table2[City_Key],"not found")</f>
        <v>5</v>
      </c>
      <c r="O1540" s="21">
        <f>_xlfn.XLOOKUP(Snitch_Fashion_Sales_cleaned!$D1540,Table4[Product_Name],Table4[Product_Key],"not found")</f>
        <v>7</v>
      </c>
      <c r="P1540" s="25">
        <f>_xlfn.XLOOKUP(Snitch_Fashion_Sales_cleaned!$I1540,Table3[Order_Date],Table3[Date_Key])</f>
        <v>205</v>
      </c>
    </row>
    <row r="1541" spans="1:16" x14ac:dyDescent="0.3">
      <c r="A1541" s="34">
        <v>2539</v>
      </c>
      <c r="B1541" s="32" t="s">
        <v>1571</v>
      </c>
      <c r="C1541" s="32" t="s">
        <v>20</v>
      </c>
      <c r="D1541" s="33" t="s">
        <v>76</v>
      </c>
      <c r="E1541" s="34">
        <v>4</v>
      </c>
      <c r="F1541" s="35">
        <v>2229.4899999999998</v>
      </c>
      <c r="G1541" s="36">
        <v>0.51</v>
      </c>
      <c r="H1541" s="35">
        <f t="shared" si="48"/>
        <v>8917.9599999999991</v>
      </c>
      <c r="I1541" s="37">
        <v>45647</v>
      </c>
      <c r="J1541" s="33" t="s">
        <v>22</v>
      </c>
      <c r="K1541" s="33" t="s">
        <v>23</v>
      </c>
      <c r="L1541" s="38">
        <f t="shared" si="49"/>
        <v>4369.8003999999992</v>
      </c>
      <c r="M1541" s="38">
        <v>2989.83</v>
      </c>
      <c r="N1541" s="24">
        <f>_xlfn.XLOOKUP(Snitch_Fashion_Sales_cleaned!$J1541,Table2[City],Table2[City_Key],"not found")</f>
        <v>3</v>
      </c>
      <c r="O1541" s="23">
        <f>_xlfn.XLOOKUP(Snitch_Fashion_Sales_cleaned!$D1541,Table4[Product_Name],Table4[Product_Key],"not found")</f>
        <v>16</v>
      </c>
      <c r="P1541" s="32">
        <f>_xlfn.XLOOKUP(Snitch_Fashion_Sales_cleaned!$I1541,Table3[Order_Date],Table3[Date_Key])</f>
        <v>5</v>
      </c>
    </row>
    <row r="1542" spans="1:16" x14ac:dyDescent="0.3">
      <c r="A1542" s="27">
        <v>2540</v>
      </c>
      <c r="B1542" s="25" t="s">
        <v>1572</v>
      </c>
      <c r="C1542" s="25" t="s">
        <v>13</v>
      </c>
      <c r="D1542" s="26" t="s">
        <v>14</v>
      </c>
      <c r="E1542" s="27">
        <v>4</v>
      </c>
      <c r="F1542" s="28">
        <v>799.82</v>
      </c>
      <c r="G1542" s="29">
        <v>0.51</v>
      </c>
      <c r="H1542" s="28">
        <f t="shared" ref="H1542:H1605" si="50">E1542*F1542</f>
        <v>3199.28</v>
      </c>
      <c r="I1542" s="30">
        <v>45813</v>
      </c>
      <c r="J1542" s="26" t="s">
        <v>52</v>
      </c>
      <c r="K1542" s="26" t="s">
        <v>16</v>
      </c>
      <c r="L1542" s="31">
        <f t="shared" ref="L1542:L1605" si="51">H1542*(1-G1542)</f>
        <v>1567.6472000000001</v>
      </c>
      <c r="M1542" s="31">
        <v>1358.09</v>
      </c>
      <c r="N1542" s="22">
        <f>_xlfn.XLOOKUP(Snitch_Fashion_Sales_cleaned!$J1542,Table2[City],Table2[City_Key],"not found")</f>
        <v>5</v>
      </c>
      <c r="O1542" s="21">
        <f>_xlfn.XLOOKUP(Snitch_Fashion_Sales_cleaned!$D1542,Table4[Product_Name],Table4[Product_Key],"not found")</f>
        <v>1</v>
      </c>
      <c r="P1542" s="25">
        <f>_xlfn.XLOOKUP(Snitch_Fashion_Sales_cleaned!$I1542,Table3[Order_Date],Table3[Date_Key])</f>
        <v>341</v>
      </c>
    </row>
    <row r="1543" spans="1:16" x14ac:dyDescent="0.3">
      <c r="A1543" s="34">
        <v>2541</v>
      </c>
      <c r="B1543" s="32" t="s">
        <v>1573</v>
      </c>
      <c r="C1543" s="32" t="s">
        <v>13</v>
      </c>
      <c r="D1543" s="33" t="s">
        <v>98</v>
      </c>
      <c r="E1543" s="34">
        <v>3</v>
      </c>
      <c r="F1543" s="35">
        <v>2750.33</v>
      </c>
      <c r="G1543" s="36">
        <v>0.51</v>
      </c>
      <c r="H1543" s="35">
        <f t="shared" si="50"/>
        <v>8250.99</v>
      </c>
      <c r="I1543" s="37">
        <v>45574</v>
      </c>
      <c r="J1543" s="33" t="s">
        <v>15</v>
      </c>
      <c r="K1543" s="33" t="s">
        <v>23</v>
      </c>
      <c r="L1543" s="38">
        <f t="shared" si="51"/>
        <v>4042.9850999999999</v>
      </c>
      <c r="M1543" s="38">
        <v>404.87</v>
      </c>
      <c r="N1543" s="24">
        <f>_xlfn.XLOOKUP(Snitch_Fashion_Sales_cleaned!$J1543,Table2[City],Table2[City_Key],"not found")</f>
        <v>1</v>
      </c>
      <c r="O1543" s="23">
        <f>_xlfn.XLOOKUP(Snitch_Fashion_Sales_cleaned!$D1543,Table4[Product_Name],Table4[Product_Key],"not found")</f>
        <v>21</v>
      </c>
      <c r="P1543" s="32">
        <f>_xlfn.XLOOKUP(Snitch_Fashion_Sales_cleaned!$I1543,Table3[Order_Date],Table3[Date_Key])</f>
        <v>218</v>
      </c>
    </row>
    <row r="1544" spans="1:16" x14ac:dyDescent="0.3">
      <c r="A1544" s="27">
        <v>2542</v>
      </c>
      <c r="B1544" s="25" t="s">
        <v>1574</v>
      </c>
      <c r="C1544" s="25" t="s">
        <v>20</v>
      </c>
      <c r="D1544" s="26" t="s">
        <v>76</v>
      </c>
      <c r="E1544" s="27">
        <v>3</v>
      </c>
      <c r="F1544" s="28">
        <v>2229.4899999999998</v>
      </c>
      <c r="G1544" s="29">
        <v>0.42</v>
      </c>
      <c r="H1544" s="28">
        <f t="shared" si="50"/>
        <v>6688.4699999999993</v>
      </c>
      <c r="I1544" s="30">
        <v>45722</v>
      </c>
      <c r="J1544" s="26" t="s">
        <v>2540</v>
      </c>
      <c r="K1544" s="26" t="s">
        <v>23</v>
      </c>
      <c r="L1544" s="31">
        <f t="shared" si="51"/>
        <v>3879.3126000000002</v>
      </c>
      <c r="M1544" s="31">
        <v>379.4</v>
      </c>
      <c r="N1544" s="22">
        <f>_xlfn.XLOOKUP(Snitch_Fashion_Sales_cleaned!$J1544,Table2[City],Table2[City_Key],"not found")</f>
        <v>4</v>
      </c>
      <c r="O1544" s="21">
        <f>_xlfn.XLOOKUP(Snitch_Fashion_Sales_cleaned!$D1544,Table4[Product_Name],Table4[Product_Key],"not found")</f>
        <v>16</v>
      </c>
      <c r="P1544" s="25">
        <f>_xlfn.XLOOKUP(Snitch_Fashion_Sales_cleaned!$I1544,Table3[Order_Date],Table3[Date_Key])</f>
        <v>358</v>
      </c>
    </row>
    <row r="1545" spans="1:16" x14ac:dyDescent="0.3">
      <c r="A1545" s="34">
        <v>2543</v>
      </c>
      <c r="B1545" s="32" t="s">
        <v>1575</v>
      </c>
      <c r="C1545" s="32" t="s">
        <v>31</v>
      </c>
      <c r="D1545" s="33" t="s">
        <v>68</v>
      </c>
      <c r="E1545" s="34">
        <v>4</v>
      </c>
      <c r="F1545" s="35">
        <v>3501.9</v>
      </c>
      <c r="G1545" s="36">
        <v>0.51</v>
      </c>
      <c r="H1545" s="35">
        <f t="shared" si="50"/>
        <v>14007.6</v>
      </c>
      <c r="I1545" s="37">
        <v>45221</v>
      </c>
      <c r="J1545" s="33" t="s">
        <v>52</v>
      </c>
      <c r="K1545" s="33" t="s">
        <v>23</v>
      </c>
      <c r="L1545" s="38">
        <f t="shared" si="51"/>
        <v>6863.7240000000002</v>
      </c>
      <c r="M1545" s="38">
        <v>1747.96</v>
      </c>
      <c r="N1545" s="24">
        <f>_xlfn.XLOOKUP(Snitch_Fashion_Sales_cleaned!$J1545,Table2[City],Table2[City_Key],"not found")</f>
        <v>5</v>
      </c>
      <c r="O1545" s="23">
        <f>_xlfn.XLOOKUP(Snitch_Fashion_Sales_cleaned!$D1545,Table4[Product_Name],Table4[Product_Key],"not found")</f>
        <v>15</v>
      </c>
      <c r="P1545" s="32">
        <f>_xlfn.XLOOKUP(Snitch_Fashion_Sales_cleaned!$I1545,Table3[Order_Date],Table3[Date_Key])</f>
        <v>486</v>
      </c>
    </row>
    <row r="1546" spans="1:16" x14ac:dyDescent="0.3">
      <c r="A1546" s="27">
        <v>2544</v>
      </c>
      <c r="B1546" s="25" t="s">
        <v>1576</v>
      </c>
      <c r="C1546" s="25" t="s">
        <v>28</v>
      </c>
      <c r="D1546" s="26" t="s">
        <v>39</v>
      </c>
      <c r="E1546" s="27">
        <v>3</v>
      </c>
      <c r="F1546" s="28">
        <v>3205.96</v>
      </c>
      <c r="G1546" s="29">
        <v>0.51</v>
      </c>
      <c r="H1546" s="28">
        <f t="shared" si="50"/>
        <v>9617.880000000001</v>
      </c>
      <c r="I1546" s="30">
        <v>45548</v>
      </c>
      <c r="J1546" s="26" t="s">
        <v>22</v>
      </c>
      <c r="K1546" s="26" t="s">
        <v>23</v>
      </c>
      <c r="L1546" s="31">
        <f t="shared" si="51"/>
        <v>4712.7612000000008</v>
      </c>
      <c r="M1546" s="31">
        <v>1764.26</v>
      </c>
      <c r="N1546" s="22">
        <f>_xlfn.XLOOKUP(Snitch_Fashion_Sales_cleaned!$J1546,Table2[City],Table2[City_Key],"not found")</f>
        <v>3</v>
      </c>
      <c r="O1546" s="21">
        <f>_xlfn.XLOOKUP(Snitch_Fashion_Sales_cleaned!$D1546,Table4[Product_Name],Table4[Product_Key],"not found")</f>
        <v>8</v>
      </c>
      <c r="P1546" s="25">
        <f>_xlfn.XLOOKUP(Snitch_Fashion_Sales_cleaned!$I1546,Table3[Order_Date],Table3[Date_Key])</f>
        <v>487</v>
      </c>
    </row>
    <row r="1547" spans="1:16" x14ac:dyDescent="0.3">
      <c r="A1547" s="34">
        <v>2545</v>
      </c>
      <c r="B1547" s="32" t="s">
        <v>1577</v>
      </c>
      <c r="C1547" s="32" t="s">
        <v>36</v>
      </c>
      <c r="D1547" s="33" t="s">
        <v>87</v>
      </c>
      <c r="E1547" s="34">
        <v>4</v>
      </c>
      <c r="F1547" s="35">
        <v>2109.08</v>
      </c>
      <c r="G1547" s="36">
        <v>0.51</v>
      </c>
      <c r="H1547" s="35">
        <f t="shared" si="50"/>
        <v>8436.32</v>
      </c>
      <c r="I1547" s="37">
        <v>45782</v>
      </c>
      <c r="J1547" s="33" t="s">
        <v>15</v>
      </c>
      <c r="K1547" s="33" t="s">
        <v>23</v>
      </c>
      <c r="L1547" s="38">
        <f t="shared" si="51"/>
        <v>4133.7968000000001</v>
      </c>
      <c r="M1547" s="38">
        <v>1633.57</v>
      </c>
      <c r="N1547" s="24">
        <f>_xlfn.XLOOKUP(Snitch_Fashion_Sales_cleaned!$J1547,Table2[City],Table2[City_Key],"not found")</f>
        <v>1</v>
      </c>
      <c r="O1547" s="23">
        <f>_xlfn.XLOOKUP(Snitch_Fashion_Sales_cleaned!$D1547,Table4[Product_Name],Table4[Product_Key],"not found")</f>
        <v>20</v>
      </c>
      <c r="P1547" s="32">
        <f>_xlfn.XLOOKUP(Snitch_Fashion_Sales_cleaned!$I1547,Table3[Order_Date],Table3[Date_Key])</f>
        <v>80</v>
      </c>
    </row>
    <row r="1548" spans="1:16" x14ac:dyDescent="0.3">
      <c r="A1548" s="27">
        <v>2546</v>
      </c>
      <c r="B1548" s="25" t="s">
        <v>1578</v>
      </c>
      <c r="C1548" s="25" t="s">
        <v>31</v>
      </c>
      <c r="D1548" s="26" t="s">
        <v>68</v>
      </c>
      <c r="E1548" s="27">
        <v>1</v>
      </c>
      <c r="F1548" s="28">
        <v>3574.54</v>
      </c>
      <c r="G1548" s="29">
        <v>0.51</v>
      </c>
      <c r="H1548" s="28">
        <f t="shared" si="50"/>
        <v>3574.54</v>
      </c>
      <c r="I1548" s="30">
        <v>45513</v>
      </c>
      <c r="J1548" s="26" t="s">
        <v>22</v>
      </c>
      <c r="K1548" s="26" t="s">
        <v>16</v>
      </c>
      <c r="L1548" s="31">
        <f t="shared" si="51"/>
        <v>1751.5246</v>
      </c>
      <c r="M1548" s="31">
        <v>-305.77</v>
      </c>
      <c r="N1548" s="22">
        <f>_xlfn.XLOOKUP(Snitch_Fashion_Sales_cleaned!$J1548,Table2[City],Table2[City_Key],"not found")</f>
        <v>3</v>
      </c>
      <c r="O1548" s="21">
        <f>_xlfn.XLOOKUP(Snitch_Fashion_Sales_cleaned!$D1548,Table4[Product_Name],Table4[Product_Key],"not found")</f>
        <v>15</v>
      </c>
      <c r="P1548" s="25">
        <f>_xlfn.XLOOKUP(Snitch_Fashion_Sales_cleaned!$I1548,Table3[Order_Date],Table3[Date_Key])</f>
        <v>488</v>
      </c>
    </row>
    <row r="1549" spans="1:16" x14ac:dyDescent="0.3">
      <c r="A1549" s="34">
        <v>2547</v>
      </c>
      <c r="B1549" s="32" t="s">
        <v>1579</v>
      </c>
      <c r="C1549" s="32" t="s">
        <v>25</v>
      </c>
      <c r="D1549" s="33" t="s">
        <v>62</v>
      </c>
      <c r="E1549" s="34">
        <v>4</v>
      </c>
      <c r="F1549" s="35">
        <v>4896.32</v>
      </c>
      <c r="G1549" s="36">
        <v>0.51</v>
      </c>
      <c r="H1549" s="35">
        <f t="shared" si="50"/>
        <v>19585.28</v>
      </c>
      <c r="I1549" s="37">
        <v>45634</v>
      </c>
      <c r="J1549" s="33" t="s">
        <v>15</v>
      </c>
      <c r="K1549" s="33" t="s">
        <v>23</v>
      </c>
      <c r="L1549" s="38">
        <f t="shared" si="51"/>
        <v>9596.7871999999988</v>
      </c>
      <c r="M1549" s="38">
        <v>2391.23</v>
      </c>
      <c r="N1549" s="24">
        <f>_xlfn.XLOOKUP(Snitch_Fashion_Sales_cleaned!$J1549,Table2[City],Table2[City_Key],"not found")</f>
        <v>1</v>
      </c>
      <c r="O1549" s="23">
        <f>_xlfn.XLOOKUP(Snitch_Fashion_Sales_cleaned!$D1549,Table4[Product_Name],Table4[Product_Key],"not found")</f>
        <v>14</v>
      </c>
      <c r="P1549" s="32">
        <f>_xlfn.XLOOKUP(Snitch_Fashion_Sales_cleaned!$I1549,Table3[Order_Date],Table3[Date_Key])</f>
        <v>377</v>
      </c>
    </row>
    <row r="1550" spans="1:16" x14ac:dyDescent="0.3">
      <c r="A1550" s="27">
        <v>2548</v>
      </c>
      <c r="B1550" s="25" t="s">
        <v>1580</v>
      </c>
      <c r="C1550" s="25" t="s">
        <v>36</v>
      </c>
      <c r="D1550" s="26" t="s">
        <v>87</v>
      </c>
      <c r="E1550" s="27">
        <v>4</v>
      </c>
      <c r="F1550" s="28">
        <v>4994.07</v>
      </c>
      <c r="G1550" s="29">
        <v>0.51</v>
      </c>
      <c r="H1550" s="28">
        <f t="shared" si="50"/>
        <v>19976.28</v>
      </c>
      <c r="I1550" s="30">
        <v>45647</v>
      </c>
      <c r="J1550" s="26" t="s">
        <v>52</v>
      </c>
      <c r="K1550" s="26" t="s">
        <v>23</v>
      </c>
      <c r="L1550" s="31">
        <f t="shared" si="51"/>
        <v>9788.377199999999</v>
      </c>
      <c r="M1550" s="31">
        <v>2068.21</v>
      </c>
      <c r="N1550" s="22">
        <f>_xlfn.XLOOKUP(Snitch_Fashion_Sales_cleaned!$J1550,Table2[City],Table2[City_Key],"not found")</f>
        <v>5</v>
      </c>
      <c r="O1550" s="21">
        <f>_xlfn.XLOOKUP(Snitch_Fashion_Sales_cleaned!$D1550,Table4[Product_Name],Table4[Product_Key],"not found")</f>
        <v>20</v>
      </c>
      <c r="P1550" s="25">
        <f>_xlfn.XLOOKUP(Snitch_Fashion_Sales_cleaned!$I1550,Table3[Order_Date],Table3[Date_Key])</f>
        <v>5</v>
      </c>
    </row>
    <row r="1551" spans="1:16" x14ac:dyDescent="0.3">
      <c r="A1551" s="34">
        <v>2549</v>
      </c>
      <c r="B1551" s="32" t="s">
        <v>1581</v>
      </c>
      <c r="C1551" s="32" t="s">
        <v>36</v>
      </c>
      <c r="D1551" s="33" t="s">
        <v>59</v>
      </c>
      <c r="E1551" s="34">
        <v>6</v>
      </c>
      <c r="F1551" s="35">
        <v>2319.23</v>
      </c>
      <c r="G1551" s="36">
        <v>0.51</v>
      </c>
      <c r="H1551" s="35">
        <f t="shared" si="50"/>
        <v>13915.380000000001</v>
      </c>
      <c r="I1551" s="37">
        <v>45674</v>
      </c>
      <c r="J1551" s="33" t="s">
        <v>18</v>
      </c>
      <c r="K1551" s="33" t="s">
        <v>16</v>
      </c>
      <c r="L1551" s="38">
        <f t="shared" si="51"/>
        <v>6818.5362000000005</v>
      </c>
      <c r="M1551" s="38">
        <v>-854.91</v>
      </c>
      <c r="N1551" s="24">
        <f>_xlfn.XLOOKUP(Snitch_Fashion_Sales_cleaned!$J1551,Table2[City],Table2[City_Key],"not found")</f>
        <v>2</v>
      </c>
      <c r="O1551" s="23">
        <f>_xlfn.XLOOKUP(Snitch_Fashion_Sales_cleaned!$D1551,Table4[Product_Name],Table4[Product_Key],"not found")</f>
        <v>13</v>
      </c>
      <c r="P1551" s="32">
        <f>_xlfn.XLOOKUP(Snitch_Fashion_Sales_cleaned!$I1551,Table3[Order_Date],Table3[Date_Key])</f>
        <v>475</v>
      </c>
    </row>
    <row r="1552" spans="1:16" x14ac:dyDescent="0.3">
      <c r="A1552" s="27">
        <v>2550</v>
      </c>
      <c r="B1552" s="25" t="s">
        <v>1582</v>
      </c>
      <c r="C1552" s="25" t="s">
        <v>20</v>
      </c>
      <c r="D1552" s="26" t="s">
        <v>118</v>
      </c>
      <c r="E1552" s="27">
        <v>3.5</v>
      </c>
      <c r="F1552" s="28">
        <v>1463.64</v>
      </c>
      <c r="G1552" s="29">
        <v>0.51</v>
      </c>
      <c r="H1552" s="28">
        <f t="shared" si="50"/>
        <v>5122.7400000000007</v>
      </c>
      <c r="I1552" s="30">
        <v>45777</v>
      </c>
      <c r="J1552" s="26" t="s">
        <v>52</v>
      </c>
      <c r="K1552" s="26" t="s">
        <v>16</v>
      </c>
      <c r="L1552" s="31">
        <f t="shared" si="51"/>
        <v>2510.1426000000001</v>
      </c>
      <c r="M1552" s="31">
        <v>1667.2</v>
      </c>
      <c r="N1552" s="22">
        <f>_xlfn.XLOOKUP(Snitch_Fashion_Sales_cleaned!$J1552,Table2[City],Table2[City_Key],"not found")</f>
        <v>5</v>
      </c>
      <c r="O1552" s="21">
        <f>_xlfn.XLOOKUP(Snitch_Fashion_Sales_cleaned!$D1552,Table4[Product_Name],Table4[Product_Key],"not found")</f>
        <v>23</v>
      </c>
      <c r="P1552" s="25">
        <f>_xlfn.XLOOKUP(Snitch_Fashion_Sales_cleaned!$I1552,Table3[Order_Date],Table3[Date_Key])</f>
        <v>282</v>
      </c>
    </row>
    <row r="1553" spans="1:16" x14ac:dyDescent="0.3">
      <c r="A1553" s="34">
        <v>2551</v>
      </c>
      <c r="B1553" s="32" t="s">
        <v>1583</v>
      </c>
      <c r="C1553" s="32" t="s">
        <v>28</v>
      </c>
      <c r="D1553" s="33" t="s">
        <v>39</v>
      </c>
      <c r="E1553" s="34">
        <v>6</v>
      </c>
      <c r="F1553" s="35">
        <v>4776.97</v>
      </c>
      <c r="G1553" s="36">
        <v>0.51</v>
      </c>
      <c r="H1553" s="35">
        <f t="shared" si="50"/>
        <v>28661.82</v>
      </c>
      <c r="I1553" s="37">
        <v>45647</v>
      </c>
      <c r="J1553" s="33" t="s">
        <v>18</v>
      </c>
      <c r="K1553" s="33" t="s">
        <v>23</v>
      </c>
      <c r="L1553" s="38">
        <f t="shared" si="51"/>
        <v>14044.291799999999</v>
      </c>
      <c r="M1553" s="38">
        <v>727.96</v>
      </c>
      <c r="N1553" s="24">
        <f>_xlfn.XLOOKUP(Snitch_Fashion_Sales_cleaned!$J1553,Table2[City],Table2[City_Key],"not found")</f>
        <v>2</v>
      </c>
      <c r="O1553" s="23">
        <f>_xlfn.XLOOKUP(Snitch_Fashion_Sales_cleaned!$D1553,Table4[Product_Name],Table4[Product_Key],"not found")</f>
        <v>8</v>
      </c>
      <c r="P1553" s="32">
        <f>_xlfn.XLOOKUP(Snitch_Fashion_Sales_cleaned!$I1553,Table3[Order_Date],Table3[Date_Key])</f>
        <v>5</v>
      </c>
    </row>
    <row r="1554" spans="1:16" x14ac:dyDescent="0.3">
      <c r="A1554" s="27">
        <v>2552</v>
      </c>
      <c r="B1554" s="25" t="s">
        <v>1584</v>
      </c>
      <c r="C1554" s="25" t="s">
        <v>36</v>
      </c>
      <c r="D1554" s="26" t="s">
        <v>37</v>
      </c>
      <c r="E1554" s="27">
        <v>4</v>
      </c>
      <c r="F1554" s="28">
        <v>3617.02</v>
      </c>
      <c r="G1554" s="29">
        <v>0.51</v>
      </c>
      <c r="H1554" s="28">
        <f t="shared" si="50"/>
        <v>14468.08</v>
      </c>
      <c r="I1554" s="30">
        <v>45644</v>
      </c>
      <c r="J1554" s="26" t="s">
        <v>52</v>
      </c>
      <c r="K1554" s="26" t="s">
        <v>16</v>
      </c>
      <c r="L1554" s="31">
        <f t="shared" si="51"/>
        <v>7089.3591999999999</v>
      </c>
      <c r="M1554" s="31">
        <v>2692.48</v>
      </c>
      <c r="N1554" s="22">
        <f>_xlfn.XLOOKUP(Snitch_Fashion_Sales_cleaned!$J1554,Table2[City],Table2[City_Key],"not found")</f>
        <v>5</v>
      </c>
      <c r="O1554" s="21">
        <f>_xlfn.XLOOKUP(Snitch_Fashion_Sales_cleaned!$D1554,Table4[Product_Name],Table4[Product_Key],"not found")</f>
        <v>7</v>
      </c>
      <c r="P1554" s="25">
        <f>_xlfn.XLOOKUP(Snitch_Fashion_Sales_cleaned!$I1554,Table3[Order_Date],Table3[Date_Key])</f>
        <v>489</v>
      </c>
    </row>
    <row r="1555" spans="1:16" x14ac:dyDescent="0.3">
      <c r="A1555" s="34">
        <v>2553</v>
      </c>
      <c r="B1555" s="32" t="s">
        <v>1585</v>
      </c>
      <c r="C1555" s="32" t="s">
        <v>36</v>
      </c>
      <c r="D1555" s="33" t="s">
        <v>55</v>
      </c>
      <c r="E1555" s="34">
        <v>3</v>
      </c>
      <c r="F1555" s="35">
        <v>3347.39</v>
      </c>
      <c r="G1555" s="36">
        <v>0.51</v>
      </c>
      <c r="H1555" s="35">
        <f t="shared" si="50"/>
        <v>10042.17</v>
      </c>
      <c r="I1555" s="37">
        <v>45193</v>
      </c>
      <c r="J1555" s="33" t="s">
        <v>22</v>
      </c>
      <c r="K1555" s="33" t="s">
        <v>23</v>
      </c>
      <c r="L1555" s="38">
        <f t="shared" si="51"/>
        <v>4920.6633000000002</v>
      </c>
      <c r="M1555" s="38">
        <v>441.13</v>
      </c>
      <c r="N1555" s="24">
        <f>_xlfn.XLOOKUP(Snitch_Fashion_Sales_cleaned!$J1555,Table2[City],Table2[City_Key],"not found")</f>
        <v>3</v>
      </c>
      <c r="O1555" s="23">
        <f>_xlfn.XLOOKUP(Snitch_Fashion_Sales_cleaned!$D1555,Table4[Product_Name],Table4[Product_Key],"not found")</f>
        <v>12</v>
      </c>
      <c r="P1555" s="32">
        <f>_xlfn.XLOOKUP(Snitch_Fashion_Sales_cleaned!$I1555,Table3[Order_Date],Table3[Date_Key])</f>
        <v>490</v>
      </c>
    </row>
    <row r="1556" spans="1:16" x14ac:dyDescent="0.3">
      <c r="A1556" s="27">
        <v>2554</v>
      </c>
      <c r="B1556" s="25" t="s">
        <v>1586</v>
      </c>
      <c r="C1556" s="25" t="s">
        <v>25</v>
      </c>
      <c r="D1556" s="26" t="s">
        <v>50</v>
      </c>
      <c r="E1556" s="27">
        <v>4</v>
      </c>
      <c r="F1556" s="28">
        <v>2433.4699999999998</v>
      </c>
      <c r="G1556" s="29">
        <v>0.51</v>
      </c>
      <c r="H1556" s="28">
        <f t="shared" si="50"/>
        <v>9733.8799999999992</v>
      </c>
      <c r="I1556" s="30">
        <v>45551</v>
      </c>
      <c r="J1556" s="26" t="s">
        <v>52</v>
      </c>
      <c r="K1556" s="26" t="s">
        <v>23</v>
      </c>
      <c r="L1556" s="31">
        <f t="shared" si="51"/>
        <v>4769.6011999999992</v>
      </c>
      <c r="M1556" s="31">
        <v>796.37</v>
      </c>
      <c r="N1556" s="22">
        <f>_xlfn.XLOOKUP(Snitch_Fashion_Sales_cleaned!$J1556,Table2[City],Table2[City_Key],"not found")</f>
        <v>5</v>
      </c>
      <c r="O1556" s="21">
        <f>_xlfn.XLOOKUP(Snitch_Fashion_Sales_cleaned!$D1556,Table4[Product_Name],Table4[Product_Key],"not found")</f>
        <v>11</v>
      </c>
      <c r="P1556" s="25">
        <f>_xlfn.XLOOKUP(Snitch_Fashion_Sales_cleaned!$I1556,Table3[Order_Date],Table3[Date_Key])</f>
        <v>270</v>
      </c>
    </row>
    <row r="1557" spans="1:16" x14ac:dyDescent="0.3">
      <c r="A1557" s="34">
        <v>2555</v>
      </c>
      <c r="B1557" s="32" t="s">
        <v>1587</v>
      </c>
      <c r="C1557" s="32" t="s">
        <v>13</v>
      </c>
      <c r="D1557" s="33" t="s">
        <v>14</v>
      </c>
      <c r="E1557" s="34">
        <v>4</v>
      </c>
      <c r="F1557" s="35">
        <v>3633.07</v>
      </c>
      <c r="G1557" s="36">
        <v>0.22</v>
      </c>
      <c r="H1557" s="35">
        <f t="shared" si="50"/>
        <v>14532.28</v>
      </c>
      <c r="I1557" s="37">
        <v>45313</v>
      </c>
      <c r="J1557" s="33" t="s">
        <v>43</v>
      </c>
      <c r="K1557" s="33" t="s">
        <v>23</v>
      </c>
      <c r="L1557" s="38">
        <f t="shared" si="51"/>
        <v>11335.178400000001</v>
      </c>
      <c r="M1557" s="38">
        <v>826.86</v>
      </c>
      <c r="N1557" s="24">
        <f>_xlfn.XLOOKUP(Snitch_Fashion_Sales_cleaned!$J1557,Table2[City],Table2[City_Key],"not found")</f>
        <v>6</v>
      </c>
      <c r="O1557" s="23">
        <f>_xlfn.XLOOKUP(Snitch_Fashion_Sales_cleaned!$D1557,Table4[Product_Name],Table4[Product_Key],"not found")</f>
        <v>1</v>
      </c>
      <c r="P1557" s="32">
        <f>_xlfn.XLOOKUP(Snitch_Fashion_Sales_cleaned!$I1557,Table3[Order_Date],Table3[Date_Key])</f>
        <v>459</v>
      </c>
    </row>
    <row r="1558" spans="1:16" x14ac:dyDescent="0.3">
      <c r="A1558" s="27">
        <v>2556</v>
      </c>
      <c r="B1558" s="25" t="s">
        <v>1588</v>
      </c>
      <c r="C1558" s="25" t="s">
        <v>20</v>
      </c>
      <c r="D1558" s="26" t="s">
        <v>21</v>
      </c>
      <c r="E1558" s="27">
        <v>2</v>
      </c>
      <c r="F1558" s="28">
        <v>2068.88</v>
      </c>
      <c r="G1558" s="29">
        <v>0.51</v>
      </c>
      <c r="H1558" s="28">
        <f t="shared" si="50"/>
        <v>4137.76</v>
      </c>
      <c r="I1558" s="30">
        <v>45647</v>
      </c>
      <c r="J1558" s="26" t="s">
        <v>2540</v>
      </c>
      <c r="K1558" s="26" t="s">
        <v>23</v>
      </c>
      <c r="L1558" s="31">
        <f t="shared" si="51"/>
        <v>2027.5024000000001</v>
      </c>
      <c r="M1558" s="31">
        <v>-9.99</v>
      </c>
      <c r="N1558" s="22">
        <f>_xlfn.XLOOKUP(Snitch_Fashion_Sales_cleaned!$J1558,Table2[City],Table2[City_Key],"not found")</f>
        <v>4</v>
      </c>
      <c r="O1558" s="21">
        <f>_xlfn.XLOOKUP(Snitch_Fashion_Sales_cleaned!$D1558,Table4[Product_Name],Table4[Product_Key],"not found")</f>
        <v>2</v>
      </c>
      <c r="P1558" s="25">
        <f>_xlfn.XLOOKUP(Snitch_Fashion_Sales_cleaned!$I1558,Table3[Order_Date],Table3[Date_Key])</f>
        <v>5</v>
      </c>
    </row>
    <row r="1559" spans="1:16" x14ac:dyDescent="0.3">
      <c r="A1559" s="34">
        <v>2557</v>
      </c>
      <c r="B1559" s="32" t="s">
        <v>1589</v>
      </c>
      <c r="C1559" s="32" t="s">
        <v>28</v>
      </c>
      <c r="D1559" s="33" t="s">
        <v>39</v>
      </c>
      <c r="E1559" s="34">
        <v>3</v>
      </c>
      <c r="F1559" s="35">
        <v>4626.4399999999996</v>
      </c>
      <c r="G1559" s="36">
        <v>0.51</v>
      </c>
      <c r="H1559" s="35">
        <f t="shared" si="50"/>
        <v>13879.32</v>
      </c>
      <c r="I1559" s="37">
        <v>45780</v>
      </c>
      <c r="J1559" s="33" t="s">
        <v>18</v>
      </c>
      <c r="K1559" s="33" t="s">
        <v>23</v>
      </c>
      <c r="L1559" s="38">
        <f t="shared" si="51"/>
        <v>6800.8667999999998</v>
      </c>
      <c r="M1559" s="38">
        <v>1942.23</v>
      </c>
      <c r="N1559" s="24">
        <f>_xlfn.XLOOKUP(Snitch_Fashion_Sales_cleaned!$J1559,Table2[City],Table2[City_Key],"not found")</f>
        <v>2</v>
      </c>
      <c r="O1559" s="23">
        <f>_xlfn.XLOOKUP(Snitch_Fashion_Sales_cleaned!$D1559,Table4[Product_Name],Table4[Product_Key],"not found")</f>
        <v>8</v>
      </c>
      <c r="P1559" s="32">
        <f>_xlfn.XLOOKUP(Snitch_Fashion_Sales_cleaned!$I1559,Table3[Order_Date],Table3[Date_Key])</f>
        <v>305</v>
      </c>
    </row>
    <row r="1560" spans="1:16" x14ac:dyDescent="0.3">
      <c r="A1560" s="27">
        <v>2558</v>
      </c>
      <c r="B1560" s="25" t="s">
        <v>1590</v>
      </c>
      <c r="C1560" s="25" t="s">
        <v>28</v>
      </c>
      <c r="D1560" s="26" t="s">
        <v>39</v>
      </c>
      <c r="E1560" s="27">
        <v>3</v>
      </c>
      <c r="F1560" s="28">
        <v>1175.25</v>
      </c>
      <c r="G1560" s="29">
        <v>0.51</v>
      </c>
      <c r="H1560" s="28">
        <f t="shared" si="50"/>
        <v>3525.75</v>
      </c>
      <c r="I1560" s="30">
        <v>45647</v>
      </c>
      <c r="J1560" s="26" t="s">
        <v>22</v>
      </c>
      <c r="K1560" s="26" t="s">
        <v>23</v>
      </c>
      <c r="L1560" s="31">
        <f t="shared" si="51"/>
        <v>1727.6175000000001</v>
      </c>
      <c r="M1560" s="31">
        <v>854.14</v>
      </c>
      <c r="N1560" s="22">
        <f>_xlfn.XLOOKUP(Snitch_Fashion_Sales_cleaned!$J1560,Table2[City],Table2[City_Key],"not found")</f>
        <v>3</v>
      </c>
      <c r="O1560" s="21">
        <f>_xlfn.XLOOKUP(Snitch_Fashion_Sales_cleaned!$D1560,Table4[Product_Name],Table4[Product_Key],"not found")</f>
        <v>8</v>
      </c>
      <c r="P1560" s="25">
        <f>_xlfn.XLOOKUP(Snitch_Fashion_Sales_cleaned!$I1560,Table3[Order_Date],Table3[Date_Key])</f>
        <v>5</v>
      </c>
    </row>
    <row r="1561" spans="1:16" x14ac:dyDescent="0.3">
      <c r="A1561" s="34">
        <v>2559</v>
      </c>
      <c r="B1561" s="32" t="s">
        <v>1591</v>
      </c>
      <c r="C1561" s="32" t="s">
        <v>28</v>
      </c>
      <c r="D1561" s="33" t="s">
        <v>116</v>
      </c>
      <c r="E1561" s="34">
        <v>4</v>
      </c>
      <c r="F1561" s="35">
        <v>2785.79</v>
      </c>
      <c r="G1561" s="36">
        <v>0.3</v>
      </c>
      <c r="H1561" s="35">
        <f t="shared" si="50"/>
        <v>11143.16</v>
      </c>
      <c r="I1561" s="37">
        <v>45647</v>
      </c>
      <c r="J1561" s="33" t="s">
        <v>43</v>
      </c>
      <c r="K1561" s="33" t="s">
        <v>23</v>
      </c>
      <c r="L1561" s="38">
        <f t="shared" si="51"/>
        <v>7800.2119999999995</v>
      </c>
      <c r="M1561" s="38">
        <v>-882.81</v>
      </c>
      <c r="N1561" s="24">
        <f>_xlfn.XLOOKUP(Snitch_Fashion_Sales_cleaned!$J1561,Table2[City],Table2[City_Key],"not found")</f>
        <v>6</v>
      </c>
      <c r="O1561" s="23">
        <f>_xlfn.XLOOKUP(Snitch_Fashion_Sales_cleaned!$D1561,Table4[Product_Name],Table4[Product_Key],"not found")</f>
        <v>22</v>
      </c>
      <c r="P1561" s="32">
        <f>_xlfn.XLOOKUP(Snitch_Fashion_Sales_cleaned!$I1561,Table3[Order_Date],Table3[Date_Key])</f>
        <v>5</v>
      </c>
    </row>
    <row r="1562" spans="1:16" x14ac:dyDescent="0.3">
      <c r="A1562" s="27">
        <v>2560</v>
      </c>
      <c r="B1562" s="25" t="s">
        <v>1592</v>
      </c>
      <c r="C1562" s="25" t="s">
        <v>25</v>
      </c>
      <c r="D1562" s="26" t="s">
        <v>26</v>
      </c>
      <c r="E1562" s="27">
        <v>4</v>
      </c>
      <c r="F1562" s="28">
        <v>4699.66</v>
      </c>
      <c r="G1562" s="29">
        <v>0.51</v>
      </c>
      <c r="H1562" s="28">
        <f t="shared" si="50"/>
        <v>18798.64</v>
      </c>
      <c r="I1562" s="30">
        <v>45647</v>
      </c>
      <c r="J1562" s="26" t="s">
        <v>22</v>
      </c>
      <c r="K1562" s="26" t="s">
        <v>16</v>
      </c>
      <c r="L1562" s="31">
        <f t="shared" si="51"/>
        <v>9211.3335999999999</v>
      </c>
      <c r="M1562" s="31">
        <v>2759.92</v>
      </c>
      <c r="N1562" s="22">
        <f>_xlfn.XLOOKUP(Snitch_Fashion_Sales_cleaned!$J1562,Table2[City],Table2[City_Key],"not found")</f>
        <v>3</v>
      </c>
      <c r="O1562" s="21">
        <f>_xlfn.XLOOKUP(Snitch_Fashion_Sales_cleaned!$D1562,Table4[Product_Name],Table4[Product_Key],"not found")</f>
        <v>3</v>
      </c>
      <c r="P1562" s="25">
        <f>_xlfn.XLOOKUP(Snitch_Fashion_Sales_cleaned!$I1562,Table3[Order_Date],Table3[Date_Key])</f>
        <v>5</v>
      </c>
    </row>
    <row r="1563" spans="1:16" x14ac:dyDescent="0.3">
      <c r="A1563" s="34">
        <v>2561</v>
      </c>
      <c r="B1563" s="32" t="s">
        <v>1593</v>
      </c>
      <c r="C1563" s="32" t="s">
        <v>20</v>
      </c>
      <c r="D1563" s="33" t="s">
        <v>21</v>
      </c>
      <c r="E1563" s="34">
        <v>5</v>
      </c>
      <c r="F1563" s="35">
        <v>2579.8000000000002</v>
      </c>
      <c r="G1563" s="36">
        <v>0.51</v>
      </c>
      <c r="H1563" s="35">
        <f t="shared" si="50"/>
        <v>12899</v>
      </c>
      <c r="I1563" s="37">
        <v>45647</v>
      </c>
      <c r="J1563" s="33" t="s">
        <v>18</v>
      </c>
      <c r="K1563" s="33" t="s">
        <v>23</v>
      </c>
      <c r="L1563" s="38">
        <f t="shared" si="51"/>
        <v>6320.51</v>
      </c>
      <c r="M1563" s="38">
        <v>559.97</v>
      </c>
      <c r="N1563" s="24">
        <f>_xlfn.XLOOKUP(Snitch_Fashion_Sales_cleaned!$J1563,Table2[City],Table2[City_Key],"not found")</f>
        <v>2</v>
      </c>
      <c r="O1563" s="23">
        <f>_xlfn.XLOOKUP(Snitch_Fashion_Sales_cleaned!$D1563,Table4[Product_Name],Table4[Product_Key],"not found")</f>
        <v>2</v>
      </c>
      <c r="P1563" s="32">
        <f>_xlfn.XLOOKUP(Snitch_Fashion_Sales_cleaned!$I1563,Table3[Order_Date],Table3[Date_Key])</f>
        <v>5</v>
      </c>
    </row>
    <row r="1564" spans="1:16" x14ac:dyDescent="0.3">
      <c r="A1564" s="27">
        <v>1044</v>
      </c>
      <c r="B1564" s="25" t="s">
        <v>1594</v>
      </c>
      <c r="C1564" s="25" t="s">
        <v>20</v>
      </c>
      <c r="D1564" s="26" t="s">
        <v>76</v>
      </c>
      <c r="E1564" s="27">
        <v>3</v>
      </c>
      <c r="F1564" s="28">
        <v>756.73</v>
      </c>
      <c r="G1564" s="29">
        <v>0.51</v>
      </c>
      <c r="H1564" s="28">
        <f t="shared" si="50"/>
        <v>2270.19</v>
      </c>
      <c r="I1564" s="30">
        <v>45631</v>
      </c>
      <c r="J1564" s="26" t="s">
        <v>15</v>
      </c>
      <c r="K1564" s="26" t="s">
        <v>23</v>
      </c>
      <c r="L1564" s="31">
        <f t="shared" si="51"/>
        <v>1112.3931</v>
      </c>
      <c r="M1564" s="31">
        <v>278.098275</v>
      </c>
      <c r="N1564" s="22">
        <f>_xlfn.XLOOKUP(Snitch_Fashion_Sales_cleaned!$J1564,Table2[City],Table2[City_Key],"not found")</f>
        <v>1</v>
      </c>
      <c r="O1564" s="21">
        <f>_xlfn.XLOOKUP(Snitch_Fashion_Sales_cleaned!$D1564,Table4[Product_Name],Table4[Product_Key],"not found")</f>
        <v>16</v>
      </c>
      <c r="P1564" s="25">
        <f>_xlfn.XLOOKUP(Snitch_Fashion_Sales_cleaned!$I1564,Table3[Order_Date],Table3[Date_Key])</f>
        <v>397</v>
      </c>
    </row>
    <row r="1565" spans="1:16" x14ac:dyDescent="0.3">
      <c r="A1565" s="34">
        <v>2563</v>
      </c>
      <c r="B1565" s="32" t="s">
        <v>1595</v>
      </c>
      <c r="C1565" s="32" t="s">
        <v>28</v>
      </c>
      <c r="D1565" s="33" t="s">
        <v>39</v>
      </c>
      <c r="E1565" s="34">
        <v>3</v>
      </c>
      <c r="F1565" s="35">
        <v>2577.6350000000002</v>
      </c>
      <c r="G1565" s="36">
        <v>0.41</v>
      </c>
      <c r="H1565" s="35">
        <f t="shared" si="50"/>
        <v>7732.9050000000007</v>
      </c>
      <c r="I1565" s="37">
        <v>45789</v>
      </c>
      <c r="J1565" s="33" t="s">
        <v>52</v>
      </c>
      <c r="K1565" s="33" t="s">
        <v>16</v>
      </c>
      <c r="L1565" s="38">
        <f t="shared" si="51"/>
        <v>4562.413950000001</v>
      </c>
      <c r="M1565" s="38">
        <v>891.43</v>
      </c>
      <c r="N1565" s="24">
        <f>_xlfn.XLOOKUP(Snitch_Fashion_Sales_cleaned!$J1565,Table2[City],Table2[City_Key],"not found")</f>
        <v>5</v>
      </c>
      <c r="O1565" s="23">
        <f>_xlfn.XLOOKUP(Snitch_Fashion_Sales_cleaned!$D1565,Table4[Product_Name],Table4[Product_Key],"not found")</f>
        <v>8</v>
      </c>
      <c r="P1565" s="32">
        <f>_xlfn.XLOOKUP(Snitch_Fashion_Sales_cleaned!$I1565,Table3[Order_Date],Table3[Date_Key])</f>
        <v>206</v>
      </c>
    </row>
    <row r="1566" spans="1:16" x14ac:dyDescent="0.3">
      <c r="A1566" s="27">
        <v>2564</v>
      </c>
      <c r="B1566" s="25" t="s">
        <v>1596</v>
      </c>
      <c r="C1566" s="25" t="s">
        <v>20</v>
      </c>
      <c r="D1566" s="26" t="s">
        <v>118</v>
      </c>
      <c r="E1566" s="27">
        <v>3.5</v>
      </c>
      <c r="F1566" s="28">
        <v>2752.99</v>
      </c>
      <c r="G1566" s="29">
        <v>0.51</v>
      </c>
      <c r="H1566" s="28">
        <f t="shared" si="50"/>
        <v>9635.4650000000001</v>
      </c>
      <c r="I1566" s="30">
        <v>45290</v>
      </c>
      <c r="J1566" s="26" t="s">
        <v>22</v>
      </c>
      <c r="K1566" s="26" t="s">
        <v>16</v>
      </c>
      <c r="L1566" s="31">
        <f t="shared" si="51"/>
        <v>4721.3778499999999</v>
      </c>
      <c r="M1566" s="31">
        <v>-479.17</v>
      </c>
      <c r="N1566" s="22">
        <f>_xlfn.XLOOKUP(Snitch_Fashion_Sales_cleaned!$J1566,Table2[City],Table2[City_Key],"not found")</f>
        <v>3</v>
      </c>
      <c r="O1566" s="21">
        <f>_xlfn.XLOOKUP(Snitch_Fashion_Sales_cleaned!$D1566,Table4[Product_Name],Table4[Product_Key],"not found")</f>
        <v>23</v>
      </c>
      <c r="P1566" s="25">
        <f>_xlfn.XLOOKUP(Snitch_Fashion_Sales_cleaned!$I1566,Table3[Order_Date],Table3[Date_Key])</f>
        <v>491</v>
      </c>
    </row>
    <row r="1567" spans="1:16" x14ac:dyDescent="0.3">
      <c r="A1567" s="34">
        <v>2565</v>
      </c>
      <c r="B1567" s="32" t="s">
        <v>1597</v>
      </c>
      <c r="C1567" s="32" t="s">
        <v>25</v>
      </c>
      <c r="D1567" s="33" t="s">
        <v>50</v>
      </c>
      <c r="E1567" s="34">
        <v>4</v>
      </c>
      <c r="F1567" s="35">
        <v>2666.2200000000003</v>
      </c>
      <c r="G1567" s="36">
        <v>0.51</v>
      </c>
      <c r="H1567" s="35">
        <f t="shared" si="50"/>
        <v>10664.880000000001</v>
      </c>
      <c r="I1567" s="37">
        <v>45647</v>
      </c>
      <c r="J1567" s="33" t="s">
        <v>43</v>
      </c>
      <c r="K1567" s="33" t="s">
        <v>23</v>
      </c>
      <c r="L1567" s="38">
        <f t="shared" si="51"/>
        <v>5225.7912000000006</v>
      </c>
      <c r="M1567" s="38">
        <v>415.71</v>
      </c>
      <c r="N1567" s="24">
        <f>_xlfn.XLOOKUP(Snitch_Fashion_Sales_cleaned!$J1567,Table2[City],Table2[City_Key],"not found")</f>
        <v>6</v>
      </c>
      <c r="O1567" s="23">
        <f>_xlfn.XLOOKUP(Snitch_Fashion_Sales_cleaned!$D1567,Table4[Product_Name],Table4[Product_Key],"not found")</f>
        <v>11</v>
      </c>
      <c r="P1567" s="32">
        <f>_xlfn.XLOOKUP(Snitch_Fashion_Sales_cleaned!$I1567,Table3[Order_Date],Table3[Date_Key])</f>
        <v>5</v>
      </c>
    </row>
    <row r="1568" spans="1:16" x14ac:dyDescent="0.3">
      <c r="A1568" s="27">
        <v>2566</v>
      </c>
      <c r="B1568" s="25" t="s">
        <v>1598</v>
      </c>
      <c r="C1568" s="25" t="s">
        <v>31</v>
      </c>
      <c r="D1568" s="26" t="s">
        <v>32</v>
      </c>
      <c r="E1568" s="27">
        <v>1</v>
      </c>
      <c r="F1568" s="28">
        <v>4482.08</v>
      </c>
      <c r="G1568" s="29">
        <v>0.51</v>
      </c>
      <c r="H1568" s="28">
        <f t="shared" si="50"/>
        <v>4482.08</v>
      </c>
      <c r="I1568" s="30">
        <v>45508</v>
      </c>
      <c r="J1568" s="26" t="s">
        <v>2540</v>
      </c>
      <c r="K1568" s="26" t="s">
        <v>23</v>
      </c>
      <c r="L1568" s="31">
        <f t="shared" si="51"/>
        <v>2196.2192</v>
      </c>
      <c r="M1568" s="31">
        <v>464.92</v>
      </c>
      <c r="N1568" s="22">
        <f>_xlfn.XLOOKUP(Snitch_Fashion_Sales_cleaned!$J1568,Table2[City],Table2[City_Key],"not found")</f>
        <v>4</v>
      </c>
      <c r="O1568" s="21">
        <f>_xlfn.XLOOKUP(Snitch_Fashion_Sales_cleaned!$D1568,Table4[Product_Name],Table4[Product_Key],"not found")</f>
        <v>5</v>
      </c>
      <c r="P1568" s="25">
        <f>_xlfn.XLOOKUP(Snitch_Fashion_Sales_cleaned!$I1568,Table3[Order_Date],Table3[Date_Key])</f>
        <v>188</v>
      </c>
    </row>
    <row r="1569" spans="1:16" x14ac:dyDescent="0.3">
      <c r="A1569" s="34">
        <v>2567</v>
      </c>
      <c r="B1569" s="32" t="s">
        <v>1599</v>
      </c>
      <c r="C1569" s="32" t="s">
        <v>31</v>
      </c>
      <c r="D1569" s="33" t="s">
        <v>78</v>
      </c>
      <c r="E1569" s="34">
        <v>4</v>
      </c>
      <c r="F1569" s="35">
        <v>2599.75</v>
      </c>
      <c r="G1569" s="36">
        <v>0.35</v>
      </c>
      <c r="H1569" s="35">
        <f t="shared" si="50"/>
        <v>10399</v>
      </c>
      <c r="I1569" s="37">
        <v>45643</v>
      </c>
      <c r="J1569" s="33" t="s">
        <v>15</v>
      </c>
      <c r="K1569" s="33" t="s">
        <v>23</v>
      </c>
      <c r="L1569" s="38">
        <f t="shared" si="51"/>
        <v>6759.35</v>
      </c>
      <c r="M1569" s="38">
        <v>2962.69</v>
      </c>
      <c r="N1569" s="24">
        <f>_xlfn.XLOOKUP(Snitch_Fashion_Sales_cleaned!$J1569,Table2[City],Table2[City_Key],"not found")</f>
        <v>1</v>
      </c>
      <c r="O1569" s="23">
        <f>_xlfn.XLOOKUP(Snitch_Fashion_Sales_cleaned!$D1569,Table4[Product_Name],Table4[Product_Key],"not found")</f>
        <v>17</v>
      </c>
      <c r="P1569" s="32">
        <f>_xlfn.XLOOKUP(Snitch_Fashion_Sales_cleaned!$I1569,Table3[Order_Date],Table3[Date_Key])</f>
        <v>389</v>
      </c>
    </row>
    <row r="1570" spans="1:16" x14ac:dyDescent="0.3">
      <c r="A1570" s="27">
        <v>1013</v>
      </c>
      <c r="B1570" s="25" t="s">
        <v>1600</v>
      </c>
      <c r="C1570" s="25" t="s">
        <v>25</v>
      </c>
      <c r="D1570" s="26" t="s">
        <v>50</v>
      </c>
      <c r="E1570" s="27">
        <v>6</v>
      </c>
      <c r="F1570" s="28">
        <v>2355.2800000000002</v>
      </c>
      <c r="G1570" s="29">
        <v>0.51</v>
      </c>
      <c r="H1570" s="28">
        <f t="shared" si="50"/>
        <v>14131.68</v>
      </c>
      <c r="I1570" s="30">
        <v>45674</v>
      </c>
      <c r="J1570" s="26" t="s">
        <v>18</v>
      </c>
      <c r="K1570" s="26" t="s">
        <v>23</v>
      </c>
      <c r="L1570" s="31">
        <f t="shared" si="51"/>
        <v>6924.5231999999996</v>
      </c>
      <c r="M1570" s="31">
        <v>330.11</v>
      </c>
      <c r="N1570" s="22">
        <f>_xlfn.XLOOKUP(Snitch_Fashion_Sales_cleaned!$J1570,Table2[City],Table2[City_Key],"not found")</f>
        <v>2</v>
      </c>
      <c r="O1570" s="21">
        <f>_xlfn.XLOOKUP(Snitch_Fashion_Sales_cleaned!$D1570,Table4[Product_Name],Table4[Product_Key],"not found")</f>
        <v>11</v>
      </c>
      <c r="P1570" s="25">
        <f>_xlfn.XLOOKUP(Snitch_Fashion_Sales_cleaned!$I1570,Table3[Order_Date],Table3[Date_Key])</f>
        <v>475</v>
      </c>
    </row>
    <row r="1571" spans="1:16" x14ac:dyDescent="0.3">
      <c r="A1571" s="34">
        <v>2569</v>
      </c>
      <c r="B1571" s="32" t="s">
        <v>1601</v>
      </c>
      <c r="C1571" s="32" t="s">
        <v>20</v>
      </c>
      <c r="D1571" s="33" t="s">
        <v>118</v>
      </c>
      <c r="E1571" s="34">
        <v>3.5</v>
      </c>
      <c r="F1571" s="35">
        <v>1263.8399999999999</v>
      </c>
      <c r="G1571" s="36">
        <v>0.51</v>
      </c>
      <c r="H1571" s="35">
        <f t="shared" si="50"/>
        <v>4423.4399999999996</v>
      </c>
      <c r="I1571" s="37">
        <v>45694</v>
      </c>
      <c r="J1571" s="33" t="s">
        <v>52</v>
      </c>
      <c r="K1571" s="33" t="s">
        <v>23</v>
      </c>
      <c r="L1571" s="38">
        <f t="shared" si="51"/>
        <v>2167.4856</v>
      </c>
      <c r="M1571" s="38">
        <v>541.87139999999999</v>
      </c>
      <c r="N1571" s="24">
        <f>_xlfn.XLOOKUP(Snitch_Fashion_Sales_cleaned!$J1571,Table2[City],Table2[City_Key],"not found")</f>
        <v>5</v>
      </c>
      <c r="O1571" s="23">
        <f>_xlfn.XLOOKUP(Snitch_Fashion_Sales_cleaned!$D1571,Table4[Product_Name],Table4[Product_Key],"not found")</f>
        <v>23</v>
      </c>
      <c r="P1571" s="32">
        <f>_xlfn.XLOOKUP(Snitch_Fashion_Sales_cleaned!$I1571,Table3[Order_Date],Table3[Date_Key])</f>
        <v>175</v>
      </c>
    </row>
    <row r="1572" spans="1:16" x14ac:dyDescent="0.3">
      <c r="A1572" s="27">
        <v>2570</v>
      </c>
      <c r="B1572" s="25" t="s">
        <v>1602</v>
      </c>
      <c r="C1572" s="25" t="s">
        <v>20</v>
      </c>
      <c r="D1572" s="26" t="s">
        <v>84</v>
      </c>
      <c r="E1572" s="27">
        <v>3</v>
      </c>
      <c r="F1572" s="28">
        <v>2537.59</v>
      </c>
      <c r="G1572" s="29">
        <v>0.78</v>
      </c>
      <c r="H1572" s="28">
        <f t="shared" si="50"/>
        <v>7612.77</v>
      </c>
      <c r="I1572" s="30">
        <v>45763</v>
      </c>
      <c r="J1572" s="26" t="s">
        <v>52</v>
      </c>
      <c r="K1572" s="26" t="s">
        <v>23</v>
      </c>
      <c r="L1572" s="31">
        <f t="shared" si="51"/>
        <v>1674.8093999999999</v>
      </c>
      <c r="M1572" s="31">
        <v>1668.49</v>
      </c>
      <c r="N1572" s="22">
        <f>_xlfn.XLOOKUP(Snitch_Fashion_Sales_cleaned!$J1572,Table2[City],Table2[City_Key],"not found")</f>
        <v>5</v>
      </c>
      <c r="O1572" s="21">
        <f>_xlfn.XLOOKUP(Snitch_Fashion_Sales_cleaned!$D1572,Table4[Product_Name],Table4[Product_Key],"not found")</f>
        <v>19</v>
      </c>
      <c r="P1572" s="25">
        <f>_xlfn.XLOOKUP(Snitch_Fashion_Sales_cleaned!$I1572,Table3[Order_Date],Table3[Date_Key])</f>
        <v>241</v>
      </c>
    </row>
    <row r="1573" spans="1:16" x14ac:dyDescent="0.3">
      <c r="A1573" s="34">
        <v>2571</v>
      </c>
      <c r="B1573" s="32" t="s">
        <v>1603</v>
      </c>
      <c r="C1573" s="32" t="s">
        <v>36</v>
      </c>
      <c r="D1573" s="33" t="s">
        <v>59</v>
      </c>
      <c r="E1573" s="34">
        <v>3</v>
      </c>
      <c r="F1573" s="35">
        <v>3061.98</v>
      </c>
      <c r="G1573" s="36">
        <v>0.51</v>
      </c>
      <c r="H1573" s="35">
        <f t="shared" si="50"/>
        <v>9185.94</v>
      </c>
      <c r="I1573" s="37">
        <v>45843</v>
      </c>
      <c r="J1573" s="33" t="s">
        <v>18</v>
      </c>
      <c r="K1573" s="33" t="s">
        <v>23</v>
      </c>
      <c r="L1573" s="38">
        <f t="shared" si="51"/>
        <v>4501.1106</v>
      </c>
      <c r="M1573" s="38">
        <v>2553.09</v>
      </c>
      <c r="N1573" s="24">
        <f>_xlfn.XLOOKUP(Snitch_Fashion_Sales_cleaned!$J1573,Table2[City],Table2[City_Key],"not found")</f>
        <v>2</v>
      </c>
      <c r="O1573" s="23">
        <f>_xlfn.XLOOKUP(Snitch_Fashion_Sales_cleaned!$D1573,Table4[Product_Name],Table4[Product_Key],"not found")</f>
        <v>13</v>
      </c>
      <c r="P1573" s="32">
        <f>_xlfn.XLOOKUP(Snitch_Fashion_Sales_cleaned!$I1573,Table3[Order_Date],Table3[Date_Key])</f>
        <v>179</v>
      </c>
    </row>
    <row r="1574" spans="1:16" x14ac:dyDescent="0.3">
      <c r="A1574" s="27">
        <v>2572</v>
      </c>
      <c r="B1574" s="25" t="s">
        <v>1604</v>
      </c>
      <c r="C1574" s="25" t="s">
        <v>31</v>
      </c>
      <c r="D1574" s="26" t="s">
        <v>41</v>
      </c>
      <c r="E1574" s="27">
        <v>3</v>
      </c>
      <c r="F1574" s="28">
        <v>3027.66</v>
      </c>
      <c r="G1574" s="29">
        <v>0.51</v>
      </c>
      <c r="H1574" s="28">
        <f t="shared" si="50"/>
        <v>9082.98</v>
      </c>
      <c r="I1574" s="30">
        <v>45698</v>
      </c>
      <c r="J1574" s="26" t="s">
        <v>43</v>
      </c>
      <c r="K1574" s="26" t="s">
        <v>23</v>
      </c>
      <c r="L1574" s="31">
        <f t="shared" si="51"/>
        <v>4450.6601999999993</v>
      </c>
      <c r="M1574" s="31">
        <v>-305.72000000000003</v>
      </c>
      <c r="N1574" s="22">
        <f>_xlfn.XLOOKUP(Snitch_Fashion_Sales_cleaned!$J1574,Table2[City],Table2[City_Key],"not found")</f>
        <v>6</v>
      </c>
      <c r="O1574" s="21">
        <f>_xlfn.XLOOKUP(Snitch_Fashion_Sales_cleaned!$D1574,Table4[Product_Name],Table4[Product_Key],"not found")</f>
        <v>9</v>
      </c>
      <c r="P1574" s="25">
        <f>_xlfn.XLOOKUP(Snitch_Fashion_Sales_cleaned!$I1574,Table3[Order_Date],Table3[Date_Key])</f>
        <v>32</v>
      </c>
    </row>
    <row r="1575" spans="1:16" x14ac:dyDescent="0.3">
      <c r="A1575" s="34">
        <v>2573</v>
      </c>
      <c r="B1575" s="32" t="s">
        <v>1605</v>
      </c>
      <c r="C1575" s="32" t="s">
        <v>20</v>
      </c>
      <c r="D1575" s="33" t="s">
        <v>118</v>
      </c>
      <c r="E1575" s="34">
        <v>3.5</v>
      </c>
      <c r="F1575" s="35">
        <v>2752.99</v>
      </c>
      <c r="G1575" s="36">
        <v>0.51</v>
      </c>
      <c r="H1575" s="35">
        <f t="shared" si="50"/>
        <v>9635.4650000000001</v>
      </c>
      <c r="I1575" s="37">
        <v>45303</v>
      </c>
      <c r="J1575" s="33" t="s">
        <v>18</v>
      </c>
      <c r="K1575" s="33" t="s">
        <v>23</v>
      </c>
      <c r="L1575" s="38">
        <f t="shared" si="51"/>
        <v>4721.3778499999999</v>
      </c>
      <c r="M1575" s="38">
        <v>-215</v>
      </c>
      <c r="N1575" s="24">
        <f>_xlfn.XLOOKUP(Snitch_Fashion_Sales_cleaned!$J1575,Table2[City],Table2[City_Key],"not found")</f>
        <v>2</v>
      </c>
      <c r="O1575" s="23">
        <f>_xlfn.XLOOKUP(Snitch_Fashion_Sales_cleaned!$D1575,Table4[Product_Name],Table4[Product_Key],"not found")</f>
        <v>23</v>
      </c>
      <c r="P1575" s="32">
        <f>_xlfn.XLOOKUP(Snitch_Fashion_Sales_cleaned!$I1575,Table3[Order_Date],Table3[Date_Key])</f>
        <v>492</v>
      </c>
    </row>
    <row r="1576" spans="1:16" x14ac:dyDescent="0.3">
      <c r="A1576" s="27">
        <v>2574</v>
      </c>
      <c r="B1576" s="25" t="s">
        <v>1606</v>
      </c>
      <c r="C1576" s="25" t="s">
        <v>36</v>
      </c>
      <c r="D1576" s="26" t="s">
        <v>59</v>
      </c>
      <c r="E1576" s="27">
        <v>3</v>
      </c>
      <c r="F1576" s="28">
        <v>2765.26</v>
      </c>
      <c r="G1576" s="29">
        <v>0.51</v>
      </c>
      <c r="H1576" s="28">
        <f t="shared" si="50"/>
        <v>8295.7800000000007</v>
      </c>
      <c r="I1576" s="30">
        <v>45602</v>
      </c>
      <c r="J1576" s="26" t="s">
        <v>43</v>
      </c>
      <c r="K1576" s="26" t="s">
        <v>23</v>
      </c>
      <c r="L1576" s="31">
        <f t="shared" si="51"/>
        <v>4064.9322000000002</v>
      </c>
      <c r="M1576" s="31">
        <v>-39.299999999999997</v>
      </c>
      <c r="N1576" s="22">
        <f>_xlfn.XLOOKUP(Snitch_Fashion_Sales_cleaned!$J1576,Table2[City],Table2[City_Key],"not found")</f>
        <v>6</v>
      </c>
      <c r="O1576" s="21">
        <f>_xlfn.XLOOKUP(Snitch_Fashion_Sales_cleaned!$D1576,Table4[Product_Name],Table4[Product_Key],"not found")</f>
        <v>13</v>
      </c>
      <c r="P1576" s="25">
        <f>_xlfn.XLOOKUP(Snitch_Fashion_Sales_cleaned!$I1576,Table3[Order_Date],Table3[Date_Key])</f>
        <v>91</v>
      </c>
    </row>
    <row r="1577" spans="1:16" x14ac:dyDescent="0.3">
      <c r="A1577" s="34">
        <v>2575</v>
      </c>
      <c r="B1577" s="32" t="s">
        <v>1607</v>
      </c>
      <c r="C1577" s="32" t="s">
        <v>25</v>
      </c>
      <c r="D1577" s="33" t="s">
        <v>50</v>
      </c>
      <c r="E1577" s="34">
        <v>4</v>
      </c>
      <c r="F1577" s="35">
        <v>2714.78</v>
      </c>
      <c r="G1577" s="36">
        <v>0.42</v>
      </c>
      <c r="H1577" s="35">
        <f t="shared" si="50"/>
        <v>10859.12</v>
      </c>
      <c r="I1577" s="37">
        <v>45785</v>
      </c>
      <c r="J1577" s="33" t="s">
        <v>18</v>
      </c>
      <c r="K1577" s="33" t="s">
        <v>23</v>
      </c>
      <c r="L1577" s="38">
        <f t="shared" si="51"/>
        <v>6298.289600000001</v>
      </c>
      <c r="M1577" s="38">
        <v>1220.49</v>
      </c>
      <c r="N1577" s="24">
        <f>_xlfn.XLOOKUP(Snitch_Fashion_Sales_cleaned!$J1577,Table2[City],Table2[City_Key],"not found")</f>
        <v>2</v>
      </c>
      <c r="O1577" s="23">
        <f>_xlfn.XLOOKUP(Snitch_Fashion_Sales_cleaned!$D1577,Table4[Product_Name],Table4[Product_Key],"not found")</f>
        <v>11</v>
      </c>
      <c r="P1577" s="32">
        <f>_xlfn.XLOOKUP(Snitch_Fashion_Sales_cleaned!$I1577,Table3[Order_Date],Table3[Date_Key])</f>
        <v>58</v>
      </c>
    </row>
    <row r="1578" spans="1:16" x14ac:dyDescent="0.3">
      <c r="A1578" s="27">
        <v>2576</v>
      </c>
      <c r="B1578" s="25" t="s">
        <v>1608</v>
      </c>
      <c r="C1578" s="25" t="s">
        <v>13</v>
      </c>
      <c r="D1578" s="26" t="s">
        <v>46</v>
      </c>
      <c r="E1578" s="27">
        <v>4</v>
      </c>
      <c r="F1578" s="28">
        <v>2891.64</v>
      </c>
      <c r="G1578" s="29">
        <v>0.56000000000000005</v>
      </c>
      <c r="H1578" s="28">
        <f t="shared" si="50"/>
        <v>11566.56</v>
      </c>
      <c r="I1578" s="30">
        <v>45851</v>
      </c>
      <c r="J1578" s="26" t="s">
        <v>22</v>
      </c>
      <c r="K1578" s="26" t="s">
        <v>16</v>
      </c>
      <c r="L1578" s="31">
        <f t="shared" si="51"/>
        <v>5089.286399999999</v>
      </c>
      <c r="M1578" s="31">
        <v>515.36</v>
      </c>
      <c r="N1578" s="22">
        <f>_xlfn.XLOOKUP(Snitch_Fashion_Sales_cleaned!$J1578,Table2[City],Table2[City_Key],"not found")</f>
        <v>3</v>
      </c>
      <c r="O1578" s="21">
        <f>_xlfn.XLOOKUP(Snitch_Fashion_Sales_cleaned!$D1578,Table4[Product_Name],Table4[Product_Key],"not found")</f>
        <v>10</v>
      </c>
      <c r="P1578" s="25">
        <f>_xlfn.XLOOKUP(Snitch_Fashion_Sales_cleaned!$I1578,Table3[Order_Date],Table3[Date_Key])</f>
        <v>23</v>
      </c>
    </row>
    <row r="1579" spans="1:16" x14ac:dyDescent="0.3">
      <c r="A1579" s="34">
        <v>2577</v>
      </c>
      <c r="B1579" s="32" t="s">
        <v>1609</v>
      </c>
      <c r="C1579" s="32" t="s">
        <v>13</v>
      </c>
      <c r="D1579" s="33" t="s">
        <v>46</v>
      </c>
      <c r="E1579" s="34">
        <v>1</v>
      </c>
      <c r="F1579" s="35">
        <v>609.05999999999995</v>
      </c>
      <c r="G1579" s="36">
        <v>0.17</v>
      </c>
      <c r="H1579" s="35">
        <f t="shared" si="50"/>
        <v>609.05999999999995</v>
      </c>
      <c r="I1579" s="37">
        <v>45597</v>
      </c>
      <c r="J1579" s="33" t="s">
        <v>18</v>
      </c>
      <c r="K1579" s="33" t="s">
        <v>16</v>
      </c>
      <c r="L1579" s="38">
        <f t="shared" si="51"/>
        <v>505.51979999999992</v>
      </c>
      <c r="M1579" s="38">
        <v>110.23</v>
      </c>
      <c r="N1579" s="24">
        <f>_xlfn.XLOOKUP(Snitch_Fashion_Sales_cleaned!$J1579,Table2[City],Table2[City_Key],"not found")</f>
        <v>2</v>
      </c>
      <c r="O1579" s="23">
        <f>_xlfn.XLOOKUP(Snitch_Fashion_Sales_cleaned!$D1579,Table4[Product_Name],Table4[Product_Key],"not found")</f>
        <v>10</v>
      </c>
      <c r="P1579" s="32">
        <f>_xlfn.XLOOKUP(Snitch_Fashion_Sales_cleaned!$I1579,Table3[Order_Date],Table3[Date_Key])</f>
        <v>342</v>
      </c>
    </row>
    <row r="1580" spans="1:16" x14ac:dyDescent="0.3">
      <c r="A1580" s="27">
        <v>2578</v>
      </c>
      <c r="B1580" s="25" t="s">
        <v>1610</v>
      </c>
      <c r="C1580" s="25" t="s">
        <v>31</v>
      </c>
      <c r="D1580" s="26" t="s">
        <v>78</v>
      </c>
      <c r="E1580" s="27">
        <v>4</v>
      </c>
      <c r="F1580" s="28">
        <v>2599.75</v>
      </c>
      <c r="G1580" s="29">
        <v>0.87</v>
      </c>
      <c r="H1580" s="28">
        <f t="shared" si="50"/>
        <v>10399</v>
      </c>
      <c r="I1580" s="30">
        <v>45647</v>
      </c>
      <c r="J1580" s="26" t="s">
        <v>52</v>
      </c>
      <c r="K1580" s="26" t="s">
        <v>23</v>
      </c>
      <c r="L1580" s="31">
        <f t="shared" si="51"/>
        <v>1351.8700000000001</v>
      </c>
      <c r="M1580" s="31">
        <v>337.96750000000003</v>
      </c>
      <c r="N1580" s="22">
        <f>_xlfn.XLOOKUP(Snitch_Fashion_Sales_cleaned!$J1580,Table2[City],Table2[City_Key],"not found")</f>
        <v>5</v>
      </c>
      <c r="O1580" s="21">
        <f>_xlfn.XLOOKUP(Snitch_Fashion_Sales_cleaned!$D1580,Table4[Product_Name],Table4[Product_Key],"not found")</f>
        <v>17</v>
      </c>
      <c r="P1580" s="25">
        <f>_xlfn.XLOOKUP(Snitch_Fashion_Sales_cleaned!$I1580,Table3[Order_Date],Table3[Date_Key])</f>
        <v>5</v>
      </c>
    </row>
    <row r="1581" spans="1:16" x14ac:dyDescent="0.3">
      <c r="A1581" s="34">
        <v>1026</v>
      </c>
      <c r="B1581" s="32" t="s">
        <v>1611</v>
      </c>
      <c r="C1581" s="32" t="s">
        <v>13</v>
      </c>
      <c r="D1581" s="33" t="s">
        <v>34</v>
      </c>
      <c r="E1581" s="34">
        <v>3</v>
      </c>
      <c r="F1581" s="35">
        <v>2293.29</v>
      </c>
      <c r="G1581" s="36">
        <v>0.4</v>
      </c>
      <c r="H1581" s="35">
        <f t="shared" si="50"/>
        <v>6879.87</v>
      </c>
      <c r="I1581" s="37">
        <v>45647</v>
      </c>
      <c r="J1581" s="33" t="s">
        <v>22</v>
      </c>
      <c r="K1581" s="33" t="s">
        <v>16</v>
      </c>
      <c r="L1581" s="38">
        <f t="shared" si="51"/>
        <v>4127.9219999999996</v>
      </c>
      <c r="M1581" s="38">
        <v>1000.06</v>
      </c>
      <c r="N1581" s="24">
        <f>_xlfn.XLOOKUP(Snitch_Fashion_Sales_cleaned!$J1581,Table2[City],Table2[City_Key],"not found")</f>
        <v>3</v>
      </c>
      <c r="O1581" s="23">
        <f>_xlfn.XLOOKUP(Snitch_Fashion_Sales_cleaned!$D1581,Table4[Product_Name],Table4[Product_Key],"not found")</f>
        <v>6</v>
      </c>
      <c r="P1581" s="32">
        <f>_xlfn.XLOOKUP(Snitch_Fashion_Sales_cleaned!$I1581,Table3[Order_Date],Table3[Date_Key])</f>
        <v>5</v>
      </c>
    </row>
    <row r="1582" spans="1:16" x14ac:dyDescent="0.3">
      <c r="A1582" s="27">
        <v>2580</v>
      </c>
      <c r="B1582" s="25" t="s">
        <v>1612</v>
      </c>
      <c r="C1582" s="25" t="s">
        <v>25</v>
      </c>
      <c r="D1582" s="26" t="s">
        <v>26</v>
      </c>
      <c r="E1582" s="27">
        <v>4</v>
      </c>
      <c r="F1582" s="28">
        <v>2933.45</v>
      </c>
      <c r="G1582" s="29">
        <v>0.51</v>
      </c>
      <c r="H1582" s="28">
        <f t="shared" si="50"/>
        <v>11733.8</v>
      </c>
      <c r="I1582" s="30">
        <v>45383</v>
      </c>
      <c r="J1582" s="26" t="s">
        <v>52</v>
      </c>
      <c r="K1582" s="26" t="s">
        <v>16</v>
      </c>
      <c r="L1582" s="31">
        <f t="shared" si="51"/>
        <v>5749.5619999999999</v>
      </c>
      <c r="M1582" s="31">
        <v>2076.5300000000002</v>
      </c>
      <c r="N1582" s="22">
        <f>_xlfn.XLOOKUP(Snitch_Fashion_Sales_cleaned!$J1582,Table2[City],Table2[City_Key],"not found")</f>
        <v>5</v>
      </c>
      <c r="O1582" s="21">
        <f>_xlfn.XLOOKUP(Snitch_Fashion_Sales_cleaned!$D1582,Table4[Product_Name],Table4[Product_Key],"not found")</f>
        <v>3</v>
      </c>
      <c r="P1582" s="25">
        <f>_xlfn.XLOOKUP(Snitch_Fashion_Sales_cleaned!$I1582,Table3[Order_Date],Table3[Date_Key])</f>
        <v>493</v>
      </c>
    </row>
    <row r="1583" spans="1:16" x14ac:dyDescent="0.3">
      <c r="A1583" s="34">
        <v>2581</v>
      </c>
      <c r="B1583" s="32" t="s">
        <v>1613</v>
      </c>
      <c r="C1583" s="32" t="s">
        <v>20</v>
      </c>
      <c r="D1583" s="33" t="s">
        <v>76</v>
      </c>
      <c r="E1583" s="34">
        <v>3</v>
      </c>
      <c r="F1583" s="35">
        <v>3895.43</v>
      </c>
      <c r="G1583" s="36">
        <v>0.51</v>
      </c>
      <c r="H1583" s="35">
        <f t="shared" si="50"/>
        <v>11686.289999999999</v>
      </c>
      <c r="I1583" s="37">
        <v>45611</v>
      </c>
      <c r="J1583" s="33" t="s">
        <v>2540</v>
      </c>
      <c r="K1583" s="33" t="s">
        <v>23</v>
      </c>
      <c r="L1583" s="38">
        <f t="shared" si="51"/>
        <v>5726.2820999999994</v>
      </c>
      <c r="M1583" s="38">
        <v>1316.66</v>
      </c>
      <c r="N1583" s="24">
        <f>_xlfn.XLOOKUP(Snitch_Fashion_Sales_cleaned!$J1583,Table2[City],Table2[City_Key],"not found")</f>
        <v>4</v>
      </c>
      <c r="O1583" s="23">
        <f>_xlfn.XLOOKUP(Snitch_Fashion_Sales_cleaned!$D1583,Table4[Product_Name],Table4[Product_Key],"not found")</f>
        <v>16</v>
      </c>
      <c r="P1583" s="32">
        <f>_xlfn.XLOOKUP(Snitch_Fashion_Sales_cleaned!$I1583,Table3[Order_Date],Table3[Date_Key])</f>
        <v>27</v>
      </c>
    </row>
    <row r="1584" spans="1:16" x14ac:dyDescent="0.3">
      <c r="A1584" s="27">
        <v>2582</v>
      </c>
      <c r="B1584" s="25" t="s">
        <v>1614</v>
      </c>
      <c r="C1584" s="25" t="s">
        <v>31</v>
      </c>
      <c r="D1584" s="26" t="s">
        <v>41</v>
      </c>
      <c r="E1584" s="27">
        <v>3</v>
      </c>
      <c r="F1584" s="28">
        <v>4154.55</v>
      </c>
      <c r="G1584" s="29">
        <v>0.95</v>
      </c>
      <c r="H1584" s="28">
        <f t="shared" si="50"/>
        <v>12463.650000000001</v>
      </c>
      <c r="I1584" s="30">
        <v>45551</v>
      </c>
      <c r="J1584" s="26" t="s">
        <v>43</v>
      </c>
      <c r="K1584" s="26" t="s">
        <v>23</v>
      </c>
      <c r="L1584" s="31">
        <f t="shared" si="51"/>
        <v>623.18250000000057</v>
      </c>
      <c r="M1584" s="31">
        <v>-247.99</v>
      </c>
      <c r="N1584" s="22">
        <f>_xlfn.XLOOKUP(Snitch_Fashion_Sales_cleaned!$J1584,Table2[City],Table2[City_Key],"not found")</f>
        <v>6</v>
      </c>
      <c r="O1584" s="21">
        <f>_xlfn.XLOOKUP(Snitch_Fashion_Sales_cleaned!$D1584,Table4[Product_Name],Table4[Product_Key],"not found")</f>
        <v>9</v>
      </c>
      <c r="P1584" s="25">
        <f>_xlfn.XLOOKUP(Snitch_Fashion_Sales_cleaned!$I1584,Table3[Order_Date],Table3[Date_Key])</f>
        <v>270</v>
      </c>
    </row>
    <row r="1585" spans="1:16" x14ac:dyDescent="0.3">
      <c r="A1585" s="34">
        <v>1014</v>
      </c>
      <c r="B1585" s="32" t="s">
        <v>1615</v>
      </c>
      <c r="C1585" s="32" t="s">
        <v>13</v>
      </c>
      <c r="D1585" s="33" t="s">
        <v>34</v>
      </c>
      <c r="E1585" s="34">
        <v>3</v>
      </c>
      <c r="F1585" s="35">
        <v>3008.6549999999997</v>
      </c>
      <c r="G1585" s="36">
        <v>0.51</v>
      </c>
      <c r="H1585" s="35">
        <f t="shared" si="50"/>
        <v>9025.9650000000001</v>
      </c>
      <c r="I1585" s="37">
        <v>45392</v>
      </c>
      <c r="J1585" s="33" t="s">
        <v>15</v>
      </c>
      <c r="K1585" s="33" t="s">
        <v>16</v>
      </c>
      <c r="L1585" s="38">
        <f t="shared" si="51"/>
        <v>4422.7228500000001</v>
      </c>
      <c r="M1585" s="38">
        <v>1946.1</v>
      </c>
      <c r="N1585" s="24">
        <f>_xlfn.XLOOKUP(Snitch_Fashion_Sales_cleaned!$J1585,Table2[City],Table2[City_Key],"not found")</f>
        <v>1</v>
      </c>
      <c r="O1585" s="23">
        <f>_xlfn.XLOOKUP(Snitch_Fashion_Sales_cleaned!$D1585,Table4[Product_Name],Table4[Product_Key],"not found")</f>
        <v>6</v>
      </c>
      <c r="P1585" s="32">
        <f>_xlfn.XLOOKUP(Snitch_Fashion_Sales_cleaned!$I1585,Table3[Order_Date],Table3[Date_Key])</f>
        <v>494</v>
      </c>
    </row>
    <row r="1586" spans="1:16" x14ac:dyDescent="0.3">
      <c r="A1586" s="27">
        <v>2584</v>
      </c>
      <c r="B1586" s="25" t="s">
        <v>1616</v>
      </c>
      <c r="C1586" s="25" t="s">
        <v>28</v>
      </c>
      <c r="D1586" s="26" t="s">
        <v>137</v>
      </c>
      <c r="E1586" s="27">
        <v>3</v>
      </c>
      <c r="F1586" s="28">
        <v>1276.26</v>
      </c>
      <c r="G1586" s="29">
        <v>0.69</v>
      </c>
      <c r="H1586" s="28">
        <f t="shared" si="50"/>
        <v>3828.7799999999997</v>
      </c>
      <c r="I1586" s="30">
        <v>45647</v>
      </c>
      <c r="J1586" s="26" t="s">
        <v>22</v>
      </c>
      <c r="K1586" s="26" t="s">
        <v>16</v>
      </c>
      <c r="L1586" s="31">
        <f t="shared" si="51"/>
        <v>1186.9218000000001</v>
      </c>
      <c r="M1586" s="31">
        <v>296.73045000000002</v>
      </c>
      <c r="N1586" s="22">
        <f>_xlfn.XLOOKUP(Snitch_Fashion_Sales_cleaned!$J1586,Table2[City],Table2[City_Key],"not found")</f>
        <v>3</v>
      </c>
      <c r="O1586" s="21">
        <f>_xlfn.XLOOKUP(Snitch_Fashion_Sales_cleaned!$D1586,Table4[Product_Name],Table4[Product_Key],"not found")</f>
        <v>24</v>
      </c>
      <c r="P1586" s="25">
        <f>_xlfn.XLOOKUP(Snitch_Fashion_Sales_cleaned!$I1586,Table3[Order_Date],Table3[Date_Key])</f>
        <v>5</v>
      </c>
    </row>
    <row r="1587" spans="1:16" x14ac:dyDescent="0.3">
      <c r="A1587" s="34">
        <v>2585</v>
      </c>
      <c r="B1587" s="32" t="s">
        <v>1617</v>
      </c>
      <c r="C1587" s="32" t="s">
        <v>36</v>
      </c>
      <c r="D1587" s="33" t="s">
        <v>37</v>
      </c>
      <c r="E1587" s="34">
        <v>4</v>
      </c>
      <c r="F1587" s="35">
        <v>2975.64</v>
      </c>
      <c r="G1587" s="36">
        <v>0.51</v>
      </c>
      <c r="H1587" s="35">
        <f t="shared" si="50"/>
        <v>11902.56</v>
      </c>
      <c r="I1587" s="37">
        <v>45624</v>
      </c>
      <c r="J1587" s="33" t="s">
        <v>52</v>
      </c>
      <c r="K1587" s="33" t="s">
        <v>16</v>
      </c>
      <c r="L1587" s="38">
        <f t="shared" si="51"/>
        <v>5832.2543999999998</v>
      </c>
      <c r="M1587" s="38">
        <v>1123.27</v>
      </c>
      <c r="N1587" s="24">
        <f>_xlfn.XLOOKUP(Snitch_Fashion_Sales_cleaned!$J1587,Table2[City],Table2[City_Key],"not found")</f>
        <v>5</v>
      </c>
      <c r="O1587" s="23">
        <f>_xlfn.XLOOKUP(Snitch_Fashion_Sales_cleaned!$D1587,Table4[Product_Name],Table4[Product_Key],"not found")</f>
        <v>7</v>
      </c>
      <c r="P1587" s="32">
        <f>_xlfn.XLOOKUP(Snitch_Fashion_Sales_cleaned!$I1587,Table3[Order_Date],Table3[Date_Key])</f>
        <v>133</v>
      </c>
    </row>
    <row r="1588" spans="1:16" x14ac:dyDescent="0.3">
      <c r="A1588" s="27">
        <v>2586</v>
      </c>
      <c r="B1588" s="25" t="s">
        <v>1618</v>
      </c>
      <c r="C1588" s="25" t="s">
        <v>13</v>
      </c>
      <c r="D1588" s="26" t="s">
        <v>14</v>
      </c>
      <c r="E1588" s="27">
        <v>4</v>
      </c>
      <c r="F1588" s="28">
        <v>789.21</v>
      </c>
      <c r="G1588" s="29">
        <v>0.51</v>
      </c>
      <c r="H1588" s="28">
        <f t="shared" si="50"/>
        <v>3156.84</v>
      </c>
      <c r="I1588" s="30">
        <v>45672</v>
      </c>
      <c r="J1588" s="26" t="s">
        <v>18</v>
      </c>
      <c r="K1588" s="26" t="s">
        <v>16</v>
      </c>
      <c r="L1588" s="31">
        <f t="shared" si="51"/>
        <v>1546.8516</v>
      </c>
      <c r="M1588" s="31">
        <v>386.71289999999999</v>
      </c>
      <c r="N1588" s="22">
        <f>_xlfn.XLOOKUP(Snitch_Fashion_Sales_cleaned!$J1588,Table2[City],Table2[City_Key],"not found")</f>
        <v>2</v>
      </c>
      <c r="O1588" s="21">
        <f>_xlfn.XLOOKUP(Snitch_Fashion_Sales_cleaned!$D1588,Table4[Product_Name],Table4[Product_Key],"not found")</f>
        <v>1</v>
      </c>
      <c r="P1588" s="25">
        <f>_xlfn.XLOOKUP(Snitch_Fashion_Sales_cleaned!$I1588,Table3[Order_Date],Table3[Date_Key])</f>
        <v>48</v>
      </c>
    </row>
    <row r="1589" spans="1:16" x14ac:dyDescent="0.3">
      <c r="A1589" s="34">
        <v>2587</v>
      </c>
      <c r="B1589" s="32" t="s">
        <v>1619</v>
      </c>
      <c r="C1589" s="32" t="s">
        <v>31</v>
      </c>
      <c r="D1589" s="33" t="s">
        <v>68</v>
      </c>
      <c r="E1589" s="34">
        <v>5</v>
      </c>
      <c r="F1589" s="35">
        <v>3463.37</v>
      </c>
      <c r="G1589" s="36">
        <v>0.1</v>
      </c>
      <c r="H1589" s="35">
        <f t="shared" si="50"/>
        <v>17316.849999999999</v>
      </c>
      <c r="I1589" s="37">
        <v>45647</v>
      </c>
      <c r="J1589" s="33" t="s">
        <v>2540</v>
      </c>
      <c r="K1589" s="33" t="s">
        <v>23</v>
      </c>
      <c r="L1589" s="38">
        <f t="shared" si="51"/>
        <v>15585.164999999999</v>
      </c>
      <c r="M1589" s="38">
        <v>-957.03</v>
      </c>
      <c r="N1589" s="24">
        <f>_xlfn.XLOOKUP(Snitch_Fashion_Sales_cleaned!$J1589,Table2[City],Table2[City_Key],"not found")</f>
        <v>4</v>
      </c>
      <c r="O1589" s="23">
        <f>_xlfn.XLOOKUP(Snitch_Fashion_Sales_cleaned!$D1589,Table4[Product_Name],Table4[Product_Key],"not found")</f>
        <v>15</v>
      </c>
      <c r="P1589" s="32">
        <f>_xlfn.XLOOKUP(Snitch_Fashion_Sales_cleaned!$I1589,Table3[Order_Date],Table3[Date_Key])</f>
        <v>5</v>
      </c>
    </row>
    <row r="1590" spans="1:16" x14ac:dyDescent="0.3">
      <c r="A1590" s="27">
        <v>2588</v>
      </c>
      <c r="B1590" s="25" t="s">
        <v>1620</v>
      </c>
      <c r="C1590" s="25" t="s">
        <v>28</v>
      </c>
      <c r="D1590" s="26" t="s">
        <v>39</v>
      </c>
      <c r="E1590" s="27">
        <v>3</v>
      </c>
      <c r="F1590" s="28">
        <v>2577.6350000000002</v>
      </c>
      <c r="G1590" s="29">
        <v>0.51</v>
      </c>
      <c r="H1590" s="28">
        <f t="shared" si="50"/>
        <v>7732.9050000000007</v>
      </c>
      <c r="I1590" s="30">
        <v>45650</v>
      </c>
      <c r="J1590" s="26" t="s">
        <v>52</v>
      </c>
      <c r="K1590" s="26" t="s">
        <v>23</v>
      </c>
      <c r="L1590" s="31">
        <f t="shared" si="51"/>
        <v>3789.12345</v>
      </c>
      <c r="M1590" s="31">
        <v>-927.74</v>
      </c>
      <c r="N1590" s="22">
        <f>_xlfn.XLOOKUP(Snitch_Fashion_Sales_cleaned!$J1590,Table2[City],Table2[City_Key],"not found")</f>
        <v>5</v>
      </c>
      <c r="O1590" s="21">
        <f>_xlfn.XLOOKUP(Snitch_Fashion_Sales_cleaned!$D1590,Table4[Product_Name],Table4[Product_Key],"not found")</f>
        <v>8</v>
      </c>
      <c r="P1590" s="25">
        <f>_xlfn.XLOOKUP(Snitch_Fashion_Sales_cleaned!$I1590,Table3[Order_Date],Table3[Date_Key])</f>
        <v>55</v>
      </c>
    </row>
    <row r="1591" spans="1:16" x14ac:dyDescent="0.3">
      <c r="A1591" s="34">
        <v>2589</v>
      </c>
      <c r="B1591" s="32" t="s">
        <v>1621</v>
      </c>
      <c r="C1591" s="32" t="s">
        <v>25</v>
      </c>
      <c r="D1591" s="33" t="s">
        <v>62</v>
      </c>
      <c r="E1591" s="34">
        <v>4</v>
      </c>
      <c r="F1591" s="35">
        <v>3256.31</v>
      </c>
      <c r="G1591" s="36">
        <v>0.51</v>
      </c>
      <c r="H1591" s="35">
        <f t="shared" si="50"/>
        <v>13025.24</v>
      </c>
      <c r="I1591" s="37">
        <v>45695</v>
      </c>
      <c r="J1591" s="33" t="s">
        <v>15</v>
      </c>
      <c r="K1591" s="33" t="s">
        <v>23</v>
      </c>
      <c r="L1591" s="38">
        <f t="shared" si="51"/>
        <v>6382.3675999999996</v>
      </c>
      <c r="M1591" s="38">
        <v>2266.79</v>
      </c>
      <c r="N1591" s="24">
        <f>_xlfn.XLOOKUP(Snitch_Fashion_Sales_cleaned!$J1591,Table2[City],Table2[City_Key],"not found")</f>
        <v>1</v>
      </c>
      <c r="O1591" s="23">
        <f>_xlfn.XLOOKUP(Snitch_Fashion_Sales_cleaned!$D1591,Table4[Product_Name],Table4[Product_Key],"not found")</f>
        <v>14</v>
      </c>
      <c r="P1591" s="32">
        <f>_xlfn.XLOOKUP(Snitch_Fashion_Sales_cleaned!$I1591,Table3[Order_Date],Table3[Date_Key])</f>
        <v>324</v>
      </c>
    </row>
    <row r="1592" spans="1:16" x14ac:dyDescent="0.3">
      <c r="A1592" s="27">
        <v>2590</v>
      </c>
      <c r="B1592" s="25" t="s">
        <v>1622</v>
      </c>
      <c r="C1592" s="25" t="s">
        <v>25</v>
      </c>
      <c r="D1592" s="26" t="s">
        <v>62</v>
      </c>
      <c r="E1592" s="27">
        <v>4</v>
      </c>
      <c r="F1592" s="28">
        <v>2538.0450000000001</v>
      </c>
      <c r="G1592" s="29">
        <v>0.54</v>
      </c>
      <c r="H1592" s="28">
        <f t="shared" si="50"/>
        <v>10152.18</v>
      </c>
      <c r="I1592" s="30">
        <v>45542</v>
      </c>
      <c r="J1592" s="26" t="s">
        <v>15</v>
      </c>
      <c r="K1592" s="26" t="s">
        <v>23</v>
      </c>
      <c r="L1592" s="31">
        <f t="shared" si="51"/>
        <v>4670.0028000000002</v>
      </c>
      <c r="M1592" s="31">
        <v>1613.88</v>
      </c>
      <c r="N1592" s="22">
        <f>_xlfn.XLOOKUP(Snitch_Fashion_Sales_cleaned!$J1592,Table2[City],Table2[City_Key],"not found")</f>
        <v>1</v>
      </c>
      <c r="O1592" s="21">
        <f>_xlfn.XLOOKUP(Snitch_Fashion_Sales_cleaned!$D1592,Table4[Product_Name],Table4[Product_Key],"not found")</f>
        <v>14</v>
      </c>
      <c r="P1592" s="25">
        <f>_xlfn.XLOOKUP(Snitch_Fashion_Sales_cleaned!$I1592,Table3[Order_Date],Table3[Date_Key])</f>
        <v>495</v>
      </c>
    </row>
    <row r="1593" spans="1:16" x14ac:dyDescent="0.3">
      <c r="A1593" s="34">
        <v>2591</v>
      </c>
      <c r="B1593" s="32" t="s">
        <v>1623</v>
      </c>
      <c r="C1593" s="32" t="s">
        <v>20</v>
      </c>
      <c r="D1593" s="33" t="s">
        <v>84</v>
      </c>
      <c r="E1593" s="34">
        <v>3</v>
      </c>
      <c r="F1593" s="35">
        <v>4784.03</v>
      </c>
      <c r="G1593" s="36">
        <v>0.51</v>
      </c>
      <c r="H1593" s="35">
        <f t="shared" si="50"/>
        <v>14352.09</v>
      </c>
      <c r="I1593" s="37">
        <v>45624</v>
      </c>
      <c r="J1593" s="33" t="s">
        <v>52</v>
      </c>
      <c r="K1593" s="33" t="s">
        <v>16</v>
      </c>
      <c r="L1593" s="38">
        <f t="shared" si="51"/>
        <v>7032.5240999999996</v>
      </c>
      <c r="M1593" s="38">
        <v>176.96</v>
      </c>
      <c r="N1593" s="24">
        <f>_xlfn.XLOOKUP(Snitch_Fashion_Sales_cleaned!$J1593,Table2[City],Table2[City_Key],"not found")</f>
        <v>5</v>
      </c>
      <c r="O1593" s="23">
        <f>_xlfn.XLOOKUP(Snitch_Fashion_Sales_cleaned!$D1593,Table4[Product_Name],Table4[Product_Key],"not found")</f>
        <v>19</v>
      </c>
      <c r="P1593" s="32">
        <f>_xlfn.XLOOKUP(Snitch_Fashion_Sales_cleaned!$I1593,Table3[Order_Date],Table3[Date_Key])</f>
        <v>133</v>
      </c>
    </row>
    <row r="1594" spans="1:16" x14ac:dyDescent="0.3">
      <c r="A1594" s="27">
        <v>2592</v>
      </c>
      <c r="B1594" s="25" t="s">
        <v>430</v>
      </c>
      <c r="C1594" s="25" t="s">
        <v>31</v>
      </c>
      <c r="D1594" s="26" t="s">
        <v>32</v>
      </c>
      <c r="E1594" s="27">
        <v>2</v>
      </c>
      <c r="F1594" s="28">
        <v>4965.93</v>
      </c>
      <c r="G1594" s="29">
        <v>0.51</v>
      </c>
      <c r="H1594" s="28">
        <f t="shared" si="50"/>
        <v>9931.86</v>
      </c>
      <c r="I1594" s="30">
        <v>45647</v>
      </c>
      <c r="J1594" s="26" t="s">
        <v>43</v>
      </c>
      <c r="K1594" s="26" t="s">
        <v>16</v>
      </c>
      <c r="L1594" s="31">
        <f t="shared" si="51"/>
        <v>4866.6113999999998</v>
      </c>
      <c r="M1594" s="31">
        <v>1406.72</v>
      </c>
      <c r="N1594" s="22">
        <f>_xlfn.XLOOKUP(Snitch_Fashion_Sales_cleaned!$J1594,Table2[City],Table2[City_Key],"not found")</f>
        <v>6</v>
      </c>
      <c r="O1594" s="21">
        <f>_xlfn.XLOOKUP(Snitch_Fashion_Sales_cleaned!$D1594,Table4[Product_Name],Table4[Product_Key],"not found")</f>
        <v>5</v>
      </c>
      <c r="P1594" s="25">
        <f>_xlfn.XLOOKUP(Snitch_Fashion_Sales_cleaned!$I1594,Table3[Order_Date],Table3[Date_Key])</f>
        <v>5</v>
      </c>
    </row>
    <row r="1595" spans="1:16" x14ac:dyDescent="0.3">
      <c r="A1595" s="34">
        <v>2593</v>
      </c>
      <c r="B1595" s="32" t="s">
        <v>1624</v>
      </c>
      <c r="C1595" s="32" t="s">
        <v>36</v>
      </c>
      <c r="D1595" s="33" t="s">
        <v>55</v>
      </c>
      <c r="E1595" s="34">
        <v>4</v>
      </c>
      <c r="F1595" s="35">
        <v>736.36</v>
      </c>
      <c r="G1595" s="36">
        <v>0.83</v>
      </c>
      <c r="H1595" s="35">
        <f t="shared" si="50"/>
        <v>2945.44</v>
      </c>
      <c r="I1595" s="37">
        <v>45647</v>
      </c>
      <c r="J1595" s="33" t="s">
        <v>22</v>
      </c>
      <c r="K1595" s="33" t="s">
        <v>23</v>
      </c>
      <c r="L1595" s="38">
        <f t="shared" si="51"/>
        <v>500.72480000000013</v>
      </c>
      <c r="M1595" s="38">
        <v>125.18120000000003</v>
      </c>
      <c r="N1595" s="24">
        <f>_xlfn.XLOOKUP(Snitch_Fashion_Sales_cleaned!$J1595,Table2[City],Table2[City_Key],"not found")</f>
        <v>3</v>
      </c>
      <c r="O1595" s="23">
        <f>_xlfn.XLOOKUP(Snitch_Fashion_Sales_cleaned!$D1595,Table4[Product_Name],Table4[Product_Key],"not found")</f>
        <v>12</v>
      </c>
      <c r="P1595" s="32">
        <f>_xlfn.XLOOKUP(Snitch_Fashion_Sales_cleaned!$I1595,Table3[Order_Date],Table3[Date_Key])</f>
        <v>5</v>
      </c>
    </row>
    <row r="1596" spans="1:16" x14ac:dyDescent="0.3">
      <c r="A1596" s="27">
        <v>2594</v>
      </c>
      <c r="B1596" s="25" t="s">
        <v>1625</v>
      </c>
      <c r="C1596" s="25" t="s">
        <v>13</v>
      </c>
      <c r="D1596" s="26" t="s">
        <v>46</v>
      </c>
      <c r="E1596" s="27">
        <v>4</v>
      </c>
      <c r="F1596" s="28">
        <v>2891.64</v>
      </c>
      <c r="G1596" s="29">
        <v>0.37</v>
      </c>
      <c r="H1596" s="28">
        <f t="shared" si="50"/>
        <v>11566.56</v>
      </c>
      <c r="I1596" s="30">
        <v>45647</v>
      </c>
      <c r="J1596" s="26" t="s">
        <v>43</v>
      </c>
      <c r="K1596" s="26" t="s">
        <v>16</v>
      </c>
      <c r="L1596" s="31">
        <f t="shared" si="51"/>
        <v>7286.9327999999996</v>
      </c>
      <c r="M1596" s="31">
        <v>580.23</v>
      </c>
      <c r="N1596" s="22">
        <f>_xlfn.XLOOKUP(Snitch_Fashion_Sales_cleaned!$J1596,Table2[City],Table2[City_Key],"not found")</f>
        <v>6</v>
      </c>
      <c r="O1596" s="21">
        <f>_xlfn.XLOOKUP(Snitch_Fashion_Sales_cleaned!$D1596,Table4[Product_Name],Table4[Product_Key],"not found")</f>
        <v>10</v>
      </c>
      <c r="P1596" s="25">
        <f>_xlfn.XLOOKUP(Snitch_Fashion_Sales_cleaned!$I1596,Table3[Order_Date],Table3[Date_Key])</f>
        <v>5</v>
      </c>
    </row>
    <row r="1597" spans="1:16" x14ac:dyDescent="0.3">
      <c r="A1597" s="34">
        <v>2595</v>
      </c>
      <c r="B1597" s="32" t="s">
        <v>1626</v>
      </c>
      <c r="C1597" s="32" t="s">
        <v>36</v>
      </c>
      <c r="D1597" s="33" t="s">
        <v>55</v>
      </c>
      <c r="E1597" s="34">
        <v>3</v>
      </c>
      <c r="F1597" s="35">
        <v>2469.67</v>
      </c>
      <c r="G1597" s="36">
        <v>0.51</v>
      </c>
      <c r="H1597" s="35">
        <f t="shared" si="50"/>
        <v>7409.01</v>
      </c>
      <c r="I1597" s="37">
        <v>45535</v>
      </c>
      <c r="J1597" s="33" t="s">
        <v>22</v>
      </c>
      <c r="K1597" s="33" t="s">
        <v>23</v>
      </c>
      <c r="L1597" s="38">
        <f t="shared" si="51"/>
        <v>3630.4149000000002</v>
      </c>
      <c r="M1597" s="38">
        <v>802.05</v>
      </c>
      <c r="N1597" s="24">
        <f>_xlfn.XLOOKUP(Snitch_Fashion_Sales_cleaned!$J1597,Table2[City],Table2[City_Key],"not found")</f>
        <v>3</v>
      </c>
      <c r="O1597" s="23">
        <f>_xlfn.XLOOKUP(Snitch_Fashion_Sales_cleaned!$D1597,Table4[Product_Name],Table4[Product_Key],"not found")</f>
        <v>12</v>
      </c>
      <c r="P1597" s="32">
        <f>_xlfn.XLOOKUP(Snitch_Fashion_Sales_cleaned!$I1597,Table3[Order_Date],Table3[Date_Key])</f>
        <v>476</v>
      </c>
    </row>
    <row r="1598" spans="1:16" x14ac:dyDescent="0.3">
      <c r="A1598" s="27">
        <v>2596</v>
      </c>
      <c r="B1598" s="25" t="s">
        <v>1627</v>
      </c>
      <c r="C1598" s="25" t="s">
        <v>13</v>
      </c>
      <c r="D1598" s="26" t="s">
        <v>14</v>
      </c>
      <c r="E1598" s="27">
        <v>4</v>
      </c>
      <c r="F1598" s="28">
        <v>2538.5700000000002</v>
      </c>
      <c r="G1598" s="29">
        <v>0.51</v>
      </c>
      <c r="H1598" s="28">
        <f t="shared" si="50"/>
        <v>10154.280000000001</v>
      </c>
      <c r="I1598" s="30">
        <v>45807</v>
      </c>
      <c r="J1598" s="26" t="s">
        <v>52</v>
      </c>
      <c r="K1598" s="26" t="s">
        <v>16</v>
      </c>
      <c r="L1598" s="31">
        <f t="shared" si="51"/>
        <v>4975.5972000000002</v>
      </c>
      <c r="M1598" s="31">
        <v>342.21</v>
      </c>
      <c r="N1598" s="22">
        <f>_xlfn.XLOOKUP(Snitch_Fashion_Sales_cleaned!$J1598,Table2[City],Table2[City_Key],"not found")</f>
        <v>5</v>
      </c>
      <c r="O1598" s="21">
        <f>_xlfn.XLOOKUP(Snitch_Fashion_Sales_cleaned!$D1598,Table4[Product_Name],Table4[Product_Key],"not found")</f>
        <v>1</v>
      </c>
      <c r="P1598" s="25">
        <f>_xlfn.XLOOKUP(Snitch_Fashion_Sales_cleaned!$I1598,Table3[Order_Date],Table3[Date_Key])</f>
        <v>394</v>
      </c>
    </row>
    <row r="1599" spans="1:16" x14ac:dyDescent="0.3">
      <c r="A1599" s="34">
        <v>2597</v>
      </c>
      <c r="B1599" s="32" t="s">
        <v>1628</v>
      </c>
      <c r="C1599" s="32" t="s">
        <v>20</v>
      </c>
      <c r="D1599" s="33" t="s">
        <v>21</v>
      </c>
      <c r="E1599" s="34">
        <v>4</v>
      </c>
      <c r="F1599" s="35">
        <v>2579.8000000000002</v>
      </c>
      <c r="G1599" s="36">
        <v>0.51</v>
      </c>
      <c r="H1599" s="35">
        <f t="shared" si="50"/>
        <v>10319.200000000001</v>
      </c>
      <c r="I1599" s="37">
        <v>45647</v>
      </c>
      <c r="J1599" s="33" t="s">
        <v>2540</v>
      </c>
      <c r="K1599" s="33" t="s">
        <v>23</v>
      </c>
      <c r="L1599" s="38">
        <f t="shared" si="51"/>
        <v>5056.4080000000004</v>
      </c>
      <c r="M1599" s="38">
        <v>538.11</v>
      </c>
      <c r="N1599" s="24">
        <f>_xlfn.XLOOKUP(Snitch_Fashion_Sales_cleaned!$J1599,Table2[City],Table2[City_Key],"not found")</f>
        <v>4</v>
      </c>
      <c r="O1599" s="23">
        <f>_xlfn.XLOOKUP(Snitch_Fashion_Sales_cleaned!$D1599,Table4[Product_Name],Table4[Product_Key],"not found")</f>
        <v>2</v>
      </c>
      <c r="P1599" s="32">
        <f>_xlfn.XLOOKUP(Snitch_Fashion_Sales_cleaned!$I1599,Table3[Order_Date],Table3[Date_Key])</f>
        <v>5</v>
      </c>
    </row>
    <row r="1600" spans="1:16" x14ac:dyDescent="0.3">
      <c r="A1600" s="27">
        <v>2598</v>
      </c>
      <c r="B1600" s="25" t="s">
        <v>1629</v>
      </c>
      <c r="C1600" s="25" t="s">
        <v>20</v>
      </c>
      <c r="D1600" s="26" t="s">
        <v>84</v>
      </c>
      <c r="E1600" s="27">
        <v>3</v>
      </c>
      <c r="F1600" s="28">
        <v>4412.21</v>
      </c>
      <c r="G1600" s="29">
        <v>0.51</v>
      </c>
      <c r="H1600" s="28">
        <f t="shared" si="50"/>
        <v>13236.630000000001</v>
      </c>
      <c r="I1600" s="30">
        <v>45647</v>
      </c>
      <c r="J1600" s="26" t="s">
        <v>2540</v>
      </c>
      <c r="K1600" s="26" t="s">
        <v>16</v>
      </c>
      <c r="L1600" s="31">
        <f t="shared" si="51"/>
        <v>6485.9487000000008</v>
      </c>
      <c r="M1600" s="31">
        <v>2917.18</v>
      </c>
      <c r="N1600" s="22">
        <f>_xlfn.XLOOKUP(Snitch_Fashion_Sales_cleaned!$J1600,Table2[City],Table2[City_Key],"not found")</f>
        <v>4</v>
      </c>
      <c r="O1600" s="21">
        <f>_xlfn.XLOOKUP(Snitch_Fashion_Sales_cleaned!$D1600,Table4[Product_Name],Table4[Product_Key],"not found")</f>
        <v>19</v>
      </c>
      <c r="P1600" s="25">
        <f>_xlfn.XLOOKUP(Snitch_Fashion_Sales_cleaned!$I1600,Table3[Order_Date],Table3[Date_Key])</f>
        <v>5</v>
      </c>
    </row>
    <row r="1601" spans="1:16" x14ac:dyDescent="0.3">
      <c r="A1601" s="34">
        <v>2599</v>
      </c>
      <c r="B1601" s="32" t="s">
        <v>1630</v>
      </c>
      <c r="C1601" s="32" t="s">
        <v>25</v>
      </c>
      <c r="D1601" s="33" t="s">
        <v>50</v>
      </c>
      <c r="E1601" s="34">
        <v>4</v>
      </c>
      <c r="F1601" s="35">
        <v>2666.2200000000003</v>
      </c>
      <c r="G1601" s="36">
        <v>0.23</v>
      </c>
      <c r="H1601" s="35">
        <f t="shared" si="50"/>
        <v>10664.880000000001</v>
      </c>
      <c r="I1601" s="37">
        <v>45559</v>
      </c>
      <c r="J1601" s="33" t="s">
        <v>52</v>
      </c>
      <c r="K1601" s="33" t="s">
        <v>23</v>
      </c>
      <c r="L1601" s="38">
        <f t="shared" si="51"/>
        <v>8211.9576000000015</v>
      </c>
      <c r="M1601" s="38">
        <v>2293.29</v>
      </c>
      <c r="N1601" s="24">
        <f>_xlfn.XLOOKUP(Snitch_Fashion_Sales_cleaned!$J1601,Table2[City],Table2[City_Key],"not found")</f>
        <v>5</v>
      </c>
      <c r="O1601" s="23">
        <f>_xlfn.XLOOKUP(Snitch_Fashion_Sales_cleaned!$D1601,Table4[Product_Name],Table4[Product_Key],"not found")</f>
        <v>11</v>
      </c>
      <c r="P1601" s="32">
        <f>_xlfn.XLOOKUP(Snitch_Fashion_Sales_cleaned!$I1601,Table3[Order_Date],Table3[Date_Key])</f>
        <v>323</v>
      </c>
    </row>
    <row r="1602" spans="1:16" x14ac:dyDescent="0.3">
      <c r="A1602" s="27">
        <v>2600</v>
      </c>
      <c r="B1602" s="25" t="s">
        <v>1631</v>
      </c>
      <c r="C1602" s="25" t="s">
        <v>25</v>
      </c>
      <c r="D1602" s="26" t="s">
        <v>82</v>
      </c>
      <c r="E1602" s="27">
        <v>5</v>
      </c>
      <c r="F1602" s="28">
        <v>4832.16</v>
      </c>
      <c r="G1602" s="29">
        <v>0.51</v>
      </c>
      <c r="H1602" s="28">
        <f t="shared" si="50"/>
        <v>24160.799999999999</v>
      </c>
      <c r="I1602" s="30">
        <v>45555</v>
      </c>
      <c r="J1602" s="26" t="s">
        <v>43</v>
      </c>
      <c r="K1602" s="26" t="s">
        <v>23</v>
      </c>
      <c r="L1602" s="31">
        <f t="shared" si="51"/>
        <v>11838.791999999999</v>
      </c>
      <c r="M1602" s="31">
        <v>1707.66</v>
      </c>
      <c r="N1602" s="22">
        <f>_xlfn.XLOOKUP(Snitch_Fashion_Sales_cleaned!$J1602,Table2[City],Table2[City_Key],"not found")</f>
        <v>6</v>
      </c>
      <c r="O1602" s="21">
        <f>_xlfn.XLOOKUP(Snitch_Fashion_Sales_cleaned!$D1602,Table4[Product_Name],Table4[Product_Key],"not found")</f>
        <v>18</v>
      </c>
      <c r="P1602" s="25">
        <f>_xlfn.XLOOKUP(Snitch_Fashion_Sales_cleaned!$I1602,Table3[Order_Date],Table3[Date_Key])</f>
        <v>53</v>
      </c>
    </row>
    <row r="1603" spans="1:16" x14ac:dyDescent="0.3">
      <c r="A1603" s="34">
        <v>2601</v>
      </c>
      <c r="B1603" s="32" t="s">
        <v>1632</v>
      </c>
      <c r="C1603" s="32" t="s">
        <v>13</v>
      </c>
      <c r="D1603" s="33" t="s">
        <v>98</v>
      </c>
      <c r="E1603" s="34">
        <v>1</v>
      </c>
      <c r="F1603" s="35">
        <v>2750.33</v>
      </c>
      <c r="G1603" s="36">
        <v>0.28000000000000003</v>
      </c>
      <c r="H1603" s="35">
        <f t="shared" si="50"/>
        <v>2750.33</v>
      </c>
      <c r="I1603" s="37">
        <v>45508</v>
      </c>
      <c r="J1603" s="33" t="s">
        <v>2540</v>
      </c>
      <c r="K1603" s="33" t="s">
        <v>23</v>
      </c>
      <c r="L1603" s="38">
        <f t="shared" si="51"/>
        <v>1980.2375999999999</v>
      </c>
      <c r="M1603" s="38">
        <v>495.05939999999998</v>
      </c>
      <c r="N1603" s="24">
        <f>_xlfn.XLOOKUP(Snitch_Fashion_Sales_cleaned!$J1603,Table2[City],Table2[City_Key],"not found")</f>
        <v>4</v>
      </c>
      <c r="O1603" s="23">
        <f>_xlfn.XLOOKUP(Snitch_Fashion_Sales_cleaned!$D1603,Table4[Product_Name],Table4[Product_Key],"not found")</f>
        <v>21</v>
      </c>
      <c r="P1603" s="32">
        <f>_xlfn.XLOOKUP(Snitch_Fashion_Sales_cleaned!$I1603,Table3[Order_Date],Table3[Date_Key])</f>
        <v>188</v>
      </c>
    </row>
    <row r="1604" spans="1:16" x14ac:dyDescent="0.3">
      <c r="A1604" s="27">
        <v>1002</v>
      </c>
      <c r="B1604" s="25" t="s">
        <v>1633</v>
      </c>
      <c r="C1604" s="25" t="s">
        <v>28</v>
      </c>
      <c r="D1604" s="26" t="s">
        <v>116</v>
      </c>
      <c r="E1604" s="27">
        <v>4</v>
      </c>
      <c r="F1604" s="28">
        <v>2785.79</v>
      </c>
      <c r="G1604" s="29">
        <v>0.51</v>
      </c>
      <c r="H1604" s="28">
        <f t="shared" si="50"/>
        <v>11143.16</v>
      </c>
      <c r="I1604" s="30">
        <v>45729</v>
      </c>
      <c r="J1604" s="26" t="s">
        <v>18</v>
      </c>
      <c r="K1604" s="26" t="s">
        <v>23</v>
      </c>
      <c r="L1604" s="31">
        <f t="shared" si="51"/>
        <v>5460.1484</v>
      </c>
      <c r="M1604" s="31">
        <v>48.87</v>
      </c>
      <c r="N1604" s="22">
        <f>_xlfn.XLOOKUP(Snitch_Fashion_Sales_cleaned!$J1604,Table2[City],Table2[City_Key],"not found")</f>
        <v>2</v>
      </c>
      <c r="O1604" s="21">
        <f>_xlfn.XLOOKUP(Snitch_Fashion_Sales_cleaned!$D1604,Table4[Product_Name],Table4[Product_Key],"not found")</f>
        <v>22</v>
      </c>
      <c r="P1604" s="25">
        <f>_xlfn.XLOOKUP(Snitch_Fashion_Sales_cleaned!$I1604,Table3[Order_Date],Table3[Date_Key])</f>
        <v>301</v>
      </c>
    </row>
    <row r="1605" spans="1:16" x14ac:dyDescent="0.3">
      <c r="A1605" s="34">
        <v>2603</v>
      </c>
      <c r="B1605" s="32" t="s">
        <v>1634</v>
      </c>
      <c r="C1605" s="32" t="s">
        <v>31</v>
      </c>
      <c r="D1605" s="33" t="s">
        <v>32</v>
      </c>
      <c r="E1605" s="34">
        <v>5</v>
      </c>
      <c r="F1605" s="35">
        <v>4403.84</v>
      </c>
      <c r="G1605" s="36">
        <v>0.51</v>
      </c>
      <c r="H1605" s="35">
        <f t="shared" si="50"/>
        <v>22019.200000000001</v>
      </c>
      <c r="I1605" s="37">
        <v>45647</v>
      </c>
      <c r="J1605" s="33" t="s">
        <v>22</v>
      </c>
      <c r="K1605" s="33" t="s">
        <v>16</v>
      </c>
      <c r="L1605" s="38">
        <f t="shared" si="51"/>
        <v>10789.407999999999</v>
      </c>
      <c r="M1605" s="38">
        <v>-513.19000000000005</v>
      </c>
      <c r="N1605" s="24">
        <f>_xlfn.XLOOKUP(Snitch_Fashion_Sales_cleaned!$J1605,Table2[City],Table2[City_Key],"not found")</f>
        <v>3</v>
      </c>
      <c r="O1605" s="23">
        <f>_xlfn.XLOOKUP(Snitch_Fashion_Sales_cleaned!$D1605,Table4[Product_Name],Table4[Product_Key],"not found")</f>
        <v>5</v>
      </c>
      <c r="P1605" s="32">
        <f>_xlfn.XLOOKUP(Snitch_Fashion_Sales_cleaned!$I1605,Table3[Order_Date],Table3[Date_Key])</f>
        <v>5</v>
      </c>
    </row>
    <row r="1606" spans="1:16" x14ac:dyDescent="0.3">
      <c r="A1606" s="27">
        <v>2604</v>
      </c>
      <c r="B1606" s="25" t="s">
        <v>1635</v>
      </c>
      <c r="C1606" s="25" t="s">
        <v>25</v>
      </c>
      <c r="D1606" s="26" t="s">
        <v>82</v>
      </c>
      <c r="E1606" s="27">
        <v>3</v>
      </c>
      <c r="F1606" s="28">
        <v>2171.2199999999998</v>
      </c>
      <c r="G1606" s="29">
        <v>0.51</v>
      </c>
      <c r="H1606" s="28">
        <f t="shared" ref="H1606:H1669" si="52">E1606*F1606</f>
        <v>6513.66</v>
      </c>
      <c r="I1606" s="30">
        <v>45806</v>
      </c>
      <c r="J1606" s="26" t="s">
        <v>2540</v>
      </c>
      <c r="K1606" s="26" t="s">
        <v>23</v>
      </c>
      <c r="L1606" s="31">
        <f t="shared" ref="L1606:L1669" si="53">H1606*(1-G1606)</f>
        <v>3191.6933999999997</v>
      </c>
      <c r="M1606" s="31">
        <v>2595.2199999999998</v>
      </c>
      <c r="N1606" s="22">
        <f>_xlfn.XLOOKUP(Snitch_Fashion_Sales_cleaned!$J1606,Table2[City],Table2[City_Key],"not found")</f>
        <v>4</v>
      </c>
      <c r="O1606" s="21">
        <f>_xlfn.XLOOKUP(Snitch_Fashion_Sales_cleaned!$D1606,Table4[Product_Name],Table4[Product_Key],"not found")</f>
        <v>18</v>
      </c>
      <c r="P1606" s="25">
        <f>_xlfn.XLOOKUP(Snitch_Fashion_Sales_cleaned!$I1606,Table3[Order_Date],Table3[Date_Key])</f>
        <v>183</v>
      </c>
    </row>
    <row r="1607" spans="1:16" x14ac:dyDescent="0.3">
      <c r="A1607" s="34">
        <v>2605</v>
      </c>
      <c r="B1607" s="32" t="s">
        <v>1636</v>
      </c>
      <c r="C1607" s="32" t="s">
        <v>36</v>
      </c>
      <c r="D1607" s="33" t="s">
        <v>37</v>
      </c>
      <c r="E1607" s="34">
        <v>1</v>
      </c>
      <c r="F1607" s="35">
        <v>1636.26</v>
      </c>
      <c r="G1607" s="36">
        <v>0.94</v>
      </c>
      <c r="H1607" s="35">
        <f t="shared" si="52"/>
        <v>1636.26</v>
      </c>
      <c r="I1607" s="37">
        <v>45667</v>
      </c>
      <c r="J1607" s="33" t="s">
        <v>52</v>
      </c>
      <c r="K1607" s="33" t="s">
        <v>23</v>
      </c>
      <c r="L1607" s="38">
        <f t="shared" si="53"/>
        <v>98.175600000000088</v>
      </c>
      <c r="M1607" s="38">
        <v>24.543900000000022</v>
      </c>
      <c r="N1607" s="24">
        <f>_xlfn.XLOOKUP(Snitch_Fashion_Sales_cleaned!$J1607,Table2[City],Table2[City_Key],"not found")</f>
        <v>5</v>
      </c>
      <c r="O1607" s="23">
        <f>_xlfn.XLOOKUP(Snitch_Fashion_Sales_cleaned!$D1607,Table4[Product_Name],Table4[Product_Key],"not found")</f>
        <v>7</v>
      </c>
      <c r="P1607" s="32">
        <f>_xlfn.XLOOKUP(Snitch_Fashion_Sales_cleaned!$I1607,Table3[Order_Date],Table3[Date_Key])</f>
        <v>123</v>
      </c>
    </row>
    <row r="1608" spans="1:16" x14ac:dyDescent="0.3">
      <c r="A1608" s="27">
        <v>2606</v>
      </c>
      <c r="B1608" s="25" t="s">
        <v>1637</v>
      </c>
      <c r="C1608" s="25" t="s">
        <v>13</v>
      </c>
      <c r="D1608" s="26" t="s">
        <v>46</v>
      </c>
      <c r="E1608" s="27">
        <v>4</v>
      </c>
      <c r="F1608" s="28">
        <v>806.81</v>
      </c>
      <c r="G1608" s="29">
        <v>0.11</v>
      </c>
      <c r="H1608" s="28">
        <f t="shared" si="52"/>
        <v>3227.24</v>
      </c>
      <c r="I1608" s="30">
        <v>45442</v>
      </c>
      <c r="J1608" s="26" t="s">
        <v>43</v>
      </c>
      <c r="K1608" s="26" t="s">
        <v>23</v>
      </c>
      <c r="L1608" s="31">
        <f t="shared" si="53"/>
        <v>2872.2435999999998</v>
      </c>
      <c r="M1608" s="31">
        <v>634.66</v>
      </c>
      <c r="N1608" s="22">
        <f>_xlfn.XLOOKUP(Snitch_Fashion_Sales_cleaned!$J1608,Table2[City],Table2[City_Key],"not found")</f>
        <v>6</v>
      </c>
      <c r="O1608" s="21">
        <f>_xlfn.XLOOKUP(Snitch_Fashion_Sales_cleaned!$D1608,Table4[Product_Name],Table4[Product_Key],"not found")</f>
        <v>10</v>
      </c>
      <c r="P1608" s="25">
        <f>_xlfn.XLOOKUP(Snitch_Fashion_Sales_cleaned!$I1608,Table3[Order_Date],Table3[Date_Key])</f>
        <v>496</v>
      </c>
    </row>
    <row r="1609" spans="1:16" x14ac:dyDescent="0.3">
      <c r="A1609" s="34">
        <v>2607</v>
      </c>
      <c r="B1609" s="32" t="s">
        <v>1638</v>
      </c>
      <c r="C1609" s="32" t="s">
        <v>20</v>
      </c>
      <c r="D1609" s="33" t="s">
        <v>21</v>
      </c>
      <c r="E1609" s="34">
        <v>4</v>
      </c>
      <c r="F1609" s="35">
        <v>2289.9299999999998</v>
      </c>
      <c r="G1609" s="36">
        <v>0.51</v>
      </c>
      <c r="H1609" s="35">
        <f t="shared" si="52"/>
        <v>9159.7199999999993</v>
      </c>
      <c r="I1609" s="37">
        <v>45593</v>
      </c>
      <c r="J1609" s="33" t="s">
        <v>2540</v>
      </c>
      <c r="K1609" s="33" t="s">
        <v>23</v>
      </c>
      <c r="L1609" s="38">
        <f t="shared" si="53"/>
        <v>4488.2627999999995</v>
      </c>
      <c r="M1609" s="38">
        <v>183.34</v>
      </c>
      <c r="N1609" s="24">
        <f>_xlfn.XLOOKUP(Snitch_Fashion_Sales_cleaned!$J1609,Table2[City],Table2[City_Key],"not found")</f>
        <v>4</v>
      </c>
      <c r="O1609" s="23">
        <f>_xlfn.XLOOKUP(Snitch_Fashion_Sales_cleaned!$D1609,Table4[Product_Name],Table4[Product_Key],"not found")</f>
        <v>2</v>
      </c>
      <c r="P1609" s="32">
        <f>_xlfn.XLOOKUP(Snitch_Fashion_Sales_cleaned!$I1609,Table3[Order_Date],Table3[Date_Key])</f>
        <v>88</v>
      </c>
    </row>
    <row r="1610" spans="1:16" x14ac:dyDescent="0.3">
      <c r="A1610" s="27">
        <v>2608</v>
      </c>
      <c r="B1610" s="25" t="s">
        <v>1639</v>
      </c>
      <c r="C1610" s="25" t="s">
        <v>20</v>
      </c>
      <c r="D1610" s="26" t="s">
        <v>21</v>
      </c>
      <c r="E1610" s="27">
        <v>4</v>
      </c>
      <c r="F1610" s="28">
        <v>3352.88</v>
      </c>
      <c r="G1610" s="29">
        <v>0.51</v>
      </c>
      <c r="H1610" s="28">
        <f t="shared" si="52"/>
        <v>13411.52</v>
      </c>
      <c r="I1610" s="30">
        <v>45464</v>
      </c>
      <c r="J1610" s="26" t="s">
        <v>22</v>
      </c>
      <c r="K1610" s="26" t="s">
        <v>23</v>
      </c>
      <c r="L1610" s="31">
        <f t="shared" si="53"/>
        <v>6571.6448</v>
      </c>
      <c r="M1610" s="31">
        <v>2684.88</v>
      </c>
      <c r="N1610" s="22">
        <f>_xlfn.XLOOKUP(Snitch_Fashion_Sales_cleaned!$J1610,Table2[City],Table2[City_Key],"not found")</f>
        <v>3</v>
      </c>
      <c r="O1610" s="21">
        <f>_xlfn.XLOOKUP(Snitch_Fashion_Sales_cleaned!$D1610,Table4[Product_Name],Table4[Product_Key],"not found")</f>
        <v>2</v>
      </c>
      <c r="P1610" s="25">
        <f>_xlfn.XLOOKUP(Snitch_Fashion_Sales_cleaned!$I1610,Table3[Order_Date],Table3[Date_Key])</f>
        <v>497</v>
      </c>
    </row>
    <row r="1611" spans="1:16" x14ac:dyDescent="0.3">
      <c r="A1611" s="34">
        <v>2609</v>
      </c>
      <c r="B1611" s="32" t="s">
        <v>1640</v>
      </c>
      <c r="C1611" s="32" t="s">
        <v>20</v>
      </c>
      <c r="D1611" s="33" t="s">
        <v>21</v>
      </c>
      <c r="E1611" s="34">
        <v>4</v>
      </c>
      <c r="F1611" s="35">
        <v>2579.8000000000002</v>
      </c>
      <c r="G1611" s="36">
        <v>0.51</v>
      </c>
      <c r="H1611" s="35">
        <f t="shared" si="52"/>
        <v>10319.200000000001</v>
      </c>
      <c r="I1611" s="37">
        <v>45647</v>
      </c>
      <c r="J1611" s="33" t="s">
        <v>15</v>
      </c>
      <c r="K1611" s="33" t="s">
        <v>16</v>
      </c>
      <c r="L1611" s="38">
        <f t="shared" si="53"/>
        <v>5056.4080000000004</v>
      </c>
      <c r="M1611" s="38">
        <v>641.89</v>
      </c>
      <c r="N1611" s="24">
        <f>_xlfn.XLOOKUP(Snitch_Fashion_Sales_cleaned!$J1611,Table2[City],Table2[City_Key],"not found")</f>
        <v>1</v>
      </c>
      <c r="O1611" s="23">
        <f>_xlfn.XLOOKUP(Snitch_Fashion_Sales_cleaned!$D1611,Table4[Product_Name],Table4[Product_Key],"not found")</f>
        <v>2</v>
      </c>
      <c r="P1611" s="32">
        <f>_xlfn.XLOOKUP(Snitch_Fashion_Sales_cleaned!$I1611,Table3[Order_Date],Table3[Date_Key])</f>
        <v>5</v>
      </c>
    </row>
    <row r="1612" spans="1:16" x14ac:dyDescent="0.3">
      <c r="A1612" s="27">
        <v>2610</v>
      </c>
      <c r="B1612" s="25" t="s">
        <v>1641</v>
      </c>
      <c r="C1612" s="25" t="s">
        <v>31</v>
      </c>
      <c r="D1612" s="26" t="s">
        <v>41</v>
      </c>
      <c r="E1612" s="27">
        <v>5</v>
      </c>
      <c r="F1612" s="28">
        <v>1606.99</v>
      </c>
      <c r="G1612" s="29">
        <v>0.51</v>
      </c>
      <c r="H1612" s="28">
        <f t="shared" si="52"/>
        <v>8034.95</v>
      </c>
      <c r="I1612" s="30">
        <v>45283</v>
      </c>
      <c r="J1612" s="26" t="s">
        <v>18</v>
      </c>
      <c r="K1612" s="26" t="s">
        <v>16</v>
      </c>
      <c r="L1612" s="31">
        <f t="shared" si="53"/>
        <v>3937.1254999999996</v>
      </c>
      <c r="M1612" s="31">
        <v>1743.11</v>
      </c>
      <c r="N1612" s="22">
        <f>_xlfn.XLOOKUP(Snitch_Fashion_Sales_cleaned!$J1612,Table2[City],Table2[City_Key],"not found")</f>
        <v>2</v>
      </c>
      <c r="O1612" s="21">
        <f>_xlfn.XLOOKUP(Snitch_Fashion_Sales_cleaned!$D1612,Table4[Product_Name],Table4[Product_Key],"not found")</f>
        <v>9</v>
      </c>
      <c r="P1612" s="25">
        <f>_xlfn.XLOOKUP(Snitch_Fashion_Sales_cleaned!$I1612,Table3[Order_Date],Table3[Date_Key])</f>
        <v>455</v>
      </c>
    </row>
    <row r="1613" spans="1:16" x14ac:dyDescent="0.3">
      <c r="A1613" s="34">
        <v>2611</v>
      </c>
      <c r="B1613" s="32" t="s">
        <v>1642</v>
      </c>
      <c r="C1613" s="32" t="s">
        <v>36</v>
      </c>
      <c r="D1613" s="33" t="s">
        <v>59</v>
      </c>
      <c r="E1613" s="34">
        <v>3</v>
      </c>
      <c r="F1613" s="35">
        <v>2765.26</v>
      </c>
      <c r="G1613" s="36">
        <v>0.51</v>
      </c>
      <c r="H1613" s="35">
        <f t="shared" si="52"/>
        <v>8295.7800000000007</v>
      </c>
      <c r="I1613" s="37">
        <v>45665</v>
      </c>
      <c r="J1613" s="33" t="s">
        <v>43</v>
      </c>
      <c r="K1613" s="33" t="s">
        <v>23</v>
      </c>
      <c r="L1613" s="38">
        <f t="shared" si="53"/>
        <v>4064.9322000000002</v>
      </c>
      <c r="M1613" s="38">
        <v>2391.6999999999998</v>
      </c>
      <c r="N1613" s="24">
        <f>_xlfn.XLOOKUP(Snitch_Fashion_Sales_cleaned!$J1613,Table2[City],Table2[City_Key],"not found")</f>
        <v>6</v>
      </c>
      <c r="O1613" s="23">
        <f>_xlfn.XLOOKUP(Snitch_Fashion_Sales_cleaned!$D1613,Table4[Product_Name],Table4[Product_Key],"not found")</f>
        <v>13</v>
      </c>
      <c r="P1613" s="32">
        <f>_xlfn.XLOOKUP(Snitch_Fashion_Sales_cleaned!$I1613,Table3[Order_Date],Table3[Date_Key])</f>
        <v>313</v>
      </c>
    </row>
    <row r="1614" spans="1:16" x14ac:dyDescent="0.3">
      <c r="A1614" s="27">
        <v>2612</v>
      </c>
      <c r="B1614" s="25" t="s">
        <v>1643</v>
      </c>
      <c r="C1614" s="25" t="s">
        <v>28</v>
      </c>
      <c r="D1614" s="26" t="s">
        <v>116</v>
      </c>
      <c r="E1614" s="27">
        <v>4</v>
      </c>
      <c r="F1614" s="28">
        <v>2672.64</v>
      </c>
      <c r="G1614" s="29">
        <v>0.51</v>
      </c>
      <c r="H1614" s="28">
        <f t="shared" si="52"/>
        <v>10690.56</v>
      </c>
      <c r="I1614" s="30">
        <v>45402</v>
      </c>
      <c r="J1614" s="26" t="s">
        <v>2540</v>
      </c>
      <c r="K1614" s="26" t="s">
        <v>23</v>
      </c>
      <c r="L1614" s="31">
        <f t="shared" si="53"/>
        <v>5238.3743999999997</v>
      </c>
      <c r="M1614" s="31">
        <v>1142.44</v>
      </c>
      <c r="N1614" s="22">
        <f>_xlfn.XLOOKUP(Snitch_Fashion_Sales_cleaned!$J1614,Table2[City],Table2[City_Key],"not found")</f>
        <v>4</v>
      </c>
      <c r="O1614" s="21">
        <f>_xlfn.XLOOKUP(Snitch_Fashion_Sales_cleaned!$D1614,Table4[Product_Name],Table4[Product_Key],"not found")</f>
        <v>22</v>
      </c>
      <c r="P1614" s="25">
        <f>_xlfn.XLOOKUP(Snitch_Fashion_Sales_cleaned!$I1614,Table3[Order_Date],Table3[Date_Key])</f>
        <v>280</v>
      </c>
    </row>
    <row r="1615" spans="1:16" x14ac:dyDescent="0.3">
      <c r="A1615" s="34">
        <v>2613</v>
      </c>
      <c r="B1615" s="32" t="s">
        <v>1644</v>
      </c>
      <c r="C1615" s="32" t="s">
        <v>31</v>
      </c>
      <c r="D1615" s="33" t="s">
        <v>78</v>
      </c>
      <c r="E1615" s="34">
        <v>4</v>
      </c>
      <c r="F1615" s="35">
        <v>2438.16</v>
      </c>
      <c r="G1615" s="36">
        <v>0.51</v>
      </c>
      <c r="H1615" s="35">
        <f t="shared" si="52"/>
        <v>9752.64</v>
      </c>
      <c r="I1615" s="37">
        <v>45352</v>
      </c>
      <c r="J1615" s="33" t="s">
        <v>43</v>
      </c>
      <c r="K1615" s="33" t="s">
        <v>23</v>
      </c>
      <c r="L1615" s="38">
        <f t="shared" si="53"/>
        <v>4778.7936</v>
      </c>
      <c r="M1615" s="38">
        <v>161.35</v>
      </c>
      <c r="N1615" s="24">
        <f>_xlfn.XLOOKUP(Snitch_Fashion_Sales_cleaned!$J1615,Table2[City],Table2[City_Key],"not found")</f>
        <v>6</v>
      </c>
      <c r="O1615" s="23">
        <f>_xlfn.XLOOKUP(Snitch_Fashion_Sales_cleaned!$D1615,Table4[Product_Name],Table4[Product_Key],"not found")</f>
        <v>17</v>
      </c>
      <c r="P1615" s="32">
        <f>_xlfn.XLOOKUP(Snitch_Fashion_Sales_cleaned!$I1615,Table3[Order_Date],Table3[Date_Key])</f>
        <v>105</v>
      </c>
    </row>
    <row r="1616" spans="1:16" x14ac:dyDescent="0.3">
      <c r="A1616" s="27">
        <v>2614</v>
      </c>
      <c r="B1616" s="25" t="s">
        <v>1645</v>
      </c>
      <c r="C1616" s="25" t="s">
        <v>25</v>
      </c>
      <c r="D1616" s="26" t="s">
        <v>50</v>
      </c>
      <c r="E1616" s="27">
        <v>4</v>
      </c>
      <c r="F1616" s="28">
        <v>4530.28</v>
      </c>
      <c r="G1616" s="29">
        <v>0.67</v>
      </c>
      <c r="H1616" s="28">
        <f t="shared" si="52"/>
        <v>18121.12</v>
      </c>
      <c r="I1616" s="30">
        <v>45648</v>
      </c>
      <c r="J1616" s="26" t="s">
        <v>18</v>
      </c>
      <c r="K1616" s="26" t="s">
        <v>23</v>
      </c>
      <c r="L1616" s="31">
        <f t="shared" si="53"/>
        <v>5979.9695999999985</v>
      </c>
      <c r="M1616" s="31">
        <v>2891.77</v>
      </c>
      <c r="N1616" s="22">
        <f>_xlfn.XLOOKUP(Snitch_Fashion_Sales_cleaned!$J1616,Table2[City],Table2[City_Key],"not found")</f>
        <v>2</v>
      </c>
      <c r="O1616" s="21">
        <f>_xlfn.XLOOKUP(Snitch_Fashion_Sales_cleaned!$D1616,Table4[Product_Name],Table4[Product_Key],"not found")</f>
        <v>11</v>
      </c>
      <c r="P1616" s="25">
        <f>_xlfn.XLOOKUP(Snitch_Fashion_Sales_cleaned!$I1616,Table3[Order_Date],Table3[Date_Key])</f>
        <v>193</v>
      </c>
    </row>
    <row r="1617" spans="1:16" x14ac:dyDescent="0.3">
      <c r="A1617" s="34">
        <v>2615</v>
      </c>
      <c r="B1617" s="32" t="s">
        <v>1646</v>
      </c>
      <c r="C1617" s="32" t="s">
        <v>31</v>
      </c>
      <c r="D1617" s="33" t="s">
        <v>68</v>
      </c>
      <c r="E1617" s="34">
        <v>4</v>
      </c>
      <c r="F1617" s="35">
        <v>2765.79</v>
      </c>
      <c r="G1617" s="36">
        <v>0.51</v>
      </c>
      <c r="H1617" s="35">
        <f t="shared" si="52"/>
        <v>11063.16</v>
      </c>
      <c r="I1617" s="37">
        <v>45267</v>
      </c>
      <c r="J1617" s="33" t="s">
        <v>22</v>
      </c>
      <c r="K1617" s="33" t="s">
        <v>23</v>
      </c>
      <c r="L1617" s="38">
        <f t="shared" si="53"/>
        <v>5420.9484000000002</v>
      </c>
      <c r="M1617" s="38">
        <v>1644.18</v>
      </c>
      <c r="N1617" s="24">
        <f>_xlfn.XLOOKUP(Snitch_Fashion_Sales_cleaned!$J1617,Table2[City],Table2[City_Key],"not found")</f>
        <v>3</v>
      </c>
      <c r="O1617" s="23">
        <f>_xlfn.XLOOKUP(Snitch_Fashion_Sales_cleaned!$D1617,Table4[Product_Name],Table4[Product_Key],"not found")</f>
        <v>15</v>
      </c>
      <c r="P1617" s="32">
        <f>_xlfn.XLOOKUP(Snitch_Fashion_Sales_cleaned!$I1617,Table3[Order_Date],Table3[Date_Key])</f>
        <v>402</v>
      </c>
    </row>
    <row r="1618" spans="1:16" x14ac:dyDescent="0.3">
      <c r="A1618" s="27">
        <v>2616</v>
      </c>
      <c r="B1618" s="25" t="s">
        <v>1647</v>
      </c>
      <c r="C1618" s="25" t="s">
        <v>31</v>
      </c>
      <c r="D1618" s="26" t="s">
        <v>78</v>
      </c>
      <c r="E1618" s="27">
        <v>5</v>
      </c>
      <c r="F1618" s="28">
        <v>2599.75</v>
      </c>
      <c r="G1618" s="29">
        <v>0.24</v>
      </c>
      <c r="H1618" s="28">
        <f t="shared" si="52"/>
        <v>12998.75</v>
      </c>
      <c r="I1618" s="30">
        <v>45795</v>
      </c>
      <c r="J1618" s="26" t="s">
        <v>43</v>
      </c>
      <c r="K1618" s="26" t="s">
        <v>23</v>
      </c>
      <c r="L1618" s="31">
        <f t="shared" si="53"/>
        <v>9879.0499999999993</v>
      </c>
      <c r="M1618" s="31">
        <v>2858.08</v>
      </c>
      <c r="N1618" s="22">
        <f>_xlfn.XLOOKUP(Snitch_Fashion_Sales_cleaned!$J1618,Table2[City],Table2[City_Key],"not found")</f>
        <v>6</v>
      </c>
      <c r="O1618" s="21">
        <f>_xlfn.XLOOKUP(Snitch_Fashion_Sales_cleaned!$D1618,Table4[Product_Name],Table4[Product_Key],"not found")</f>
        <v>17</v>
      </c>
      <c r="P1618" s="25">
        <f>_xlfn.XLOOKUP(Snitch_Fashion_Sales_cleaned!$I1618,Table3[Order_Date],Table3[Date_Key])</f>
        <v>271</v>
      </c>
    </row>
    <row r="1619" spans="1:16" x14ac:dyDescent="0.3">
      <c r="A1619" s="34">
        <v>2617</v>
      </c>
      <c r="B1619" s="32" t="s">
        <v>1648</v>
      </c>
      <c r="C1619" s="32" t="s">
        <v>36</v>
      </c>
      <c r="D1619" s="33" t="s">
        <v>55</v>
      </c>
      <c r="E1619" s="34">
        <v>3</v>
      </c>
      <c r="F1619" s="35">
        <v>2731.6350000000002</v>
      </c>
      <c r="G1619" s="36">
        <v>0.51</v>
      </c>
      <c r="H1619" s="35">
        <f t="shared" si="52"/>
        <v>8194.9050000000007</v>
      </c>
      <c r="I1619" s="37">
        <v>45746</v>
      </c>
      <c r="J1619" s="33" t="s">
        <v>22</v>
      </c>
      <c r="K1619" s="33" t="s">
        <v>23</v>
      </c>
      <c r="L1619" s="38">
        <f t="shared" si="53"/>
        <v>4015.5034500000002</v>
      </c>
      <c r="M1619" s="38">
        <v>-151.75</v>
      </c>
      <c r="N1619" s="24">
        <f>_xlfn.XLOOKUP(Snitch_Fashion_Sales_cleaned!$J1619,Table2[City],Table2[City_Key],"not found")</f>
        <v>3</v>
      </c>
      <c r="O1619" s="23">
        <f>_xlfn.XLOOKUP(Snitch_Fashion_Sales_cleaned!$D1619,Table4[Product_Name],Table4[Product_Key],"not found")</f>
        <v>12</v>
      </c>
      <c r="P1619" s="32">
        <f>_xlfn.XLOOKUP(Snitch_Fashion_Sales_cleaned!$I1619,Table3[Order_Date],Table3[Date_Key])</f>
        <v>112</v>
      </c>
    </row>
    <row r="1620" spans="1:16" x14ac:dyDescent="0.3">
      <c r="A1620" s="27">
        <v>2618</v>
      </c>
      <c r="B1620" s="25" t="s">
        <v>1649</v>
      </c>
      <c r="C1620" s="25" t="s">
        <v>25</v>
      </c>
      <c r="D1620" s="26" t="s">
        <v>82</v>
      </c>
      <c r="E1620" s="27">
        <v>3</v>
      </c>
      <c r="F1620" s="28">
        <v>2385.5749999999998</v>
      </c>
      <c r="G1620" s="29">
        <v>0.95</v>
      </c>
      <c r="H1620" s="28">
        <f t="shared" si="52"/>
        <v>7156.7249999999995</v>
      </c>
      <c r="I1620" s="30">
        <v>45541</v>
      </c>
      <c r="J1620" s="26" t="s">
        <v>18</v>
      </c>
      <c r="K1620" s="26" t="s">
        <v>23</v>
      </c>
      <c r="L1620" s="31">
        <f t="shared" si="53"/>
        <v>357.83625000000029</v>
      </c>
      <c r="M1620" s="31">
        <v>-850.68</v>
      </c>
      <c r="N1620" s="22">
        <f>_xlfn.XLOOKUP(Snitch_Fashion_Sales_cleaned!$J1620,Table2[City],Table2[City_Key],"not found")</f>
        <v>2</v>
      </c>
      <c r="O1620" s="21">
        <f>_xlfn.XLOOKUP(Snitch_Fashion_Sales_cleaned!$D1620,Table4[Product_Name],Table4[Product_Key],"not found")</f>
        <v>18</v>
      </c>
      <c r="P1620" s="25">
        <f>_xlfn.XLOOKUP(Snitch_Fashion_Sales_cleaned!$I1620,Table3[Order_Date],Table3[Date_Key])</f>
        <v>498</v>
      </c>
    </row>
    <row r="1621" spans="1:16" x14ac:dyDescent="0.3">
      <c r="A1621" s="34">
        <v>2619</v>
      </c>
      <c r="B1621" s="32" t="s">
        <v>1650</v>
      </c>
      <c r="C1621" s="32" t="s">
        <v>13</v>
      </c>
      <c r="D1621" s="33" t="s">
        <v>46</v>
      </c>
      <c r="E1621" s="34">
        <v>4</v>
      </c>
      <c r="F1621" s="35">
        <v>2891.64</v>
      </c>
      <c r="G1621" s="36">
        <v>0.51</v>
      </c>
      <c r="H1621" s="35">
        <f t="shared" si="52"/>
        <v>11566.56</v>
      </c>
      <c r="I1621" s="37">
        <v>45647</v>
      </c>
      <c r="J1621" s="33" t="s">
        <v>18</v>
      </c>
      <c r="K1621" s="33" t="s">
        <v>16</v>
      </c>
      <c r="L1621" s="38">
        <f t="shared" si="53"/>
        <v>5667.6143999999995</v>
      </c>
      <c r="M1621" s="38">
        <v>1443.87</v>
      </c>
      <c r="N1621" s="24">
        <f>_xlfn.XLOOKUP(Snitch_Fashion_Sales_cleaned!$J1621,Table2[City],Table2[City_Key],"not found")</f>
        <v>2</v>
      </c>
      <c r="O1621" s="23">
        <f>_xlfn.XLOOKUP(Snitch_Fashion_Sales_cleaned!$D1621,Table4[Product_Name],Table4[Product_Key],"not found")</f>
        <v>10</v>
      </c>
      <c r="P1621" s="32">
        <f>_xlfn.XLOOKUP(Snitch_Fashion_Sales_cleaned!$I1621,Table3[Order_Date],Table3[Date_Key])</f>
        <v>5</v>
      </c>
    </row>
    <row r="1622" spans="1:16" x14ac:dyDescent="0.3">
      <c r="A1622" s="27">
        <v>2620</v>
      </c>
      <c r="B1622" s="25" t="s">
        <v>1651</v>
      </c>
      <c r="C1622" s="25" t="s">
        <v>25</v>
      </c>
      <c r="D1622" s="26" t="s">
        <v>26</v>
      </c>
      <c r="E1622" s="27">
        <v>4</v>
      </c>
      <c r="F1622" s="28">
        <v>3415.9</v>
      </c>
      <c r="G1622" s="29">
        <v>0.51</v>
      </c>
      <c r="H1622" s="28">
        <f t="shared" si="52"/>
        <v>13663.6</v>
      </c>
      <c r="I1622" s="30">
        <v>45526</v>
      </c>
      <c r="J1622" s="26" t="s">
        <v>22</v>
      </c>
      <c r="K1622" s="26" t="s">
        <v>16</v>
      </c>
      <c r="L1622" s="31">
        <f t="shared" si="53"/>
        <v>6695.1639999999998</v>
      </c>
      <c r="M1622" s="31">
        <v>25.83</v>
      </c>
      <c r="N1622" s="22">
        <f>_xlfn.XLOOKUP(Snitch_Fashion_Sales_cleaned!$J1622,Table2[City],Table2[City_Key],"not found")</f>
        <v>3</v>
      </c>
      <c r="O1622" s="21">
        <f>_xlfn.XLOOKUP(Snitch_Fashion_Sales_cleaned!$D1622,Table4[Product_Name],Table4[Product_Key],"not found")</f>
        <v>3</v>
      </c>
      <c r="P1622" s="25">
        <f>_xlfn.XLOOKUP(Snitch_Fashion_Sales_cleaned!$I1622,Table3[Order_Date],Table3[Date_Key])</f>
        <v>10</v>
      </c>
    </row>
    <row r="1623" spans="1:16" x14ac:dyDescent="0.3">
      <c r="A1623" s="34">
        <v>2621</v>
      </c>
      <c r="B1623" s="32" t="s">
        <v>1652</v>
      </c>
      <c r="C1623" s="32" t="s">
        <v>25</v>
      </c>
      <c r="D1623" s="33" t="s">
        <v>26</v>
      </c>
      <c r="E1623" s="34">
        <v>4</v>
      </c>
      <c r="F1623" s="35">
        <v>2933.45</v>
      </c>
      <c r="G1623" s="36">
        <v>0.51</v>
      </c>
      <c r="H1623" s="35">
        <f t="shared" si="52"/>
        <v>11733.8</v>
      </c>
      <c r="I1623" s="37">
        <v>45283</v>
      </c>
      <c r="J1623" s="33" t="s">
        <v>15</v>
      </c>
      <c r="K1623" s="33" t="s">
        <v>23</v>
      </c>
      <c r="L1623" s="38">
        <f t="shared" si="53"/>
        <v>5749.5619999999999</v>
      </c>
      <c r="M1623" s="38">
        <v>2237.85</v>
      </c>
      <c r="N1623" s="24">
        <f>_xlfn.XLOOKUP(Snitch_Fashion_Sales_cleaned!$J1623,Table2[City],Table2[City_Key],"not found")</f>
        <v>1</v>
      </c>
      <c r="O1623" s="23">
        <f>_xlfn.XLOOKUP(Snitch_Fashion_Sales_cleaned!$D1623,Table4[Product_Name],Table4[Product_Key],"not found")</f>
        <v>3</v>
      </c>
      <c r="P1623" s="32">
        <f>_xlfn.XLOOKUP(Snitch_Fashion_Sales_cleaned!$I1623,Table3[Order_Date],Table3[Date_Key])</f>
        <v>455</v>
      </c>
    </row>
    <row r="1624" spans="1:16" x14ac:dyDescent="0.3">
      <c r="A1624" s="27">
        <v>2622</v>
      </c>
      <c r="B1624" s="25" t="s">
        <v>1291</v>
      </c>
      <c r="C1624" s="25" t="s">
        <v>31</v>
      </c>
      <c r="D1624" s="26" t="s">
        <v>41</v>
      </c>
      <c r="E1624" s="27">
        <v>3</v>
      </c>
      <c r="F1624" s="28">
        <v>2705.13</v>
      </c>
      <c r="G1624" s="29">
        <v>0.51</v>
      </c>
      <c r="H1624" s="28">
        <f t="shared" si="52"/>
        <v>8115.39</v>
      </c>
      <c r="I1624" s="30">
        <v>45537</v>
      </c>
      <c r="J1624" s="26" t="s">
        <v>15</v>
      </c>
      <c r="K1624" s="26" t="s">
        <v>23</v>
      </c>
      <c r="L1624" s="31">
        <f t="shared" si="53"/>
        <v>3976.5410999999999</v>
      </c>
      <c r="M1624" s="31">
        <v>1133.53</v>
      </c>
      <c r="N1624" s="22">
        <f>_xlfn.XLOOKUP(Snitch_Fashion_Sales_cleaned!$J1624,Table2[City],Table2[City_Key],"not found")</f>
        <v>1</v>
      </c>
      <c r="O1624" s="21">
        <f>_xlfn.XLOOKUP(Snitch_Fashion_Sales_cleaned!$D1624,Table4[Product_Name],Table4[Product_Key],"not found")</f>
        <v>9</v>
      </c>
      <c r="P1624" s="25">
        <f>_xlfn.XLOOKUP(Snitch_Fashion_Sales_cleaned!$I1624,Table3[Order_Date],Table3[Date_Key])</f>
        <v>499</v>
      </c>
    </row>
    <row r="1625" spans="1:16" x14ac:dyDescent="0.3">
      <c r="A1625" s="34">
        <v>1020</v>
      </c>
      <c r="B1625" s="32" t="s">
        <v>1653</v>
      </c>
      <c r="C1625" s="32" t="s">
        <v>36</v>
      </c>
      <c r="D1625" s="33" t="s">
        <v>87</v>
      </c>
      <c r="E1625" s="34">
        <v>4</v>
      </c>
      <c r="F1625" s="35">
        <v>2889.5349999999999</v>
      </c>
      <c r="G1625" s="36">
        <v>0.51</v>
      </c>
      <c r="H1625" s="35">
        <f t="shared" si="52"/>
        <v>11558.14</v>
      </c>
      <c r="I1625" s="37">
        <v>45148</v>
      </c>
      <c r="J1625" s="33" t="s">
        <v>43</v>
      </c>
      <c r="K1625" s="33" t="s">
        <v>23</v>
      </c>
      <c r="L1625" s="38">
        <f t="shared" si="53"/>
        <v>5663.4885999999997</v>
      </c>
      <c r="M1625" s="38">
        <v>1224.3499999999999</v>
      </c>
      <c r="N1625" s="24">
        <f>_xlfn.XLOOKUP(Snitch_Fashion_Sales_cleaned!$J1625,Table2[City],Table2[City_Key],"not found")</f>
        <v>6</v>
      </c>
      <c r="O1625" s="23">
        <f>_xlfn.XLOOKUP(Snitch_Fashion_Sales_cleaned!$D1625,Table4[Product_Name],Table4[Product_Key],"not found")</f>
        <v>20</v>
      </c>
      <c r="P1625" s="32">
        <f>_xlfn.XLOOKUP(Snitch_Fashion_Sales_cleaned!$I1625,Table3[Order_Date],Table3[Date_Key])</f>
        <v>500</v>
      </c>
    </row>
    <row r="1626" spans="1:16" x14ac:dyDescent="0.3">
      <c r="A1626" s="27">
        <v>2624</v>
      </c>
      <c r="B1626" s="25" t="s">
        <v>1654</v>
      </c>
      <c r="C1626" s="25" t="s">
        <v>28</v>
      </c>
      <c r="D1626" s="26" t="s">
        <v>137</v>
      </c>
      <c r="E1626" s="27">
        <v>3.5</v>
      </c>
      <c r="F1626" s="28">
        <v>2338.04</v>
      </c>
      <c r="G1626" s="29">
        <v>0.99</v>
      </c>
      <c r="H1626" s="28">
        <f t="shared" si="52"/>
        <v>8183.1399999999994</v>
      </c>
      <c r="I1626" s="30">
        <v>45632</v>
      </c>
      <c r="J1626" s="26" t="s">
        <v>18</v>
      </c>
      <c r="K1626" s="26" t="s">
        <v>23</v>
      </c>
      <c r="L1626" s="31">
        <f t="shared" si="53"/>
        <v>81.831400000000073</v>
      </c>
      <c r="M1626" s="31">
        <v>20.457850000000018</v>
      </c>
      <c r="N1626" s="22">
        <f>_xlfn.XLOOKUP(Snitch_Fashion_Sales_cleaned!$J1626,Table2[City],Table2[City_Key],"not found")</f>
        <v>2</v>
      </c>
      <c r="O1626" s="21">
        <f>_xlfn.XLOOKUP(Snitch_Fashion_Sales_cleaned!$D1626,Table4[Product_Name],Table4[Product_Key],"not found")</f>
        <v>24</v>
      </c>
      <c r="P1626" s="25">
        <f>_xlfn.XLOOKUP(Snitch_Fashion_Sales_cleaned!$I1626,Table3[Order_Date],Table3[Date_Key])</f>
        <v>93</v>
      </c>
    </row>
    <row r="1627" spans="1:16" x14ac:dyDescent="0.3">
      <c r="A1627" s="34">
        <v>2625</v>
      </c>
      <c r="B1627" s="32" t="s">
        <v>1655</v>
      </c>
      <c r="C1627" s="32" t="s">
        <v>36</v>
      </c>
      <c r="D1627" s="33" t="s">
        <v>55</v>
      </c>
      <c r="E1627" s="34">
        <v>3</v>
      </c>
      <c r="F1627" s="35">
        <v>2731.6350000000002</v>
      </c>
      <c r="G1627" s="36">
        <v>0.51</v>
      </c>
      <c r="H1627" s="35">
        <f t="shared" si="52"/>
        <v>8194.9050000000007</v>
      </c>
      <c r="I1627" s="37">
        <v>45210</v>
      </c>
      <c r="J1627" s="33" t="s">
        <v>22</v>
      </c>
      <c r="K1627" s="33" t="s">
        <v>23</v>
      </c>
      <c r="L1627" s="38">
        <f t="shared" si="53"/>
        <v>4015.5034500000002</v>
      </c>
      <c r="M1627" s="38">
        <v>1271.1199999999999</v>
      </c>
      <c r="N1627" s="24">
        <f>_xlfn.XLOOKUP(Snitch_Fashion_Sales_cleaned!$J1627,Table2[City],Table2[City_Key],"not found")</f>
        <v>3</v>
      </c>
      <c r="O1627" s="23">
        <f>_xlfn.XLOOKUP(Snitch_Fashion_Sales_cleaned!$D1627,Table4[Product_Name],Table4[Product_Key],"not found")</f>
        <v>12</v>
      </c>
      <c r="P1627" s="32">
        <f>_xlfn.XLOOKUP(Snitch_Fashion_Sales_cleaned!$I1627,Table3[Order_Date],Table3[Date_Key])</f>
        <v>501</v>
      </c>
    </row>
    <row r="1628" spans="1:16" x14ac:dyDescent="0.3">
      <c r="A1628" s="27">
        <v>2626</v>
      </c>
      <c r="B1628" s="25" t="s">
        <v>1656</v>
      </c>
      <c r="C1628" s="25" t="s">
        <v>31</v>
      </c>
      <c r="D1628" s="26" t="s">
        <v>32</v>
      </c>
      <c r="E1628" s="27">
        <v>4</v>
      </c>
      <c r="F1628" s="28">
        <v>4932.25</v>
      </c>
      <c r="G1628" s="29">
        <v>0.51</v>
      </c>
      <c r="H1628" s="28">
        <f t="shared" si="52"/>
        <v>19729</v>
      </c>
      <c r="I1628" s="30">
        <v>45793</v>
      </c>
      <c r="J1628" s="26" t="s">
        <v>2540</v>
      </c>
      <c r="K1628" s="26" t="s">
        <v>23</v>
      </c>
      <c r="L1628" s="31">
        <f t="shared" si="53"/>
        <v>9667.2099999999991</v>
      </c>
      <c r="M1628" s="31">
        <v>742.42</v>
      </c>
      <c r="N1628" s="22">
        <f>_xlfn.XLOOKUP(Snitch_Fashion_Sales_cleaned!$J1628,Table2[City],Table2[City_Key],"not found")</f>
        <v>4</v>
      </c>
      <c r="O1628" s="21">
        <f>_xlfn.XLOOKUP(Snitch_Fashion_Sales_cleaned!$D1628,Table4[Product_Name],Table4[Product_Key],"not found")</f>
        <v>5</v>
      </c>
      <c r="P1628" s="25">
        <f>_xlfn.XLOOKUP(Snitch_Fashion_Sales_cleaned!$I1628,Table3[Order_Date],Table3[Date_Key])</f>
        <v>366</v>
      </c>
    </row>
    <row r="1629" spans="1:16" x14ac:dyDescent="0.3">
      <c r="A1629" s="34">
        <v>2627</v>
      </c>
      <c r="B1629" s="32" t="s">
        <v>1657</v>
      </c>
      <c r="C1629" s="32" t="s">
        <v>36</v>
      </c>
      <c r="D1629" s="33" t="s">
        <v>59</v>
      </c>
      <c r="E1629" s="34">
        <v>3</v>
      </c>
      <c r="F1629" s="35">
        <v>2765.26</v>
      </c>
      <c r="G1629" s="36">
        <v>0.51</v>
      </c>
      <c r="H1629" s="35">
        <f t="shared" si="52"/>
        <v>8295.7800000000007</v>
      </c>
      <c r="I1629" s="37">
        <v>45604</v>
      </c>
      <c r="J1629" s="33" t="s">
        <v>22</v>
      </c>
      <c r="K1629" s="33" t="s">
        <v>23</v>
      </c>
      <c r="L1629" s="38">
        <f t="shared" si="53"/>
        <v>4064.9322000000002</v>
      </c>
      <c r="M1629" s="38">
        <v>87.54</v>
      </c>
      <c r="N1629" s="24">
        <f>_xlfn.XLOOKUP(Snitch_Fashion_Sales_cleaned!$J1629,Table2[City],Table2[City_Key],"not found")</f>
        <v>3</v>
      </c>
      <c r="O1629" s="23">
        <f>_xlfn.XLOOKUP(Snitch_Fashion_Sales_cleaned!$D1629,Table4[Product_Name],Table4[Product_Key],"not found")</f>
        <v>13</v>
      </c>
      <c r="P1629" s="32">
        <f>_xlfn.XLOOKUP(Snitch_Fashion_Sales_cleaned!$I1629,Table3[Order_Date],Table3[Date_Key])</f>
        <v>101</v>
      </c>
    </row>
    <row r="1630" spans="1:16" x14ac:dyDescent="0.3">
      <c r="A1630" s="27">
        <v>2628</v>
      </c>
      <c r="B1630" s="25" t="s">
        <v>1658</v>
      </c>
      <c r="C1630" s="25" t="s">
        <v>13</v>
      </c>
      <c r="D1630" s="26" t="s">
        <v>46</v>
      </c>
      <c r="E1630" s="27">
        <v>4</v>
      </c>
      <c r="F1630" s="28">
        <v>2891.64</v>
      </c>
      <c r="G1630" s="29">
        <v>0.51</v>
      </c>
      <c r="H1630" s="28">
        <f t="shared" si="52"/>
        <v>11566.56</v>
      </c>
      <c r="I1630" s="30">
        <v>45302</v>
      </c>
      <c r="J1630" s="26" t="s">
        <v>15</v>
      </c>
      <c r="K1630" s="26" t="s">
        <v>23</v>
      </c>
      <c r="L1630" s="31">
        <f t="shared" si="53"/>
        <v>5667.6143999999995</v>
      </c>
      <c r="M1630" s="31">
        <v>2466.4299999999998</v>
      </c>
      <c r="N1630" s="22">
        <f>_xlfn.XLOOKUP(Snitch_Fashion_Sales_cleaned!$J1630,Table2[City],Table2[City_Key],"not found")</f>
        <v>1</v>
      </c>
      <c r="O1630" s="21">
        <f>_xlfn.XLOOKUP(Snitch_Fashion_Sales_cleaned!$D1630,Table4[Product_Name],Table4[Product_Key],"not found")</f>
        <v>10</v>
      </c>
      <c r="P1630" s="25">
        <f>_xlfn.XLOOKUP(Snitch_Fashion_Sales_cleaned!$I1630,Table3[Order_Date],Table3[Date_Key])</f>
        <v>502</v>
      </c>
    </row>
    <row r="1631" spans="1:16" x14ac:dyDescent="0.3">
      <c r="A1631" s="34">
        <v>2629</v>
      </c>
      <c r="B1631" s="32" t="s">
        <v>1659</v>
      </c>
      <c r="C1631" s="32" t="s">
        <v>36</v>
      </c>
      <c r="D1631" s="33" t="s">
        <v>87</v>
      </c>
      <c r="E1631" s="34">
        <v>4</v>
      </c>
      <c r="F1631" s="35">
        <v>2889.5349999999999</v>
      </c>
      <c r="G1631" s="36">
        <v>0.51</v>
      </c>
      <c r="H1631" s="35">
        <f t="shared" si="52"/>
        <v>11558.14</v>
      </c>
      <c r="I1631" s="37">
        <v>45721</v>
      </c>
      <c r="J1631" s="33" t="s">
        <v>52</v>
      </c>
      <c r="K1631" s="33" t="s">
        <v>23</v>
      </c>
      <c r="L1631" s="38">
        <f t="shared" si="53"/>
        <v>5663.4885999999997</v>
      </c>
      <c r="M1631" s="38">
        <v>1765.52</v>
      </c>
      <c r="N1631" s="24">
        <f>_xlfn.XLOOKUP(Snitch_Fashion_Sales_cleaned!$J1631,Table2[City],Table2[City_Key],"not found")</f>
        <v>5</v>
      </c>
      <c r="O1631" s="23">
        <f>_xlfn.XLOOKUP(Snitch_Fashion_Sales_cleaned!$D1631,Table4[Product_Name],Table4[Product_Key],"not found")</f>
        <v>20</v>
      </c>
      <c r="P1631" s="32">
        <f>_xlfn.XLOOKUP(Snitch_Fashion_Sales_cleaned!$I1631,Table3[Order_Date],Table3[Date_Key])</f>
        <v>307</v>
      </c>
    </row>
    <row r="1632" spans="1:16" x14ac:dyDescent="0.3">
      <c r="A1632" s="27">
        <v>2630</v>
      </c>
      <c r="B1632" s="25" t="s">
        <v>1660</v>
      </c>
      <c r="C1632" s="25" t="s">
        <v>25</v>
      </c>
      <c r="D1632" s="26" t="s">
        <v>26</v>
      </c>
      <c r="E1632" s="27">
        <v>4</v>
      </c>
      <c r="F1632" s="28">
        <v>856.83</v>
      </c>
      <c r="G1632" s="29">
        <v>0.51</v>
      </c>
      <c r="H1632" s="28">
        <f t="shared" si="52"/>
        <v>3427.32</v>
      </c>
      <c r="I1632" s="30">
        <v>45777</v>
      </c>
      <c r="J1632" s="26" t="s">
        <v>18</v>
      </c>
      <c r="K1632" s="26" t="s">
        <v>16</v>
      </c>
      <c r="L1632" s="31">
        <f t="shared" si="53"/>
        <v>1679.3868</v>
      </c>
      <c r="M1632" s="31">
        <v>1369.89</v>
      </c>
      <c r="N1632" s="22">
        <f>_xlfn.XLOOKUP(Snitch_Fashion_Sales_cleaned!$J1632,Table2[City],Table2[City_Key],"not found")</f>
        <v>2</v>
      </c>
      <c r="O1632" s="21">
        <f>_xlfn.XLOOKUP(Snitch_Fashion_Sales_cleaned!$D1632,Table4[Product_Name],Table4[Product_Key],"not found")</f>
        <v>3</v>
      </c>
      <c r="P1632" s="25">
        <f>_xlfn.XLOOKUP(Snitch_Fashion_Sales_cleaned!$I1632,Table3[Order_Date],Table3[Date_Key])</f>
        <v>282</v>
      </c>
    </row>
    <row r="1633" spans="1:16" x14ac:dyDescent="0.3">
      <c r="A1633" s="34">
        <v>2631</v>
      </c>
      <c r="B1633" s="32" t="s">
        <v>1661</v>
      </c>
      <c r="C1633" s="32" t="s">
        <v>28</v>
      </c>
      <c r="D1633" s="33" t="s">
        <v>116</v>
      </c>
      <c r="E1633" s="34">
        <v>2</v>
      </c>
      <c r="F1633" s="35">
        <v>1753.02</v>
      </c>
      <c r="G1633" s="36">
        <v>0.23</v>
      </c>
      <c r="H1633" s="35">
        <f t="shared" si="52"/>
        <v>3506.04</v>
      </c>
      <c r="I1633" s="37">
        <v>45677</v>
      </c>
      <c r="J1633" s="33" t="s">
        <v>43</v>
      </c>
      <c r="K1633" s="33" t="s">
        <v>23</v>
      </c>
      <c r="L1633" s="38">
        <f t="shared" si="53"/>
        <v>2699.6507999999999</v>
      </c>
      <c r="M1633" s="38">
        <v>-766.47</v>
      </c>
      <c r="N1633" s="24">
        <f>_xlfn.XLOOKUP(Snitch_Fashion_Sales_cleaned!$J1633,Table2[City],Table2[City_Key],"not found")</f>
        <v>6</v>
      </c>
      <c r="O1633" s="23">
        <f>_xlfn.XLOOKUP(Snitch_Fashion_Sales_cleaned!$D1633,Table4[Product_Name],Table4[Product_Key],"not found")</f>
        <v>22</v>
      </c>
      <c r="P1633" s="32">
        <f>_xlfn.XLOOKUP(Snitch_Fashion_Sales_cleaned!$I1633,Table3[Order_Date],Table3[Date_Key])</f>
        <v>424</v>
      </c>
    </row>
    <row r="1634" spans="1:16" x14ac:dyDescent="0.3">
      <c r="A1634" s="27">
        <v>2632</v>
      </c>
      <c r="B1634" s="25" t="s">
        <v>1662</v>
      </c>
      <c r="C1634" s="25" t="s">
        <v>25</v>
      </c>
      <c r="D1634" s="26" t="s">
        <v>26</v>
      </c>
      <c r="E1634" s="27">
        <v>3</v>
      </c>
      <c r="F1634" s="28">
        <v>4127.32</v>
      </c>
      <c r="G1634" s="29">
        <v>0.51</v>
      </c>
      <c r="H1634" s="28">
        <f t="shared" si="52"/>
        <v>12381.96</v>
      </c>
      <c r="I1634" s="30">
        <v>45647</v>
      </c>
      <c r="J1634" s="26" t="s">
        <v>43</v>
      </c>
      <c r="K1634" s="26" t="s">
        <v>23</v>
      </c>
      <c r="L1634" s="31">
        <f t="shared" si="53"/>
        <v>6067.1603999999998</v>
      </c>
      <c r="M1634" s="31">
        <v>989.17</v>
      </c>
      <c r="N1634" s="22">
        <f>_xlfn.XLOOKUP(Snitch_Fashion_Sales_cleaned!$J1634,Table2[City],Table2[City_Key],"not found")</f>
        <v>6</v>
      </c>
      <c r="O1634" s="21">
        <f>_xlfn.XLOOKUP(Snitch_Fashion_Sales_cleaned!$D1634,Table4[Product_Name],Table4[Product_Key],"not found")</f>
        <v>3</v>
      </c>
      <c r="P1634" s="25">
        <f>_xlfn.XLOOKUP(Snitch_Fashion_Sales_cleaned!$I1634,Table3[Order_Date],Table3[Date_Key])</f>
        <v>5</v>
      </c>
    </row>
    <row r="1635" spans="1:16" x14ac:dyDescent="0.3">
      <c r="A1635" s="34">
        <v>2633</v>
      </c>
      <c r="B1635" s="32" t="s">
        <v>1663</v>
      </c>
      <c r="C1635" s="32" t="s">
        <v>28</v>
      </c>
      <c r="D1635" s="33" t="s">
        <v>137</v>
      </c>
      <c r="E1635" s="34">
        <v>3.5</v>
      </c>
      <c r="F1635" s="35">
        <v>2338.04</v>
      </c>
      <c r="G1635" s="36">
        <v>0.87</v>
      </c>
      <c r="H1635" s="35">
        <f t="shared" si="52"/>
        <v>8183.1399999999994</v>
      </c>
      <c r="I1635" s="37">
        <v>45221</v>
      </c>
      <c r="J1635" s="33" t="s">
        <v>43</v>
      </c>
      <c r="K1635" s="33" t="s">
        <v>23</v>
      </c>
      <c r="L1635" s="38">
        <f t="shared" si="53"/>
        <v>1063.8081999999999</v>
      </c>
      <c r="M1635" s="38">
        <v>300.47000000000003</v>
      </c>
      <c r="N1635" s="24">
        <f>_xlfn.XLOOKUP(Snitch_Fashion_Sales_cleaned!$J1635,Table2[City],Table2[City_Key],"not found")</f>
        <v>6</v>
      </c>
      <c r="O1635" s="23">
        <f>_xlfn.XLOOKUP(Snitch_Fashion_Sales_cleaned!$D1635,Table4[Product_Name],Table4[Product_Key],"not found")</f>
        <v>24</v>
      </c>
      <c r="P1635" s="32">
        <f>_xlfn.XLOOKUP(Snitch_Fashion_Sales_cleaned!$I1635,Table3[Order_Date],Table3[Date_Key])</f>
        <v>486</v>
      </c>
    </row>
    <row r="1636" spans="1:16" x14ac:dyDescent="0.3">
      <c r="A1636" s="27">
        <v>2634</v>
      </c>
      <c r="B1636" s="25" t="s">
        <v>1664</v>
      </c>
      <c r="C1636" s="25" t="s">
        <v>28</v>
      </c>
      <c r="D1636" s="26" t="s">
        <v>116</v>
      </c>
      <c r="E1636" s="27">
        <v>4</v>
      </c>
      <c r="F1636" s="28">
        <v>2785.79</v>
      </c>
      <c r="G1636" s="29">
        <v>0.96</v>
      </c>
      <c r="H1636" s="28">
        <f t="shared" si="52"/>
        <v>11143.16</v>
      </c>
      <c r="I1636" s="30">
        <v>45647</v>
      </c>
      <c r="J1636" s="26" t="s">
        <v>52</v>
      </c>
      <c r="K1636" s="26" t="s">
        <v>23</v>
      </c>
      <c r="L1636" s="31">
        <f t="shared" si="53"/>
        <v>445.72640000000041</v>
      </c>
      <c r="M1636" s="31">
        <v>111.4316000000001</v>
      </c>
      <c r="N1636" s="22">
        <f>_xlfn.XLOOKUP(Snitch_Fashion_Sales_cleaned!$J1636,Table2[City],Table2[City_Key],"not found")</f>
        <v>5</v>
      </c>
      <c r="O1636" s="21">
        <f>_xlfn.XLOOKUP(Snitch_Fashion_Sales_cleaned!$D1636,Table4[Product_Name],Table4[Product_Key],"not found")</f>
        <v>22</v>
      </c>
      <c r="P1636" s="25">
        <f>_xlfn.XLOOKUP(Snitch_Fashion_Sales_cleaned!$I1636,Table3[Order_Date],Table3[Date_Key])</f>
        <v>5</v>
      </c>
    </row>
    <row r="1637" spans="1:16" x14ac:dyDescent="0.3">
      <c r="A1637" s="34">
        <v>2635</v>
      </c>
      <c r="B1637" s="32" t="s">
        <v>1665</v>
      </c>
      <c r="C1637" s="32" t="s">
        <v>25</v>
      </c>
      <c r="D1637" s="33" t="s">
        <v>82</v>
      </c>
      <c r="E1637" s="34">
        <v>2</v>
      </c>
      <c r="F1637" s="35">
        <v>2385.5749999999998</v>
      </c>
      <c r="G1637" s="36">
        <v>0.51</v>
      </c>
      <c r="H1637" s="35">
        <f t="shared" si="52"/>
        <v>4771.1499999999996</v>
      </c>
      <c r="I1637" s="37">
        <v>45691</v>
      </c>
      <c r="J1637" s="33" t="s">
        <v>43</v>
      </c>
      <c r="K1637" s="33" t="s">
        <v>16</v>
      </c>
      <c r="L1637" s="38">
        <f t="shared" si="53"/>
        <v>2337.8634999999999</v>
      </c>
      <c r="M1637" s="38">
        <v>461.83</v>
      </c>
      <c r="N1637" s="24">
        <f>_xlfn.XLOOKUP(Snitch_Fashion_Sales_cleaned!$J1637,Table2[City],Table2[City_Key],"not found")</f>
        <v>6</v>
      </c>
      <c r="O1637" s="23">
        <f>_xlfn.XLOOKUP(Snitch_Fashion_Sales_cleaned!$D1637,Table4[Product_Name],Table4[Product_Key],"not found")</f>
        <v>18</v>
      </c>
      <c r="P1637" s="32">
        <f>_xlfn.XLOOKUP(Snitch_Fashion_Sales_cleaned!$I1637,Table3[Order_Date],Table3[Date_Key])</f>
        <v>348</v>
      </c>
    </row>
    <row r="1638" spans="1:16" x14ac:dyDescent="0.3">
      <c r="A1638" s="27">
        <v>2636</v>
      </c>
      <c r="B1638" s="25" t="s">
        <v>1666</v>
      </c>
      <c r="C1638" s="25" t="s">
        <v>36</v>
      </c>
      <c r="D1638" s="26" t="s">
        <v>59</v>
      </c>
      <c r="E1638" s="27">
        <v>3</v>
      </c>
      <c r="F1638" s="28">
        <v>1006.98</v>
      </c>
      <c r="G1638" s="29">
        <v>0.51</v>
      </c>
      <c r="H1638" s="28">
        <f t="shared" si="52"/>
        <v>3020.94</v>
      </c>
      <c r="I1638" s="30">
        <v>45151</v>
      </c>
      <c r="J1638" s="26" t="s">
        <v>22</v>
      </c>
      <c r="K1638" s="26" t="s">
        <v>23</v>
      </c>
      <c r="L1638" s="31">
        <f t="shared" si="53"/>
        <v>1480.2606000000001</v>
      </c>
      <c r="M1638" s="31">
        <v>370.06515000000002</v>
      </c>
      <c r="N1638" s="22">
        <f>_xlfn.XLOOKUP(Snitch_Fashion_Sales_cleaned!$J1638,Table2[City],Table2[City_Key],"not found")</f>
        <v>3</v>
      </c>
      <c r="O1638" s="21">
        <f>_xlfn.XLOOKUP(Snitch_Fashion_Sales_cleaned!$D1638,Table4[Product_Name],Table4[Product_Key],"not found")</f>
        <v>13</v>
      </c>
      <c r="P1638" s="25">
        <f>_xlfn.XLOOKUP(Snitch_Fashion_Sales_cleaned!$I1638,Table3[Order_Date],Table3[Date_Key])</f>
        <v>272</v>
      </c>
    </row>
    <row r="1639" spans="1:16" x14ac:dyDescent="0.3">
      <c r="A1639" s="34">
        <v>2637</v>
      </c>
      <c r="B1639" s="32" t="s">
        <v>1667</v>
      </c>
      <c r="C1639" s="32" t="s">
        <v>20</v>
      </c>
      <c r="D1639" s="33" t="s">
        <v>118</v>
      </c>
      <c r="E1639" s="34">
        <v>3.5</v>
      </c>
      <c r="F1639" s="35">
        <v>2752.99</v>
      </c>
      <c r="G1639" s="36">
        <v>0.72</v>
      </c>
      <c r="H1639" s="35">
        <f t="shared" si="52"/>
        <v>9635.4650000000001</v>
      </c>
      <c r="I1639" s="37">
        <v>45647</v>
      </c>
      <c r="J1639" s="33" t="s">
        <v>15</v>
      </c>
      <c r="K1639" s="33" t="s">
        <v>23</v>
      </c>
      <c r="L1639" s="38">
        <f t="shared" si="53"/>
        <v>2697.9302000000002</v>
      </c>
      <c r="M1639" s="38">
        <v>1326.41</v>
      </c>
      <c r="N1639" s="24">
        <f>_xlfn.XLOOKUP(Snitch_Fashion_Sales_cleaned!$J1639,Table2[City],Table2[City_Key],"not found")</f>
        <v>1</v>
      </c>
      <c r="O1639" s="23">
        <f>_xlfn.XLOOKUP(Snitch_Fashion_Sales_cleaned!$D1639,Table4[Product_Name],Table4[Product_Key],"not found")</f>
        <v>23</v>
      </c>
      <c r="P1639" s="32">
        <f>_xlfn.XLOOKUP(Snitch_Fashion_Sales_cleaned!$I1639,Table3[Order_Date],Table3[Date_Key])</f>
        <v>5</v>
      </c>
    </row>
    <row r="1640" spans="1:16" x14ac:dyDescent="0.3">
      <c r="A1640" s="27">
        <v>2638</v>
      </c>
      <c r="B1640" s="25" t="s">
        <v>1668</v>
      </c>
      <c r="C1640" s="25" t="s">
        <v>20</v>
      </c>
      <c r="D1640" s="26" t="s">
        <v>118</v>
      </c>
      <c r="E1640" s="27">
        <v>6</v>
      </c>
      <c r="F1640" s="28">
        <v>2012.14</v>
      </c>
      <c r="G1640" s="29">
        <v>0.51</v>
      </c>
      <c r="H1640" s="28">
        <f t="shared" si="52"/>
        <v>12072.84</v>
      </c>
      <c r="I1640" s="30">
        <v>45643</v>
      </c>
      <c r="J1640" s="26" t="s">
        <v>15</v>
      </c>
      <c r="K1640" s="26" t="s">
        <v>23</v>
      </c>
      <c r="L1640" s="31">
        <f t="shared" si="53"/>
        <v>5915.6916000000001</v>
      </c>
      <c r="M1640" s="31">
        <v>3.53</v>
      </c>
      <c r="N1640" s="22">
        <f>_xlfn.XLOOKUP(Snitch_Fashion_Sales_cleaned!$J1640,Table2[City],Table2[City_Key],"not found")</f>
        <v>1</v>
      </c>
      <c r="O1640" s="21">
        <f>_xlfn.XLOOKUP(Snitch_Fashion_Sales_cleaned!$D1640,Table4[Product_Name],Table4[Product_Key],"not found")</f>
        <v>23</v>
      </c>
      <c r="P1640" s="25">
        <f>_xlfn.XLOOKUP(Snitch_Fashion_Sales_cleaned!$I1640,Table3[Order_Date],Table3[Date_Key])</f>
        <v>389</v>
      </c>
    </row>
    <row r="1641" spans="1:16" x14ac:dyDescent="0.3">
      <c r="A1641" s="34">
        <v>2639</v>
      </c>
      <c r="B1641" s="32" t="s">
        <v>1669</v>
      </c>
      <c r="C1641" s="32" t="s">
        <v>25</v>
      </c>
      <c r="D1641" s="33" t="s">
        <v>50</v>
      </c>
      <c r="E1641" s="34">
        <v>4</v>
      </c>
      <c r="F1641" s="35">
        <v>4947.96</v>
      </c>
      <c r="G1641" s="36">
        <v>0.51</v>
      </c>
      <c r="H1641" s="35">
        <f t="shared" si="52"/>
        <v>19791.84</v>
      </c>
      <c r="I1641" s="37">
        <v>45647</v>
      </c>
      <c r="J1641" s="33" t="s">
        <v>43</v>
      </c>
      <c r="K1641" s="33" t="s">
        <v>16</v>
      </c>
      <c r="L1641" s="38">
        <f t="shared" si="53"/>
        <v>9698.0015999999996</v>
      </c>
      <c r="M1641" s="38">
        <v>1245.6099999999999</v>
      </c>
      <c r="N1641" s="24">
        <f>_xlfn.XLOOKUP(Snitch_Fashion_Sales_cleaned!$J1641,Table2[City],Table2[City_Key],"not found")</f>
        <v>6</v>
      </c>
      <c r="O1641" s="23">
        <f>_xlfn.XLOOKUP(Snitch_Fashion_Sales_cleaned!$D1641,Table4[Product_Name],Table4[Product_Key],"not found")</f>
        <v>11</v>
      </c>
      <c r="P1641" s="32">
        <f>_xlfn.XLOOKUP(Snitch_Fashion_Sales_cleaned!$I1641,Table3[Order_Date],Table3[Date_Key])</f>
        <v>5</v>
      </c>
    </row>
    <row r="1642" spans="1:16" x14ac:dyDescent="0.3">
      <c r="A1642" s="27">
        <v>2640</v>
      </c>
      <c r="B1642" s="25" t="s">
        <v>1670</v>
      </c>
      <c r="C1642" s="25" t="s">
        <v>20</v>
      </c>
      <c r="D1642" s="26" t="s">
        <v>118</v>
      </c>
      <c r="E1642" s="27">
        <v>6</v>
      </c>
      <c r="F1642" s="28">
        <v>4720.2299999999996</v>
      </c>
      <c r="G1642" s="29">
        <v>0.69</v>
      </c>
      <c r="H1642" s="28">
        <f t="shared" si="52"/>
        <v>28321.379999999997</v>
      </c>
      <c r="I1642" s="30">
        <v>45289</v>
      </c>
      <c r="J1642" s="26" t="s">
        <v>18</v>
      </c>
      <c r="K1642" s="26" t="s">
        <v>23</v>
      </c>
      <c r="L1642" s="31">
        <f t="shared" si="53"/>
        <v>8779.6278000000002</v>
      </c>
      <c r="M1642" s="31">
        <v>2243.09</v>
      </c>
      <c r="N1642" s="22">
        <f>_xlfn.XLOOKUP(Snitch_Fashion_Sales_cleaned!$J1642,Table2[City],Table2[City_Key],"not found")</f>
        <v>2</v>
      </c>
      <c r="O1642" s="21">
        <f>_xlfn.XLOOKUP(Snitch_Fashion_Sales_cleaned!$D1642,Table4[Product_Name],Table4[Product_Key],"not found")</f>
        <v>23</v>
      </c>
      <c r="P1642" s="25">
        <f>_xlfn.XLOOKUP(Snitch_Fashion_Sales_cleaned!$I1642,Table3[Order_Date],Table3[Date_Key])</f>
        <v>265</v>
      </c>
    </row>
    <row r="1643" spans="1:16" x14ac:dyDescent="0.3">
      <c r="A1643" s="34">
        <v>2641</v>
      </c>
      <c r="B1643" s="32" t="s">
        <v>1671</v>
      </c>
      <c r="C1643" s="32" t="s">
        <v>36</v>
      </c>
      <c r="D1643" s="33" t="s">
        <v>87</v>
      </c>
      <c r="E1643" s="34">
        <v>6</v>
      </c>
      <c r="F1643" s="35">
        <v>2889.5349999999999</v>
      </c>
      <c r="G1643" s="36">
        <v>0.51</v>
      </c>
      <c r="H1643" s="35">
        <f t="shared" si="52"/>
        <v>17337.21</v>
      </c>
      <c r="I1643" s="37">
        <v>45824</v>
      </c>
      <c r="J1643" s="33" t="s">
        <v>15</v>
      </c>
      <c r="K1643" s="33" t="s">
        <v>23</v>
      </c>
      <c r="L1643" s="38">
        <f t="shared" si="53"/>
        <v>8495.2328999999991</v>
      </c>
      <c r="M1643" s="38">
        <v>-151.61000000000001</v>
      </c>
      <c r="N1643" s="24">
        <f>_xlfn.XLOOKUP(Snitch_Fashion_Sales_cleaned!$J1643,Table2[City],Table2[City_Key],"not found")</f>
        <v>1</v>
      </c>
      <c r="O1643" s="23">
        <f>_xlfn.XLOOKUP(Snitch_Fashion_Sales_cleaned!$D1643,Table4[Product_Name],Table4[Product_Key],"not found")</f>
        <v>20</v>
      </c>
      <c r="P1643" s="32">
        <f>_xlfn.XLOOKUP(Snitch_Fashion_Sales_cleaned!$I1643,Table3[Order_Date],Table3[Date_Key])</f>
        <v>110</v>
      </c>
    </row>
    <row r="1644" spans="1:16" x14ac:dyDescent="0.3">
      <c r="A1644" s="27">
        <v>2642</v>
      </c>
      <c r="B1644" s="25" t="s">
        <v>1672</v>
      </c>
      <c r="C1644" s="25" t="s">
        <v>20</v>
      </c>
      <c r="D1644" s="26" t="s">
        <v>76</v>
      </c>
      <c r="E1644" s="27">
        <v>3</v>
      </c>
      <c r="F1644" s="28">
        <v>1043.58</v>
      </c>
      <c r="G1644" s="29">
        <v>0.51</v>
      </c>
      <c r="H1644" s="28">
        <f t="shared" si="52"/>
        <v>3130.74</v>
      </c>
      <c r="I1644" s="30">
        <v>45846</v>
      </c>
      <c r="J1644" s="26" t="s">
        <v>52</v>
      </c>
      <c r="K1644" s="26" t="s">
        <v>23</v>
      </c>
      <c r="L1644" s="31">
        <f t="shared" si="53"/>
        <v>1534.0626</v>
      </c>
      <c r="M1644" s="31">
        <v>1206.72</v>
      </c>
      <c r="N1644" s="22">
        <f>_xlfn.XLOOKUP(Snitch_Fashion_Sales_cleaned!$J1644,Table2[City],Table2[City_Key],"not found")</f>
        <v>5</v>
      </c>
      <c r="O1644" s="21">
        <f>_xlfn.XLOOKUP(Snitch_Fashion_Sales_cleaned!$D1644,Table4[Product_Name],Table4[Product_Key],"not found")</f>
        <v>16</v>
      </c>
      <c r="P1644" s="25">
        <f>_xlfn.XLOOKUP(Snitch_Fashion_Sales_cleaned!$I1644,Table3[Order_Date],Table3[Date_Key])</f>
        <v>35</v>
      </c>
    </row>
    <row r="1645" spans="1:16" x14ac:dyDescent="0.3">
      <c r="A1645" s="34">
        <v>2643</v>
      </c>
      <c r="B1645" s="32" t="s">
        <v>1673</v>
      </c>
      <c r="C1645" s="32" t="s">
        <v>20</v>
      </c>
      <c r="D1645" s="33" t="s">
        <v>76</v>
      </c>
      <c r="E1645" s="34">
        <v>3</v>
      </c>
      <c r="F1645" s="35">
        <v>2229.4899999999998</v>
      </c>
      <c r="G1645" s="36">
        <v>0.53</v>
      </c>
      <c r="H1645" s="35">
        <f t="shared" si="52"/>
        <v>6688.4699999999993</v>
      </c>
      <c r="I1645" s="37">
        <v>45517</v>
      </c>
      <c r="J1645" s="33" t="s">
        <v>2540</v>
      </c>
      <c r="K1645" s="33" t="s">
        <v>23</v>
      </c>
      <c r="L1645" s="38">
        <f t="shared" si="53"/>
        <v>3143.5808999999995</v>
      </c>
      <c r="M1645" s="38">
        <v>2911.37</v>
      </c>
      <c r="N1645" s="24">
        <f>_xlfn.XLOOKUP(Snitch_Fashion_Sales_cleaned!$J1645,Table2[City],Table2[City_Key],"not found")</f>
        <v>4</v>
      </c>
      <c r="O1645" s="23">
        <f>_xlfn.XLOOKUP(Snitch_Fashion_Sales_cleaned!$D1645,Table4[Product_Name],Table4[Product_Key],"not found")</f>
        <v>16</v>
      </c>
      <c r="P1645" s="32">
        <f>_xlfn.XLOOKUP(Snitch_Fashion_Sales_cleaned!$I1645,Table3[Order_Date],Table3[Date_Key])</f>
        <v>89</v>
      </c>
    </row>
    <row r="1646" spans="1:16" x14ac:dyDescent="0.3">
      <c r="A1646" s="27">
        <v>2644</v>
      </c>
      <c r="B1646" s="25" t="s">
        <v>1674</v>
      </c>
      <c r="C1646" s="25" t="s">
        <v>13</v>
      </c>
      <c r="D1646" s="26" t="s">
        <v>14</v>
      </c>
      <c r="E1646" s="27">
        <v>4</v>
      </c>
      <c r="F1646" s="28">
        <v>2366.6149999999998</v>
      </c>
      <c r="G1646" s="29">
        <v>0.51</v>
      </c>
      <c r="H1646" s="28">
        <f t="shared" si="52"/>
        <v>9466.4599999999991</v>
      </c>
      <c r="I1646" s="30">
        <v>45325</v>
      </c>
      <c r="J1646" s="26" t="s">
        <v>22</v>
      </c>
      <c r="K1646" s="26" t="s">
        <v>23</v>
      </c>
      <c r="L1646" s="31">
        <f t="shared" si="53"/>
        <v>4638.5653999999995</v>
      </c>
      <c r="M1646" s="31">
        <v>2044.35</v>
      </c>
      <c r="N1646" s="22">
        <f>_xlfn.XLOOKUP(Snitch_Fashion_Sales_cleaned!$J1646,Table2[City],Table2[City_Key],"not found")</f>
        <v>3</v>
      </c>
      <c r="O1646" s="21">
        <f>_xlfn.XLOOKUP(Snitch_Fashion_Sales_cleaned!$D1646,Table4[Product_Name],Table4[Product_Key],"not found")</f>
        <v>1</v>
      </c>
      <c r="P1646" s="25">
        <f>_xlfn.XLOOKUP(Snitch_Fashion_Sales_cleaned!$I1646,Table3[Order_Date],Table3[Date_Key])</f>
        <v>503</v>
      </c>
    </row>
    <row r="1647" spans="1:16" x14ac:dyDescent="0.3">
      <c r="A1647" s="34">
        <v>2645</v>
      </c>
      <c r="B1647" s="32" t="s">
        <v>1675</v>
      </c>
      <c r="C1647" s="32" t="s">
        <v>28</v>
      </c>
      <c r="D1647" s="33" t="s">
        <v>39</v>
      </c>
      <c r="E1647" s="34">
        <v>3</v>
      </c>
      <c r="F1647" s="35">
        <v>2577.6350000000002</v>
      </c>
      <c r="G1647" s="36">
        <v>0.98</v>
      </c>
      <c r="H1647" s="35">
        <f t="shared" si="52"/>
        <v>7732.9050000000007</v>
      </c>
      <c r="I1647" s="37">
        <v>45761</v>
      </c>
      <c r="J1647" s="33" t="s">
        <v>18</v>
      </c>
      <c r="K1647" s="33" t="s">
        <v>23</v>
      </c>
      <c r="L1647" s="38">
        <f t="shared" si="53"/>
        <v>154.65810000000016</v>
      </c>
      <c r="M1647" s="38">
        <v>38.66452500000004</v>
      </c>
      <c r="N1647" s="24">
        <f>_xlfn.XLOOKUP(Snitch_Fashion_Sales_cleaned!$J1647,Table2[City],Table2[City_Key],"not found")</f>
        <v>2</v>
      </c>
      <c r="O1647" s="23">
        <f>_xlfn.XLOOKUP(Snitch_Fashion_Sales_cleaned!$D1647,Table4[Product_Name],Table4[Product_Key],"not found")</f>
        <v>8</v>
      </c>
      <c r="P1647" s="32">
        <f>_xlfn.XLOOKUP(Snitch_Fashion_Sales_cleaned!$I1647,Table3[Order_Date],Table3[Date_Key])</f>
        <v>504</v>
      </c>
    </row>
    <row r="1648" spans="1:16" x14ac:dyDescent="0.3">
      <c r="A1648" s="27">
        <v>2646</v>
      </c>
      <c r="B1648" s="25" t="s">
        <v>1676</v>
      </c>
      <c r="C1648" s="25" t="s">
        <v>13</v>
      </c>
      <c r="D1648" s="26" t="s">
        <v>34</v>
      </c>
      <c r="E1648" s="27">
        <v>6</v>
      </c>
      <c r="F1648" s="28">
        <v>3008.6549999999997</v>
      </c>
      <c r="G1648" s="29">
        <v>0.51</v>
      </c>
      <c r="H1648" s="28">
        <f t="shared" si="52"/>
        <v>18051.93</v>
      </c>
      <c r="I1648" s="30">
        <v>45661</v>
      </c>
      <c r="J1648" s="26" t="s">
        <v>15</v>
      </c>
      <c r="K1648" s="26" t="s">
        <v>23</v>
      </c>
      <c r="L1648" s="31">
        <f t="shared" si="53"/>
        <v>8845.4457000000002</v>
      </c>
      <c r="M1648" s="31">
        <v>2299.84</v>
      </c>
      <c r="N1648" s="22">
        <f>_xlfn.XLOOKUP(Snitch_Fashion_Sales_cleaned!$J1648,Table2[City],Table2[City_Key],"not found")</f>
        <v>1</v>
      </c>
      <c r="O1648" s="21">
        <f>_xlfn.XLOOKUP(Snitch_Fashion_Sales_cleaned!$D1648,Table4[Product_Name],Table4[Product_Key],"not found")</f>
        <v>6</v>
      </c>
      <c r="P1648" s="25">
        <f>_xlfn.XLOOKUP(Snitch_Fashion_Sales_cleaned!$I1648,Table3[Order_Date],Table3[Date_Key])</f>
        <v>63</v>
      </c>
    </row>
    <row r="1649" spans="1:16" x14ac:dyDescent="0.3">
      <c r="A1649" s="34">
        <v>2647</v>
      </c>
      <c r="B1649" s="32" t="s">
        <v>1677</v>
      </c>
      <c r="C1649" s="32" t="s">
        <v>28</v>
      </c>
      <c r="D1649" s="33" t="s">
        <v>29</v>
      </c>
      <c r="E1649" s="34">
        <v>5</v>
      </c>
      <c r="F1649" s="35">
        <v>2515.415</v>
      </c>
      <c r="G1649" s="36">
        <v>0.51</v>
      </c>
      <c r="H1649" s="35">
        <f t="shared" si="52"/>
        <v>12577.075000000001</v>
      </c>
      <c r="I1649" s="37">
        <v>45497</v>
      </c>
      <c r="J1649" s="33" t="s">
        <v>52</v>
      </c>
      <c r="K1649" s="33" t="s">
        <v>23</v>
      </c>
      <c r="L1649" s="38">
        <f t="shared" si="53"/>
        <v>6162.7667500000007</v>
      </c>
      <c r="M1649" s="38">
        <v>-102.81</v>
      </c>
      <c r="N1649" s="24">
        <f>_xlfn.XLOOKUP(Snitch_Fashion_Sales_cleaned!$J1649,Table2[City],Table2[City_Key],"not found")</f>
        <v>5</v>
      </c>
      <c r="O1649" s="23">
        <f>_xlfn.XLOOKUP(Snitch_Fashion_Sales_cleaned!$D1649,Table4[Product_Name],Table4[Product_Key],"not found")</f>
        <v>4</v>
      </c>
      <c r="P1649" s="32">
        <f>_xlfn.XLOOKUP(Snitch_Fashion_Sales_cleaned!$I1649,Table3[Order_Date],Table3[Date_Key])</f>
        <v>449</v>
      </c>
    </row>
    <row r="1650" spans="1:16" x14ac:dyDescent="0.3">
      <c r="A1650" s="27">
        <v>2648</v>
      </c>
      <c r="B1650" s="25" t="s">
        <v>1678</v>
      </c>
      <c r="C1650" s="25" t="s">
        <v>13</v>
      </c>
      <c r="D1650" s="26" t="s">
        <v>46</v>
      </c>
      <c r="E1650" s="27">
        <v>4</v>
      </c>
      <c r="F1650" s="28">
        <v>4899.84</v>
      </c>
      <c r="G1650" s="29">
        <v>0.51</v>
      </c>
      <c r="H1650" s="28">
        <f t="shared" si="52"/>
        <v>19599.36</v>
      </c>
      <c r="I1650" s="30">
        <v>45671</v>
      </c>
      <c r="J1650" s="26" t="s">
        <v>18</v>
      </c>
      <c r="K1650" s="26" t="s">
        <v>16</v>
      </c>
      <c r="L1650" s="31">
        <f t="shared" si="53"/>
        <v>9603.6864000000005</v>
      </c>
      <c r="M1650" s="31">
        <v>1775.2</v>
      </c>
      <c r="N1650" s="22">
        <f>_xlfn.XLOOKUP(Snitch_Fashion_Sales_cleaned!$J1650,Table2[City],Table2[City_Key],"not found")</f>
        <v>2</v>
      </c>
      <c r="O1650" s="21">
        <f>_xlfn.XLOOKUP(Snitch_Fashion_Sales_cleaned!$D1650,Table4[Product_Name],Table4[Product_Key],"not found")</f>
        <v>10</v>
      </c>
      <c r="P1650" s="25">
        <f>_xlfn.XLOOKUP(Snitch_Fashion_Sales_cleaned!$I1650,Table3[Order_Date],Table3[Date_Key])</f>
        <v>125</v>
      </c>
    </row>
    <row r="1651" spans="1:16" x14ac:dyDescent="0.3">
      <c r="A1651" s="34">
        <v>2649</v>
      </c>
      <c r="B1651" s="32" t="s">
        <v>1679</v>
      </c>
      <c r="C1651" s="32" t="s">
        <v>28</v>
      </c>
      <c r="D1651" s="33" t="s">
        <v>39</v>
      </c>
      <c r="E1651" s="34">
        <v>3</v>
      </c>
      <c r="F1651" s="35">
        <v>3838.55</v>
      </c>
      <c r="G1651" s="36">
        <v>0.91</v>
      </c>
      <c r="H1651" s="35">
        <f t="shared" si="52"/>
        <v>11515.650000000001</v>
      </c>
      <c r="I1651" s="37">
        <v>45504</v>
      </c>
      <c r="J1651" s="33" t="s">
        <v>43</v>
      </c>
      <c r="K1651" s="33" t="s">
        <v>16</v>
      </c>
      <c r="L1651" s="38">
        <f t="shared" si="53"/>
        <v>1036.4084999999998</v>
      </c>
      <c r="M1651" s="38">
        <v>259.10212499999994</v>
      </c>
      <c r="N1651" s="24">
        <f>_xlfn.XLOOKUP(Snitch_Fashion_Sales_cleaned!$J1651,Table2[City],Table2[City_Key],"not found")</f>
        <v>6</v>
      </c>
      <c r="O1651" s="23">
        <f>_xlfn.XLOOKUP(Snitch_Fashion_Sales_cleaned!$D1651,Table4[Product_Name],Table4[Product_Key],"not found")</f>
        <v>8</v>
      </c>
      <c r="P1651" s="32">
        <f>_xlfn.XLOOKUP(Snitch_Fashion_Sales_cleaned!$I1651,Table3[Order_Date],Table3[Date_Key])</f>
        <v>505</v>
      </c>
    </row>
    <row r="1652" spans="1:16" x14ac:dyDescent="0.3">
      <c r="A1652" s="27">
        <v>2650</v>
      </c>
      <c r="B1652" s="25" t="s">
        <v>1680</v>
      </c>
      <c r="C1652" s="25" t="s">
        <v>25</v>
      </c>
      <c r="D1652" s="26" t="s">
        <v>62</v>
      </c>
      <c r="E1652" s="27">
        <v>4</v>
      </c>
      <c r="F1652" s="28">
        <v>2538.0450000000001</v>
      </c>
      <c r="G1652" s="29">
        <v>0.51</v>
      </c>
      <c r="H1652" s="28">
        <f t="shared" si="52"/>
        <v>10152.18</v>
      </c>
      <c r="I1652" s="30">
        <v>45700</v>
      </c>
      <c r="J1652" s="26" t="s">
        <v>2540</v>
      </c>
      <c r="K1652" s="26" t="s">
        <v>16</v>
      </c>
      <c r="L1652" s="31">
        <f t="shared" si="53"/>
        <v>4974.5681999999997</v>
      </c>
      <c r="M1652" s="31">
        <v>2003.15</v>
      </c>
      <c r="N1652" s="22">
        <f>_xlfn.XLOOKUP(Snitch_Fashion_Sales_cleaned!$J1652,Table2[City],Table2[City_Key],"not found")</f>
        <v>4</v>
      </c>
      <c r="O1652" s="21">
        <f>_xlfn.XLOOKUP(Snitch_Fashion_Sales_cleaned!$D1652,Table4[Product_Name],Table4[Product_Key],"not found")</f>
        <v>14</v>
      </c>
      <c r="P1652" s="25">
        <f>_xlfn.XLOOKUP(Snitch_Fashion_Sales_cleaned!$I1652,Table3[Order_Date],Table3[Date_Key])</f>
        <v>39</v>
      </c>
    </row>
    <row r="1653" spans="1:16" x14ac:dyDescent="0.3">
      <c r="A1653" s="34">
        <v>1040</v>
      </c>
      <c r="B1653" s="32" t="s">
        <v>1681</v>
      </c>
      <c r="C1653" s="32" t="s">
        <v>20</v>
      </c>
      <c r="D1653" s="33" t="s">
        <v>21</v>
      </c>
      <c r="E1653" s="34">
        <v>4</v>
      </c>
      <c r="F1653" s="35">
        <v>1640.04</v>
      </c>
      <c r="G1653" s="36">
        <v>0.51</v>
      </c>
      <c r="H1653" s="35">
        <f t="shared" si="52"/>
        <v>6560.16</v>
      </c>
      <c r="I1653" s="37">
        <v>45747</v>
      </c>
      <c r="J1653" s="33" t="s">
        <v>2540</v>
      </c>
      <c r="K1653" s="33" t="s">
        <v>16</v>
      </c>
      <c r="L1653" s="38">
        <f t="shared" si="53"/>
        <v>3214.4784</v>
      </c>
      <c r="M1653" s="38">
        <v>288.44</v>
      </c>
      <c r="N1653" s="24">
        <f>_xlfn.XLOOKUP(Snitch_Fashion_Sales_cleaned!$J1653,Table2[City],Table2[City_Key],"not found")</f>
        <v>4</v>
      </c>
      <c r="O1653" s="23">
        <f>_xlfn.XLOOKUP(Snitch_Fashion_Sales_cleaned!$D1653,Table4[Product_Name],Table4[Product_Key],"not found")</f>
        <v>2</v>
      </c>
      <c r="P1653" s="32">
        <f>_xlfn.XLOOKUP(Snitch_Fashion_Sales_cleaned!$I1653,Table3[Order_Date],Table3[Date_Key])</f>
        <v>127</v>
      </c>
    </row>
    <row r="1654" spans="1:16" x14ac:dyDescent="0.3">
      <c r="A1654" s="27">
        <v>2652</v>
      </c>
      <c r="B1654" s="25" t="s">
        <v>1682</v>
      </c>
      <c r="C1654" s="25" t="s">
        <v>13</v>
      </c>
      <c r="D1654" s="26" t="s">
        <v>34</v>
      </c>
      <c r="E1654" s="27">
        <v>3</v>
      </c>
      <c r="F1654" s="28">
        <v>3008.6549999999997</v>
      </c>
      <c r="G1654" s="29">
        <v>0.51</v>
      </c>
      <c r="H1654" s="28">
        <f t="shared" si="52"/>
        <v>9025.9650000000001</v>
      </c>
      <c r="I1654" s="30">
        <v>45647</v>
      </c>
      <c r="J1654" s="26" t="s">
        <v>18</v>
      </c>
      <c r="K1654" s="26" t="s">
        <v>16</v>
      </c>
      <c r="L1654" s="31">
        <f t="shared" si="53"/>
        <v>4422.7228500000001</v>
      </c>
      <c r="M1654" s="31">
        <v>1472.41</v>
      </c>
      <c r="N1654" s="22">
        <f>_xlfn.XLOOKUP(Snitch_Fashion_Sales_cleaned!$J1654,Table2[City],Table2[City_Key],"not found")</f>
        <v>2</v>
      </c>
      <c r="O1654" s="21">
        <f>_xlfn.XLOOKUP(Snitch_Fashion_Sales_cleaned!$D1654,Table4[Product_Name],Table4[Product_Key],"not found")</f>
        <v>6</v>
      </c>
      <c r="P1654" s="25">
        <f>_xlfn.XLOOKUP(Snitch_Fashion_Sales_cleaned!$I1654,Table3[Order_Date],Table3[Date_Key])</f>
        <v>5</v>
      </c>
    </row>
    <row r="1655" spans="1:16" x14ac:dyDescent="0.3">
      <c r="A1655" s="34">
        <v>2653</v>
      </c>
      <c r="B1655" s="32" t="s">
        <v>1683</v>
      </c>
      <c r="C1655" s="32" t="s">
        <v>31</v>
      </c>
      <c r="D1655" s="33" t="s">
        <v>41</v>
      </c>
      <c r="E1655" s="34">
        <v>3</v>
      </c>
      <c r="F1655" s="35">
        <v>3027.66</v>
      </c>
      <c r="G1655" s="36">
        <v>0.03</v>
      </c>
      <c r="H1655" s="35">
        <f t="shared" si="52"/>
        <v>9082.98</v>
      </c>
      <c r="I1655" s="37">
        <v>45529</v>
      </c>
      <c r="J1655" s="33" t="s">
        <v>43</v>
      </c>
      <c r="K1655" s="33" t="s">
        <v>23</v>
      </c>
      <c r="L1655" s="38">
        <f t="shared" si="53"/>
        <v>8810.4905999999992</v>
      </c>
      <c r="M1655" s="38">
        <v>-327.41000000000003</v>
      </c>
      <c r="N1655" s="24">
        <f>_xlfn.XLOOKUP(Snitch_Fashion_Sales_cleaned!$J1655,Table2[City],Table2[City_Key],"not found")</f>
        <v>6</v>
      </c>
      <c r="O1655" s="23">
        <f>_xlfn.XLOOKUP(Snitch_Fashion_Sales_cleaned!$D1655,Table4[Product_Name],Table4[Product_Key],"not found")</f>
        <v>9</v>
      </c>
      <c r="P1655" s="32">
        <f>_xlfn.XLOOKUP(Snitch_Fashion_Sales_cleaned!$I1655,Table3[Order_Date],Table3[Date_Key])</f>
        <v>506</v>
      </c>
    </row>
    <row r="1656" spans="1:16" x14ac:dyDescent="0.3">
      <c r="A1656" s="27">
        <v>2654</v>
      </c>
      <c r="B1656" s="25" t="s">
        <v>1684</v>
      </c>
      <c r="C1656" s="25" t="s">
        <v>25</v>
      </c>
      <c r="D1656" s="26" t="s">
        <v>62</v>
      </c>
      <c r="E1656" s="27">
        <v>6</v>
      </c>
      <c r="F1656" s="28">
        <v>2538.0450000000001</v>
      </c>
      <c r="G1656" s="29">
        <v>0.31</v>
      </c>
      <c r="H1656" s="28">
        <f t="shared" si="52"/>
        <v>15228.27</v>
      </c>
      <c r="I1656" s="30">
        <v>45692</v>
      </c>
      <c r="J1656" s="26" t="s">
        <v>52</v>
      </c>
      <c r="K1656" s="26" t="s">
        <v>23</v>
      </c>
      <c r="L1656" s="31">
        <f t="shared" si="53"/>
        <v>10507.506299999999</v>
      </c>
      <c r="M1656" s="31">
        <v>250.85</v>
      </c>
      <c r="N1656" s="22">
        <f>_xlfn.XLOOKUP(Snitch_Fashion_Sales_cleaned!$J1656,Table2[City],Table2[City_Key],"not found")</f>
        <v>5</v>
      </c>
      <c r="O1656" s="21">
        <f>_xlfn.XLOOKUP(Snitch_Fashion_Sales_cleaned!$D1656,Table4[Product_Name],Table4[Product_Key],"not found")</f>
        <v>14</v>
      </c>
      <c r="P1656" s="25">
        <f>_xlfn.XLOOKUP(Snitch_Fashion_Sales_cleaned!$I1656,Table3[Order_Date],Table3[Date_Key])</f>
        <v>152</v>
      </c>
    </row>
    <row r="1657" spans="1:16" x14ac:dyDescent="0.3">
      <c r="A1657" s="34">
        <v>2655</v>
      </c>
      <c r="B1657" s="32" t="s">
        <v>1685</v>
      </c>
      <c r="C1657" s="32" t="s">
        <v>28</v>
      </c>
      <c r="D1657" s="33" t="s">
        <v>137</v>
      </c>
      <c r="E1657" s="34">
        <v>4</v>
      </c>
      <c r="F1657" s="35">
        <v>2338.04</v>
      </c>
      <c r="G1657" s="36">
        <v>0.51</v>
      </c>
      <c r="H1657" s="35">
        <f t="shared" si="52"/>
        <v>9352.16</v>
      </c>
      <c r="I1657" s="37">
        <v>45647</v>
      </c>
      <c r="J1657" s="33" t="s">
        <v>15</v>
      </c>
      <c r="K1657" s="33" t="s">
        <v>23</v>
      </c>
      <c r="L1657" s="38">
        <f t="shared" si="53"/>
        <v>4582.5583999999999</v>
      </c>
      <c r="M1657" s="38">
        <v>-630.72</v>
      </c>
      <c r="N1657" s="24">
        <f>_xlfn.XLOOKUP(Snitch_Fashion_Sales_cleaned!$J1657,Table2[City],Table2[City_Key],"not found")</f>
        <v>1</v>
      </c>
      <c r="O1657" s="23">
        <f>_xlfn.XLOOKUP(Snitch_Fashion_Sales_cleaned!$D1657,Table4[Product_Name],Table4[Product_Key],"not found")</f>
        <v>24</v>
      </c>
      <c r="P1657" s="32">
        <f>_xlfn.XLOOKUP(Snitch_Fashion_Sales_cleaned!$I1657,Table3[Order_Date],Table3[Date_Key])</f>
        <v>5</v>
      </c>
    </row>
    <row r="1658" spans="1:16" x14ac:dyDescent="0.3">
      <c r="A1658" s="27">
        <v>2656</v>
      </c>
      <c r="B1658" s="25" t="s">
        <v>1686</v>
      </c>
      <c r="C1658" s="25" t="s">
        <v>25</v>
      </c>
      <c r="D1658" s="26" t="s">
        <v>50</v>
      </c>
      <c r="E1658" s="27">
        <v>4</v>
      </c>
      <c r="F1658" s="28">
        <v>2666.2200000000003</v>
      </c>
      <c r="G1658" s="29">
        <v>0.51</v>
      </c>
      <c r="H1658" s="28">
        <f t="shared" si="52"/>
        <v>10664.880000000001</v>
      </c>
      <c r="I1658" s="30">
        <v>45757</v>
      </c>
      <c r="J1658" s="26" t="s">
        <v>18</v>
      </c>
      <c r="K1658" s="26" t="s">
        <v>23</v>
      </c>
      <c r="L1658" s="31">
        <f t="shared" si="53"/>
        <v>5225.7912000000006</v>
      </c>
      <c r="M1658" s="31">
        <v>1096.6099999999999</v>
      </c>
      <c r="N1658" s="22">
        <f>_xlfn.XLOOKUP(Snitch_Fashion_Sales_cleaned!$J1658,Table2[City],Table2[City_Key],"not found")</f>
        <v>2</v>
      </c>
      <c r="O1658" s="21">
        <f>_xlfn.XLOOKUP(Snitch_Fashion_Sales_cleaned!$D1658,Table4[Product_Name],Table4[Product_Key],"not found")</f>
        <v>11</v>
      </c>
      <c r="P1658" s="25">
        <f>_xlfn.XLOOKUP(Snitch_Fashion_Sales_cleaned!$I1658,Table3[Order_Date],Table3[Date_Key])</f>
        <v>382</v>
      </c>
    </row>
    <row r="1659" spans="1:16" x14ac:dyDescent="0.3">
      <c r="A1659" s="34">
        <v>1033</v>
      </c>
      <c r="B1659" s="32" t="s">
        <v>1687</v>
      </c>
      <c r="C1659" s="32" t="s">
        <v>36</v>
      </c>
      <c r="D1659" s="33" t="s">
        <v>37</v>
      </c>
      <c r="E1659" s="34">
        <v>4</v>
      </c>
      <c r="F1659" s="35">
        <v>3863.95</v>
      </c>
      <c r="G1659" s="36">
        <v>0.9</v>
      </c>
      <c r="H1659" s="35">
        <f t="shared" si="52"/>
        <v>15455.8</v>
      </c>
      <c r="I1659" s="37">
        <v>45647</v>
      </c>
      <c r="J1659" s="33" t="s">
        <v>43</v>
      </c>
      <c r="K1659" s="33" t="s">
        <v>23</v>
      </c>
      <c r="L1659" s="38">
        <f t="shared" si="53"/>
        <v>1545.5799999999995</v>
      </c>
      <c r="M1659" s="38">
        <v>386.39499999999987</v>
      </c>
      <c r="N1659" s="24">
        <f>_xlfn.XLOOKUP(Snitch_Fashion_Sales_cleaned!$J1659,Table2[City],Table2[City_Key],"not found")</f>
        <v>6</v>
      </c>
      <c r="O1659" s="23">
        <f>_xlfn.XLOOKUP(Snitch_Fashion_Sales_cleaned!$D1659,Table4[Product_Name],Table4[Product_Key],"not found")</f>
        <v>7</v>
      </c>
      <c r="P1659" s="32">
        <f>_xlfn.XLOOKUP(Snitch_Fashion_Sales_cleaned!$I1659,Table3[Order_Date],Table3[Date_Key])</f>
        <v>5</v>
      </c>
    </row>
    <row r="1660" spans="1:16" x14ac:dyDescent="0.3">
      <c r="A1660" s="27">
        <v>2658</v>
      </c>
      <c r="B1660" s="25" t="s">
        <v>1688</v>
      </c>
      <c r="C1660" s="25" t="s">
        <v>13</v>
      </c>
      <c r="D1660" s="26" t="s">
        <v>98</v>
      </c>
      <c r="E1660" s="27">
        <v>5</v>
      </c>
      <c r="F1660" s="28">
        <v>3726.31</v>
      </c>
      <c r="G1660" s="29">
        <v>0.51</v>
      </c>
      <c r="H1660" s="28">
        <f t="shared" si="52"/>
        <v>18631.55</v>
      </c>
      <c r="I1660" s="30">
        <v>45647</v>
      </c>
      <c r="J1660" s="26" t="s">
        <v>22</v>
      </c>
      <c r="K1660" s="26" t="s">
        <v>16</v>
      </c>
      <c r="L1660" s="31">
        <f t="shared" si="53"/>
        <v>9129.459499999999</v>
      </c>
      <c r="M1660" s="31">
        <v>1524.78</v>
      </c>
      <c r="N1660" s="22">
        <f>_xlfn.XLOOKUP(Snitch_Fashion_Sales_cleaned!$J1660,Table2[City],Table2[City_Key],"not found")</f>
        <v>3</v>
      </c>
      <c r="O1660" s="21">
        <f>_xlfn.XLOOKUP(Snitch_Fashion_Sales_cleaned!$D1660,Table4[Product_Name],Table4[Product_Key],"not found")</f>
        <v>21</v>
      </c>
      <c r="P1660" s="25">
        <f>_xlfn.XLOOKUP(Snitch_Fashion_Sales_cleaned!$I1660,Table3[Order_Date],Table3[Date_Key])</f>
        <v>5</v>
      </c>
    </row>
    <row r="1661" spans="1:16" x14ac:dyDescent="0.3">
      <c r="A1661" s="34">
        <v>2659</v>
      </c>
      <c r="B1661" s="32" t="s">
        <v>1689</v>
      </c>
      <c r="C1661" s="32" t="s">
        <v>31</v>
      </c>
      <c r="D1661" s="33" t="s">
        <v>68</v>
      </c>
      <c r="E1661" s="34">
        <v>4</v>
      </c>
      <c r="F1661" s="35">
        <v>1059.0899999999999</v>
      </c>
      <c r="G1661" s="36">
        <v>0.51</v>
      </c>
      <c r="H1661" s="35">
        <f t="shared" si="52"/>
        <v>4236.3599999999997</v>
      </c>
      <c r="I1661" s="37">
        <v>45856</v>
      </c>
      <c r="J1661" s="33" t="s">
        <v>15</v>
      </c>
      <c r="K1661" s="33" t="s">
        <v>16</v>
      </c>
      <c r="L1661" s="38">
        <f t="shared" si="53"/>
        <v>2075.8163999999997</v>
      </c>
      <c r="M1661" s="38">
        <v>-521.41</v>
      </c>
      <c r="N1661" s="24">
        <f>_xlfn.XLOOKUP(Snitch_Fashion_Sales_cleaned!$J1661,Table2[City],Table2[City_Key],"not found")</f>
        <v>1</v>
      </c>
      <c r="O1661" s="23">
        <f>_xlfn.XLOOKUP(Snitch_Fashion_Sales_cleaned!$D1661,Table4[Product_Name],Table4[Product_Key],"not found")</f>
        <v>15</v>
      </c>
      <c r="P1661" s="32">
        <f>_xlfn.XLOOKUP(Snitch_Fashion_Sales_cleaned!$I1661,Table3[Order_Date],Table3[Date_Key])</f>
        <v>18</v>
      </c>
    </row>
    <row r="1662" spans="1:16" x14ac:dyDescent="0.3">
      <c r="A1662" s="27">
        <v>2660</v>
      </c>
      <c r="B1662" s="25" t="s">
        <v>1690</v>
      </c>
      <c r="C1662" s="25" t="s">
        <v>31</v>
      </c>
      <c r="D1662" s="26" t="s">
        <v>78</v>
      </c>
      <c r="E1662" s="27">
        <v>4</v>
      </c>
      <c r="F1662" s="28">
        <v>2599.75</v>
      </c>
      <c r="G1662" s="29">
        <v>0.51</v>
      </c>
      <c r="H1662" s="28">
        <f t="shared" si="52"/>
        <v>10399</v>
      </c>
      <c r="I1662" s="30">
        <v>45647</v>
      </c>
      <c r="J1662" s="26" t="s">
        <v>52</v>
      </c>
      <c r="K1662" s="26" t="s">
        <v>23</v>
      </c>
      <c r="L1662" s="31">
        <f t="shared" si="53"/>
        <v>5095.51</v>
      </c>
      <c r="M1662" s="31">
        <v>1006.1</v>
      </c>
      <c r="N1662" s="22">
        <f>_xlfn.XLOOKUP(Snitch_Fashion_Sales_cleaned!$J1662,Table2[City],Table2[City_Key],"not found")</f>
        <v>5</v>
      </c>
      <c r="O1662" s="21">
        <f>_xlfn.XLOOKUP(Snitch_Fashion_Sales_cleaned!$D1662,Table4[Product_Name],Table4[Product_Key],"not found")</f>
        <v>17</v>
      </c>
      <c r="P1662" s="25">
        <f>_xlfn.XLOOKUP(Snitch_Fashion_Sales_cleaned!$I1662,Table3[Order_Date],Table3[Date_Key])</f>
        <v>5</v>
      </c>
    </row>
    <row r="1663" spans="1:16" x14ac:dyDescent="0.3">
      <c r="A1663" s="34">
        <v>2661</v>
      </c>
      <c r="B1663" s="32" t="s">
        <v>1691</v>
      </c>
      <c r="C1663" s="32" t="s">
        <v>36</v>
      </c>
      <c r="D1663" s="33" t="s">
        <v>37</v>
      </c>
      <c r="E1663" s="34">
        <v>4</v>
      </c>
      <c r="F1663" s="35">
        <v>2975.64</v>
      </c>
      <c r="G1663" s="36">
        <v>0.51</v>
      </c>
      <c r="H1663" s="35">
        <f t="shared" si="52"/>
        <v>11902.56</v>
      </c>
      <c r="I1663" s="37">
        <v>45765</v>
      </c>
      <c r="J1663" s="33" t="s">
        <v>18</v>
      </c>
      <c r="K1663" s="33" t="s">
        <v>23</v>
      </c>
      <c r="L1663" s="38">
        <f t="shared" si="53"/>
        <v>5832.2543999999998</v>
      </c>
      <c r="M1663" s="38">
        <v>1249.5899999999999</v>
      </c>
      <c r="N1663" s="24">
        <f>_xlfn.XLOOKUP(Snitch_Fashion_Sales_cleaned!$J1663,Table2[City],Table2[City_Key],"not found")</f>
        <v>2</v>
      </c>
      <c r="O1663" s="23">
        <f>_xlfn.XLOOKUP(Snitch_Fashion_Sales_cleaned!$D1663,Table4[Product_Name],Table4[Product_Key],"not found")</f>
        <v>7</v>
      </c>
      <c r="P1663" s="32">
        <f>_xlfn.XLOOKUP(Snitch_Fashion_Sales_cleaned!$I1663,Table3[Order_Date],Table3[Date_Key])</f>
        <v>142</v>
      </c>
    </row>
    <row r="1664" spans="1:16" x14ac:dyDescent="0.3">
      <c r="A1664" s="27">
        <v>2662</v>
      </c>
      <c r="B1664" s="25" t="s">
        <v>1692</v>
      </c>
      <c r="C1664" s="25" t="s">
        <v>31</v>
      </c>
      <c r="D1664" s="26" t="s">
        <v>32</v>
      </c>
      <c r="E1664" s="27">
        <v>4</v>
      </c>
      <c r="F1664" s="28">
        <v>2718.51</v>
      </c>
      <c r="G1664" s="29">
        <v>0.51</v>
      </c>
      <c r="H1664" s="28">
        <f t="shared" si="52"/>
        <v>10874.04</v>
      </c>
      <c r="I1664" s="30">
        <v>45841</v>
      </c>
      <c r="J1664" s="26" t="s">
        <v>43</v>
      </c>
      <c r="K1664" s="26" t="s">
        <v>16</v>
      </c>
      <c r="L1664" s="31">
        <f t="shared" si="53"/>
        <v>5328.2796000000008</v>
      </c>
      <c r="M1664" s="31">
        <v>903.59</v>
      </c>
      <c r="N1664" s="22">
        <f>_xlfn.XLOOKUP(Snitch_Fashion_Sales_cleaned!$J1664,Table2[City],Table2[City_Key],"not found")</f>
        <v>6</v>
      </c>
      <c r="O1664" s="21">
        <f>_xlfn.XLOOKUP(Snitch_Fashion_Sales_cleaned!$D1664,Table4[Product_Name],Table4[Product_Key],"not found")</f>
        <v>5</v>
      </c>
      <c r="P1664" s="25">
        <f>_xlfn.XLOOKUP(Snitch_Fashion_Sales_cleaned!$I1664,Table3[Order_Date],Table3[Date_Key])</f>
        <v>221</v>
      </c>
    </row>
    <row r="1665" spans="1:16" x14ac:dyDescent="0.3">
      <c r="A1665" s="34">
        <v>2663</v>
      </c>
      <c r="B1665" s="32" t="s">
        <v>1693</v>
      </c>
      <c r="C1665" s="32" t="s">
        <v>28</v>
      </c>
      <c r="D1665" s="33" t="s">
        <v>39</v>
      </c>
      <c r="E1665" s="34">
        <v>3</v>
      </c>
      <c r="F1665" s="35">
        <v>2212.25</v>
      </c>
      <c r="G1665" s="36">
        <v>0.35</v>
      </c>
      <c r="H1665" s="35">
        <f t="shared" si="52"/>
        <v>6636.75</v>
      </c>
      <c r="I1665" s="37">
        <v>45602</v>
      </c>
      <c r="J1665" s="33" t="s">
        <v>22</v>
      </c>
      <c r="K1665" s="33" t="s">
        <v>16</v>
      </c>
      <c r="L1665" s="38">
        <f t="shared" si="53"/>
        <v>4313.8874999999998</v>
      </c>
      <c r="M1665" s="38">
        <v>2992.12</v>
      </c>
      <c r="N1665" s="24">
        <f>_xlfn.XLOOKUP(Snitch_Fashion_Sales_cleaned!$J1665,Table2[City],Table2[City_Key],"not found")</f>
        <v>3</v>
      </c>
      <c r="O1665" s="23">
        <f>_xlfn.XLOOKUP(Snitch_Fashion_Sales_cleaned!$D1665,Table4[Product_Name],Table4[Product_Key],"not found")</f>
        <v>8</v>
      </c>
      <c r="P1665" s="32">
        <f>_xlfn.XLOOKUP(Snitch_Fashion_Sales_cleaned!$I1665,Table3[Order_Date],Table3[Date_Key])</f>
        <v>91</v>
      </c>
    </row>
    <row r="1666" spans="1:16" x14ac:dyDescent="0.3">
      <c r="A1666" s="27">
        <v>2664</v>
      </c>
      <c r="B1666" s="25" t="s">
        <v>1694</v>
      </c>
      <c r="C1666" s="25" t="s">
        <v>25</v>
      </c>
      <c r="D1666" s="26" t="s">
        <v>82</v>
      </c>
      <c r="E1666" s="27">
        <v>2</v>
      </c>
      <c r="F1666" s="28">
        <v>2385.5749999999998</v>
      </c>
      <c r="G1666" s="29">
        <v>0.51</v>
      </c>
      <c r="H1666" s="28">
        <f t="shared" si="52"/>
        <v>4771.1499999999996</v>
      </c>
      <c r="I1666" s="30">
        <v>45382</v>
      </c>
      <c r="J1666" s="26" t="s">
        <v>52</v>
      </c>
      <c r="K1666" s="26" t="s">
        <v>16</v>
      </c>
      <c r="L1666" s="31">
        <f t="shared" si="53"/>
        <v>2337.8634999999999</v>
      </c>
      <c r="M1666" s="31">
        <v>-338.97</v>
      </c>
      <c r="N1666" s="22">
        <f>_xlfn.XLOOKUP(Snitch_Fashion_Sales_cleaned!$J1666,Table2[City],Table2[City_Key],"not found")</f>
        <v>5</v>
      </c>
      <c r="O1666" s="21">
        <f>_xlfn.XLOOKUP(Snitch_Fashion_Sales_cleaned!$D1666,Table4[Product_Name],Table4[Product_Key],"not found")</f>
        <v>18</v>
      </c>
      <c r="P1666" s="25">
        <f>_xlfn.XLOOKUP(Snitch_Fashion_Sales_cleaned!$I1666,Table3[Order_Date],Table3[Date_Key])</f>
        <v>507</v>
      </c>
    </row>
    <row r="1667" spans="1:16" x14ac:dyDescent="0.3">
      <c r="A1667" s="34">
        <v>2665</v>
      </c>
      <c r="B1667" s="32" t="s">
        <v>1695</v>
      </c>
      <c r="C1667" s="32" t="s">
        <v>20</v>
      </c>
      <c r="D1667" s="33" t="s">
        <v>84</v>
      </c>
      <c r="E1667" s="34">
        <v>3</v>
      </c>
      <c r="F1667" s="35">
        <v>2537.59</v>
      </c>
      <c r="G1667" s="36">
        <v>0.51</v>
      </c>
      <c r="H1667" s="35">
        <f t="shared" si="52"/>
        <v>7612.77</v>
      </c>
      <c r="I1667" s="37">
        <v>45827</v>
      </c>
      <c r="J1667" s="33" t="s">
        <v>43</v>
      </c>
      <c r="K1667" s="33" t="s">
        <v>16</v>
      </c>
      <c r="L1667" s="38">
        <f t="shared" si="53"/>
        <v>3730.2573000000002</v>
      </c>
      <c r="M1667" s="38">
        <v>122</v>
      </c>
      <c r="N1667" s="24">
        <f>_xlfn.XLOOKUP(Snitch_Fashion_Sales_cleaned!$J1667,Table2[City],Table2[City_Key],"not found")</f>
        <v>6</v>
      </c>
      <c r="O1667" s="23">
        <f>_xlfn.XLOOKUP(Snitch_Fashion_Sales_cleaned!$D1667,Table4[Product_Name],Table4[Product_Key],"not found")</f>
        <v>19</v>
      </c>
      <c r="P1667" s="32">
        <f>_xlfn.XLOOKUP(Snitch_Fashion_Sales_cleaned!$I1667,Table3[Order_Date],Table3[Date_Key])</f>
        <v>247</v>
      </c>
    </row>
    <row r="1668" spans="1:16" x14ac:dyDescent="0.3">
      <c r="A1668" s="27">
        <v>2666</v>
      </c>
      <c r="B1668" s="25" t="s">
        <v>1696</v>
      </c>
      <c r="C1668" s="25" t="s">
        <v>36</v>
      </c>
      <c r="D1668" s="26" t="s">
        <v>59</v>
      </c>
      <c r="E1668" s="27">
        <v>3</v>
      </c>
      <c r="F1668" s="28">
        <v>2765.26</v>
      </c>
      <c r="G1668" s="29">
        <v>0.51</v>
      </c>
      <c r="H1668" s="28">
        <f t="shared" si="52"/>
        <v>8295.7800000000007</v>
      </c>
      <c r="I1668" s="30">
        <v>45647</v>
      </c>
      <c r="J1668" s="26" t="s">
        <v>43</v>
      </c>
      <c r="K1668" s="26" t="s">
        <v>23</v>
      </c>
      <c r="L1668" s="31">
        <f t="shared" si="53"/>
        <v>4064.9322000000002</v>
      </c>
      <c r="M1668" s="31">
        <v>1989.64</v>
      </c>
      <c r="N1668" s="22">
        <f>_xlfn.XLOOKUP(Snitch_Fashion_Sales_cleaned!$J1668,Table2[City],Table2[City_Key],"not found")</f>
        <v>6</v>
      </c>
      <c r="O1668" s="21">
        <f>_xlfn.XLOOKUP(Snitch_Fashion_Sales_cleaned!$D1668,Table4[Product_Name],Table4[Product_Key],"not found")</f>
        <v>13</v>
      </c>
      <c r="P1668" s="25">
        <f>_xlfn.XLOOKUP(Snitch_Fashion_Sales_cleaned!$I1668,Table3[Order_Date],Table3[Date_Key])</f>
        <v>5</v>
      </c>
    </row>
    <row r="1669" spans="1:16" x14ac:dyDescent="0.3">
      <c r="A1669" s="34">
        <v>2667</v>
      </c>
      <c r="B1669" s="32" t="s">
        <v>1697</v>
      </c>
      <c r="C1669" s="32" t="s">
        <v>31</v>
      </c>
      <c r="D1669" s="33" t="s">
        <v>78</v>
      </c>
      <c r="E1669" s="34">
        <v>1</v>
      </c>
      <c r="F1669" s="35">
        <v>4710.7700000000004</v>
      </c>
      <c r="G1669" s="36">
        <v>0.51</v>
      </c>
      <c r="H1669" s="35">
        <f t="shared" si="52"/>
        <v>4710.7700000000004</v>
      </c>
      <c r="I1669" s="37">
        <v>45647</v>
      </c>
      <c r="J1669" s="33" t="s">
        <v>18</v>
      </c>
      <c r="K1669" s="33" t="s">
        <v>23</v>
      </c>
      <c r="L1669" s="38">
        <f t="shared" si="53"/>
        <v>2308.2773000000002</v>
      </c>
      <c r="M1669" s="38">
        <v>577.06932500000005</v>
      </c>
      <c r="N1669" s="24">
        <f>_xlfn.XLOOKUP(Snitch_Fashion_Sales_cleaned!$J1669,Table2[City],Table2[City_Key],"not found")</f>
        <v>2</v>
      </c>
      <c r="O1669" s="23">
        <f>_xlfn.XLOOKUP(Snitch_Fashion_Sales_cleaned!$D1669,Table4[Product_Name],Table4[Product_Key],"not found")</f>
        <v>17</v>
      </c>
      <c r="P1669" s="32">
        <f>_xlfn.XLOOKUP(Snitch_Fashion_Sales_cleaned!$I1669,Table3[Order_Date],Table3[Date_Key])</f>
        <v>5</v>
      </c>
    </row>
    <row r="1670" spans="1:16" x14ac:dyDescent="0.3">
      <c r="A1670" s="27">
        <v>2668</v>
      </c>
      <c r="B1670" s="25" t="s">
        <v>1698</v>
      </c>
      <c r="C1670" s="25" t="s">
        <v>31</v>
      </c>
      <c r="D1670" s="26" t="s">
        <v>68</v>
      </c>
      <c r="E1670" s="27">
        <v>1</v>
      </c>
      <c r="F1670" s="28">
        <v>2765.79</v>
      </c>
      <c r="G1670" s="29">
        <v>0.64</v>
      </c>
      <c r="H1670" s="28">
        <f t="shared" ref="H1670:H1733" si="54">E1670*F1670</f>
        <v>2765.79</v>
      </c>
      <c r="I1670" s="30">
        <v>45282</v>
      </c>
      <c r="J1670" s="26" t="s">
        <v>18</v>
      </c>
      <c r="K1670" s="26" t="s">
        <v>16</v>
      </c>
      <c r="L1670" s="31">
        <f t="shared" ref="L1670:L1733" si="55">H1670*(1-G1670)</f>
        <v>995.68439999999998</v>
      </c>
      <c r="M1670" s="31">
        <v>-3.95</v>
      </c>
      <c r="N1670" s="22">
        <f>_xlfn.XLOOKUP(Snitch_Fashion_Sales_cleaned!$J1670,Table2[City],Table2[City_Key],"not found")</f>
        <v>2</v>
      </c>
      <c r="O1670" s="21">
        <f>_xlfn.XLOOKUP(Snitch_Fashion_Sales_cleaned!$D1670,Table4[Product_Name],Table4[Product_Key],"not found")</f>
        <v>15</v>
      </c>
      <c r="P1670" s="25">
        <f>_xlfn.XLOOKUP(Snitch_Fashion_Sales_cleaned!$I1670,Table3[Order_Date],Table3[Date_Key])</f>
        <v>290</v>
      </c>
    </row>
    <row r="1671" spans="1:16" x14ac:dyDescent="0.3">
      <c r="A1671" s="34">
        <v>2669</v>
      </c>
      <c r="B1671" s="32" t="s">
        <v>1699</v>
      </c>
      <c r="C1671" s="32" t="s">
        <v>31</v>
      </c>
      <c r="D1671" s="33" t="s">
        <v>78</v>
      </c>
      <c r="E1671" s="34">
        <v>4</v>
      </c>
      <c r="F1671" s="35">
        <v>2599.75</v>
      </c>
      <c r="G1671" s="36">
        <v>0.51</v>
      </c>
      <c r="H1671" s="35">
        <f t="shared" si="54"/>
        <v>10399</v>
      </c>
      <c r="I1671" s="37">
        <v>45749</v>
      </c>
      <c r="J1671" s="33" t="s">
        <v>43</v>
      </c>
      <c r="K1671" s="33" t="s">
        <v>23</v>
      </c>
      <c r="L1671" s="38">
        <f t="shared" si="55"/>
        <v>5095.51</v>
      </c>
      <c r="M1671" s="38">
        <v>-760.17</v>
      </c>
      <c r="N1671" s="24">
        <f>_xlfn.XLOOKUP(Snitch_Fashion_Sales_cleaned!$J1671,Table2[City],Table2[City_Key],"not found")</f>
        <v>6</v>
      </c>
      <c r="O1671" s="23">
        <f>_xlfn.XLOOKUP(Snitch_Fashion_Sales_cleaned!$D1671,Table4[Product_Name],Table4[Product_Key],"not found")</f>
        <v>17</v>
      </c>
      <c r="P1671" s="32">
        <f>_xlfn.XLOOKUP(Snitch_Fashion_Sales_cleaned!$I1671,Table3[Order_Date],Table3[Date_Key])</f>
        <v>153</v>
      </c>
    </row>
    <row r="1672" spans="1:16" x14ac:dyDescent="0.3">
      <c r="A1672" s="27">
        <v>2670</v>
      </c>
      <c r="B1672" s="25" t="s">
        <v>1700</v>
      </c>
      <c r="C1672" s="25" t="s">
        <v>31</v>
      </c>
      <c r="D1672" s="26" t="s">
        <v>78</v>
      </c>
      <c r="E1672" s="27">
        <v>4</v>
      </c>
      <c r="F1672" s="28">
        <v>2599.75</v>
      </c>
      <c r="G1672" s="29">
        <v>0.51</v>
      </c>
      <c r="H1672" s="28">
        <f t="shared" si="54"/>
        <v>10399</v>
      </c>
      <c r="I1672" s="30">
        <v>45561</v>
      </c>
      <c r="J1672" s="26" t="s">
        <v>43</v>
      </c>
      <c r="K1672" s="26" t="s">
        <v>16</v>
      </c>
      <c r="L1672" s="31">
        <f t="shared" si="55"/>
        <v>5095.51</v>
      </c>
      <c r="M1672" s="31">
        <v>775.45</v>
      </c>
      <c r="N1672" s="22">
        <f>_xlfn.XLOOKUP(Snitch_Fashion_Sales_cleaned!$J1672,Table2[City],Table2[City_Key],"not found")</f>
        <v>6</v>
      </c>
      <c r="O1672" s="21">
        <f>_xlfn.XLOOKUP(Snitch_Fashion_Sales_cleaned!$D1672,Table4[Product_Name],Table4[Product_Key],"not found")</f>
        <v>17</v>
      </c>
      <c r="P1672" s="25">
        <f>_xlfn.XLOOKUP(Snitch_Fashion_Sales_cleaned!$I1672,Table3[Order_Date],Table3[Date_Key])</f>
        <v>190</v>
      </c>
    </row>
    <row r="1673" spans="1:16" x14ac:dyDescent="0.3">
      <c r="A1673" s="34">
        <v>2671</v>
      </c>
      <c r="B1673" s="32" t="s">
        <v>1701</v>
      </c>
      <c r="C1673" s="32" t="s">
        <v>28</v>
      </c>
      <c r="D1673" s="33" t="s">
        <v>137</v>
      </c>
      <c r="E1673" s="34">
        <v>3.5</v>
      </c>
      <c r="F1673" s="35">
        <v>2377.81</v>
      </c>
      <c r="G1673" s="36">
        <v>0.56999999999999995</v>
      </c>
      <c r="H1673" s="35">
        <f t="shared" si="54"/>
        <v>8322.3349999999991</v>
      </c>
      <c r="I1673" s="37">
        <v>45647</v>
      </c>
      <c r="J1673" s="33" t="s">
        <v>22</v>
      </c>
      <c r="K1673" s="33" t="s">
        <v>23</v>
      </c>
      <c r="L1673" s="38">
        <f t="shared" si="55"/>
        <v>3578.6040499999999</v>
      </c>
      <c r="M1673" s="38">
        <v>1967.3</v>
      </c>
      <c r="N1673" s="24">
        <f>_xlfn.XLOOKUP(Snitch_Fashion_Sales_cleaned!$J1673,Table2[City],Table2[City_Key],"not found")</f>
        <v>3</v>
      </c>
      <c r="O1673" s="23">
        <f>_xlfn.XLOOKUP(Snitch_Fashion_Sales_cleaned!$D1673,Table4[Product_Name],Table4[Product_Key],"not found")</f>
        <v>24</v>
      </c>
      <c r="P1673" s="32">
        <f>_xlfn.XLOOKUP(Snitch_Fashion_Sales_cleaned!$I1673,Table3[Order_Date],Table3[Date_Key])</f>
        <v>5</v>
      </c>
    </row>
    <row r="1674" spans="1:16" x14ac:dyDescent="0.3">
      <c r="A1674" s="27">
        <v>1026</v>
      </c>
      <c r="B1674" s="25" t="s">
        <v>1702</v>
      </c>
      <c r="C1674" s="25" t="s">
        <v>36</v>
      </c>
      <c r="D1674" s="26" t="s">
        <v>55</v>
      </c>
      <c r="E1674" s="27">
        <v>3</v>
      </c>
      <c r="F1674" s="28">
        <v>2731.6350000000002</v>
      </c>
      <c r="G1674" s="29">
        <v>0.51</v>
      </c>
      <c r="H1674" s="28">
        <f t="shared" si="54"/>
        <v>8194.9050000000007</v>
      </c>
      <c r="I1674" s="30">
        <v>45457</v>
      </c>
      <c r="J1674" s="26" t="s">
        <v>18</v>
      </c>
      <c r="K1674" s="26" t="s">
        <v>23</v>
      </c>
      <c r="L1674" s="31">
        <f t="shared" si="55"/>
        <v>4015.5034500000002</v>
      </c>
      <c r="M1674" s="31">
        <v>2344.12</v>
      </c>
      <c r="N1674" s="22">
        <f>_xlfn.XLOOKUP(Snitch_Fashion_Sales_cleaned!$J1674,Table2[City],Table2[City_Key],"not found")</f>
        <v>2</v>
      </c>
      <c r="O1674" s="21">
        <f>_xlfn.XLOOKUP(Snitch_Fashion_Sales_cleaned!$D1674,Table4[Product_Name],Table4[Product_Key],"not found")</f>
        <v>12</v>
      </c>
      <c r="P1674" s="25">
        <f>_xlfn.XLOOKUP(Snitch_Fashion_Sales_cleaned!$I1674,Table3[Order_Date],Table3[Date_Key])</f>
        <v>414</v>
      </c>
    </row>
    <row r="1675" spans="1:16" x14ac:dyDescent="0.3">
      <c r="A1675" s="34">
        <v>2673</v>
      </c>
      <c r="B1675" s="32" t="s">
        <v>1703</v>
      </c>
      <c r="C1675" s="32" t="s">
        <v>28</v>
      </c>
      <c r="D1675" s="33" t="s">
        <v>29</v>
      </c>
      <c r="E1675" s="34">
        <v>3</v>
      </c>
      <c r="F1675" s="35">
        <v>2515.415</v>
      </c>
      <c r="G1675" s="36">
        <v>0.51</v>
      </c>
      <c r="H1675" s="35">
        <f t="shared" si="54"/>
        <v>7546.2449999999999</v>
      </c>
      <c r="I1675" s="37">
        <v>45647</v>
      </c>
      <c r="J1675" s="33" t="s">
        <v>2540</v>
      </c>
      <c r="K1675" s="33" t="s">
        <v>23</v>
      </c>
      <c r="L1675" s="38">
        <f t="shared" si="55"/>
        <v>3697.66005</v>
      </c>
      <c r="M1675" s="38">
        <v>2493.87</v>
      </c>
      <c r="N1675" s="24">
        <f>_xlfn.XLOOKUP(Snitch_Fashion_Sales_cleaned!$J1675,Table2[City],Table2[City_Key],"not found")</f>
        <v>4</v>
      </c>
      <c r="O1675" s="23">
        <f>_xlfn.XLOOKUP(Snitch_Fashion_Sales_cleaned!$D1675,Table4[Product_Name],Table4[Product_Key],"not found")</f>
        <v>4</v>
      </c>
      <c r="P1675" s="32">
        <f>_xlfn.XLOOKUP(Snitch_Fashion_Sales_cleaned!$I1675,Table3[Order_Date],Table3[Date_Key])</f>
        <v>5</v>
      </c>
    </row>
    <row r="1676" spans="1:16" x14ac:dyDescent="0.3">
      <c r="A1676" s="27">
        <v>2674</v>
      </c>
      <c r="B1676" s="25" t="s">
        <v>1704</v>
      </c>
      <c r="C1676" s="25" t="s">
        <v>31</v>
      </c>
      <c r="D1676" s="26" t="s">
        <v>68</v>
      </c>
      <c r="E1676" s="27">
        <v>4</v>
      </c>
      <c r="F1676" s="28">
        <v>1261.5899999999999</v>
      </c>
      <c r="G1676" s="29">
        <v>0.51</v>
      </c>
      <c r="H1676" s="28">
        <f t="shared" si="54"/>
        <v>5046.3599999999997</v>
      </c>
      <c r="I1676" s="30">
        <v>45542</v>
      </c>
      <c r="J1676" s="26" t="s">
        <v>22</v>
      </c>
      <c r="K1676" s="26" t="s">
        <v>23</v>
      </c>
      <c r="L1676" s="31">
        <f t="shared" si="55"/>
        <v>2472.7163999999998</v>
      </c>
      <c r="M1676" s="31">
        <v>534.09</v>
      </c>
      <c r="N1676" s="22">
        <f>_xlfn.XLOOKUP(Snitch_Fashion_Sales_cleaned!$J1676,Table2[City],Table2[City_Key],"not found")</f>
        <v>3</v>
      </c>
      <c r="O1676" s="21">
        <f>_xlfn.XLOOKUP(Snitch_Fashion_Sales_cleaned!$D1676,Table4[Product_Name],Table4[Product_Key],"not found")</f>
        <v>15</v>
      </c>
      <c r="P1676" s="25">
        <f>_xlfn.XLOOKUP(Snitch_Fashion_Sales_cleaned!$I1676,Table3[Order_Date],Table3[Date_Key])</f>
        <v>495</v>
      </c>
    </row>
    <row r="1677" spans="1:16" x14ac:dyDescent="0.3">
      <c r="A1677" s="34">
        <v>2675</v>
      </c>
      <c r="B1677" s="32" t="s">
        <v>1705</v>
      </c>
      <c r="C1677" s="32" t="s">
        <v>25</v>
      </c>
      <c r="D1677" s="33" t="s">
        <v>26</v>
      </c>
      <c r="E1677" s="34">
        <v>1</v>
      </c>
      <c r="F1677" s="35">
        <v>2933.45</v>
      </c>
      <c r="G1677" s="36">
        <v>0.83</v>
      </c>
      <c r="H1677" s="35">
        <f t="shared" si="54"/>
        <v>2933.45</v>
      </c>
      <c r="I1677" s="37">
        <v>45504</v>
      </c>
      <c r="J1677" s="33" t="s">
        <v>22</v>
      </c>
      <c r="K1677" s="33" t="s">
        <v>16</v>
      </c>
      <c r="L1677" s="38">
        <f t="shared" si="55"/>
        <v>498.68650000000008</v>
      </c>
      <c r="M1677" s="38">
        <v>124.67162500000002</v>
      </c>
      <c r="N1677" s="24">
        <f>_xlfn.XLOOKUP(Snitch_Fashion_Sales_cleaned!$J1677,Table2[City],Table2[City_Key],"not found")</f>
        <v>3</v>
      </c>
      <c r="O1677" s="23">
        <f>_xlfn.XLOOKUP(Snitch_Fashion_Sales_cleaned!$D1677,Table4[Product_Name],Table4[Product_Key],"not found")</f>
        <v>3</v>
      </c>
      <c r="P1677" s="32">
        <f>_xlfn.XLOOKUP(Snitch_Fashion_Sales_cleaned!$I1677,Table3[Order_Date],Table3[Date_Key])</f>
        <v>505</v>
      </c>
    </row>
    <row r="1678" spans="1:16" x14ac:dyDescent="0.3">
      <c r="A1678" s="27">
        <v>1014</v>
      </c>
      <c r="B1678" s="25" t="s">
        <v>1706</v>
      </c>
      <c r="C1678" s="25" t="s">
        <v>13</v>
      </c>
      <c r="D1678" s="26" t="s">
        <v>34</v>
      </c>
      <c r="E1678" s="27">
        <v>3</v>
      </c>
      <c r="F1678" s="28">
        <v>3008.6549999999997</v>
      </c>
      <c r="G1678" s="29">
        <v>0.51</v>
      </c>
      <c r="H1678" s="28">
        <f t="shared" si="54"/>
        <v>9025.9650000000001</v>
      </c>
      <c r="I1678" s="30">
        <v>45704</v>
      </c>
      <c r="J1678" s="26" t="s">
        <v>15</v>
      </c>
      <c r="K1678" s="26" t="s">
        <v>23</v>
      </c>
      <c r="L1678" s="31">
        <f t="shared" si="55"/>
        <v>4422.7228500000001</v>
      </c>
      <c r="M1678" s="31">
        <v>2219.4899999999998</v>
      </c>
      <c r="N1678" s="22">
        <f>_xlfn.XLOOKUP(Snitch_Fashion_Sales_cleaned!$J1678,Table2[City],Table2[City_Key],"not found")</f>
        <v>1</v>
      </c>
      <c r="O1678" s="21">
        <f>_xlfn.XLOOKUP(Snitch_Fashion_Sales_cleaned!$D1678,Table4[Product_Name],Table4[Product_Key],"not found")</f>
        <v>6</v>
      </c>
      <c r="P1678" s="25">
        <f>_xlfn.XLOOKUP(Snitch_Fashion_Sales_cleaned!$I1678,Table3[Order_Date],Table3[Date_Key])</f>
        <v>209</v>
      </c>
    </row>
    <row r="1679" spans="1:16" x14ac:dyDescent="0.3">
      <c r="A1679" s="34">
        <v>2677</v>
      </c>
      <c r="B1679" s="32" t="s">
        <v>1707</v>
      </c>
      <c r="C1679" s="32" t="s">
        <v>25</v>
      </c>
      <c r="D1679" s="33" t="s">
        <v>62</v>
      </c>
      <c r="E1679" s="34">
        <v>5</v>
      </c>
      <c r="F1679" s="35">
        <v>1727.66</v>
      </c>
      <c r="G1679" s="36">
        <v>0.51</v>
      </c>
      <c r="H1679" s="35">
        <f t="shared" si="54"/>
        <v>8638.3000000000011</v>
      </c>
      <c r="I1679" s="37">
        <v>45776</v>
      </c>
      <c r="J1679" s="33" t="s">
        <v>43</v>
      </c>
      <c r="K1679" s="33" t="s">
        <v>23</v>
      </c>
      <c r="L1679" s="38">
        <f t="shared" si="55"/>
        <v>4232.7670000000007</v>
      </c>
      <c r="M1679" s="38">
        <v>-546.05999999999995</v>
      </c>
      <c r="N1679" s="24">
        <f>_xlfn.XLOOKUP(Snitch_Fashion_Sales_cleaned!$J1679,Table2[City],Table2[City_Key],"not found")</f>
        <v>6</v>
      </c>
      <c r="O1679" s="23">
        <f>_xlfn.XLOOKUP(Snitch_Fashion_Sales_cleaned!$D1679,Table4[Product_Name],Table4[Product_Key],"not found")</f>
        <v>14</v>
      </c>
      <c r="P1679" s="32">
        <f>_xlfn.XLOOKUP(Snitch_Fashion_Sales_cleaned!$I1679,Table3[Order_Date],Table3[Date_Key])</f>
        <v>239</v>
      </c>
    </row>
    <row r="1680" spans="1:16" x14ac:dyDescent="0.3">
      <c r="A1680" s="27">
        <v>2678</v>
      </c>
      <c r="B1680" s="25" t="s">
        <v>1708</v>
      </c>
      <c r="C1680" s="25" t="s">
        <v>36</v>
      </c>
      <c r="D1680" s="26" t="s">
        <v>59</v>
      </c>
      <c r="E1680" s="27">
        <v>3</v>
      </c>
      <c r="F1680" s="28">
        <v>2765.26</v>
      </c>
      <c r="G1680" s="29">
        <v>0.51</v>
      </c>
      <c r="H1680" s="28">
        <f t="shared" si="54"/>
        <v>8295.7800000000007</v>
      </c>
      <c r="I1680" s="30">
        <v>45741</v>
      </c>
      <c r="J1680" s="26" t="s">
        <v>52</v>
      </c>
      <c r="K1680" s="26" t="s">
        <v>16</v>
      </c>
      <c r="L1680" s="31">
        <f t="shared" si="55"/>
        <v>4064.9322000000002</v>
      </c>
      <c r="M1680" s="31">
        <v>-333.97</v>
      </c>
      <c r="N1680" s="22">
        <f>_xlfn.XLOOKUP(Snitch_Fashion_Sales_cleaned!$J1680,Table2[City],Table2[City_Key],"not found")</f>
        <v>5</v>
      </c>
      <c r="O1680" s="21">
        <f>_xlfn.XLOOKUP(Snitch_Fashion_Sales_cleaned!$D1680,Table4[Product_Name],Table4[Product_Key],"not found")</f>
        <v>13</v>
      </c>
      <c r="P1680" s="25">
        <f>_xlfn.XLOOKUP(Snitch_Fashion_Sales_cleaned!$I1680,Table3[Order_Date],Table3[Date_Key])</f>
        <v>157</v>
      </c>
    </row>
    <row r="1681" spans="1:16" x14ac:dyDescent="0.3">
      <c r="A1681" s="34">
        <v>2679</v>
      </c>
      <c r="B1681" s="32" t="s">
        <v>1709</v>
      </c>
      <c r="C1681" s="32" t="s">
        <v>28</v>
      </c>
      <c r="D1681" s="33" t="s">
        <v>116</v>
      </c>
      <c r="E1681" s="34">
        <v>4</v>
      </c>
      <c r="F1681" s="35">
        <v>2514.6999999999998</v>
      </c>
      <c r="G1681" s="36">
        <v>0.51</v>
      </c>
      <c r="H1681" s="35">
        <f t="shared" si="54"/>
        <v>10058.799999999999</v>
      </c>
      <c r="I1681" s="37">
        <v>45564</v>
      </c>
      <c r="J1681" s="33" t="s">
        <v>52</v>
      </c>
      <c r="K1681" s="33" t="s">
        <v>23</v>
      </c>
      <c r="L1681" s="38">
        <f t="shared" si="55"/>
        <v>4928.8119999999999</v>
      </c>
      <c r="M1681" s="38">
        <v>2652.58</v>
      </c>
      <c r="N1681" s="24">
        <f>_xlfn.XLOOKUP(Snitch_Fashion_Sales_cleaned!$J1681,Table2[City],Table2[City_Key],"not found")</f>
        <v>5</v>
      </c>
      <c r="O1681" s="23">
        <f>_xlfn.XLOOKUP(Snitch_Fashion_Sales_cleaned!$D1681,Table4[Product_Name],Table4[Product_Key],"not found")</f>
        <v>22</v>
      </c>
      <c r="P1681" s="32">
        <f>_xlfn.XLOOKUP(Snitch_Fashion_Sales_cleaned!$I1681,Table3[Order_Date],Table3[Date_Key])</f>
        <v>508</v>
      </c>
    </row>
    <row r="1682" spans="1:16" x14ac:dyDescent="0.3">
      <c r="A1682" s="27">
        <v>2680</v>
      </c>
      <c r="B1682" s="25" t="s">
        <v>1710</v>
      </c>
      <c r="C1682" s="25" t="s">
        <v>25</v>
      </c>
      <c r="D1682" s="26" t="s">
        <v>62</v>
      </c>
      <c r="E1682" s="27">
        <v>6</v>
      </c>
      <c r="F1682" s="28">
        <v>2538.0450000000001</v>
      </c>
      <c r="G1682" s="29">
        <v>0.51</v>
      </c>
      <c r="H1682" s="28">
        <f t="shared" si="54"/>
        <v>15228.27</v>
      </c>
      <c r="I1682" s="30">
        <v>45647</v>
      </c>
      <c r="J1682" s="26" t="s">
        <v>15</v>
      </c>
      <c r="K1682" s="26" t="s">
        <v>23</v>
      </c>
      <c r="L1682" s="31">
        <f t="shared" si="55"/>
        <v>7461.8523000000005</v>
      </c>
      <c r="M1682" s="31">
        <v>-963.81</v>
      </c>
      <c r="N1682" s="22">
        <f>_xlfn.XLOOKUP(Snitch_Fashion_Sales_cleaned!$J1682,Table2[City],Table2[City_Key],"not found")</f>
        <v>1</v>
      </c>
      <c r="O1682" s="21">
        <f>_xlfn.XLOOKUP(Snitch_Fashion_Sales_cleaned!$D1682,Table4[Product_Name],Table4[Product_Key],"not found")</f>
        <v>14</v>
      </c>
      <c r="P1682" s="25">
        <f>_xlfn.XLOOKUP(Snitch_Fashion_Sales_cleaned!$I1682,Table3[Order_Date],Table3[Date_Key])</f>
        <v>5</v>
      </c>
    </row>
    <row r="1683" spans="1:16" x14ac:dyDescent="0.3">
      <c r="A1683" s="34">
        <v>2681</v>
      </c>
      <c r="B1683" s="32" t="s">
        <v>1711</v>
      </c>
      <c r="C1683" s="32" t="s">
        <v>20</v>
      </c>
      <c r="D1683" s="33" t="s">
        <v>84</v>
      </c>
      <c r="E1683" s="34">
        <v>3</v>
      </c>
      <c r="F1683" s="35">
        <v>4770.92</v>
      </c>
      <c r="G1683" s="36">
        <v>0.51</v>
      </c>
      <c r="H1683" s="35">
        <f t="shared" si="54"/>
        <v>14312.76</v>
      </c>
      <c r="I1683" s="37">
        <v>45223</v>
      </c>
      <c r="J1683" s="33" t="s">
        <v>43</v>
      </c>
      <c r="K1683" s="33" t="s">
        <v>23</v>
      </c>
      <c r="L1683" s="38">
        <f t="shared" si="55"/>
        <v>7013.2524000000003</v>
      </c>
      <c r="M1683" s="38">
        <v>433.04</v>
      </c>
      <c r="N1683" s="24">
        <f>_xlfn.XLOOKUP(Snitch_Fashion_Sales_cleaned!$J1683,Table2[City],Table2[City_Key],"not found")</f>
        <v>6</v>
      </c>
      <c r="O1683" s="23">
        <f>_xlfn.XLOOKUP(Snitch_Fashion_Sales_cleaned!$D1683,Table4[Product_Name],Table4[Product_Key],"not found")</f>
        <v>19</v>
      </c>
      <c r="P1683" s="32">
        <f>_xlfn.XLOOKUP(Snitch_Fashion_Sales_cleaned!$I1683,Table3[Order_Date],Table3[Date_Key])</f>
        <v>509</v>
      </c>
    </row>
    <row r="1684" spans="1:16" x14ac:dyDescent="0.3">
      <c r="A1684" s="27">
        <v>2682</v>
      </c>
      <c r="B1684" s="25" t="s">
        <v>1712</v>
      </c>
      <c r="C1684" s="25" t="s">
        <v>31</v>
      </c>
      <c r="D1684" s="26" t="s">
        <v>78</v>
      </c>
      <c r="E1684" s="27">
        <v>4</v>
      </c>
      <c r="F1684" s="28">
        <v>4784.55</v>
      </c>
      <c r="G1684" s="29">
        <v>0.51</v>
      </c>
      <c r="H1684" s="28">
        <f t="shared" si="54"/>
        <v>19138.2</v>
      </c>
      <c r="I1684" s="30">
        <v>45622</v>
      </c>
      <c r="J1684" s="26" t="s">
        <v>2540</v>
      </c>
      <c r="K1684" s="26" t="s">
        <v>23</v>
      </c>
      <c r="L1684" s="31">
        <f t="shared" si="55"/>
        <v>9377.7180000000008</v>
      </c>
      <c r="M1684" s="31">
        <v>2034.52</v>
      </c>
      <c r="N1684" s="22">
        <f>_xlfn.XLOOKUP(Snitch_Fashion_Sales_cleaned!$J1684,Table2[City],Table2[City_Key],"not found")</f>
        <v>4</v>
      </c>
      <c r="O1684" s="21">
        <f>_xlfn.XLOOKUP(Snitch_Fashion_Sales_cleaned!$D1684,Table4[Product_Name],Table4[Product_Key],"not found")</f>
        <v>17</v>
      </c>
      <c r="P1684" s="25">
        <f>_xlfn.XLOOKUP(Snitch_Fashion_Sales_cleaned!$I1684,Table3[Order_Date],Table3[Date_Key])</f>
        <v>464</v>
      </c>
    </row>
    <row r="1685" spans="1:16" x14ac:dyDescent="0.3">
      <c r="A1685" s="34">
        <v>2683</v>
      </c>
      <c r="B1685" s="32" t="s">
        <v>1713</v>
      </c>
      <c r="C1685" s="32" t="s">
        <v>20</v>
      </c>
      <c r="D1685" s="33" t="s">
        <v>21</v>
      </c>
      <c r="E1685" s="34">
        <v>5</v>
      </c>
      <c r="F1685" s="35">
        <v>3163.97</v>
      </c>
      <c r="G1685" s="36">
        <v>0.51</v>
      </c>
      <c r="H1685" s="35">
        <f t="shared" si="54"/>
        <v>15819.849999999999</v>
      </c>
      <c r="I1685" s="37">
        <v>45647</v>
      </c>
      <c r="J1685" s="33" t="s">
        <v>15</v>
      </c>
      <c r="K1685" s="33" t="s">
        <v>23</v>
      </c>
      <c r="L1685" s="38">
        <f t="shared" si="55"/>
        <v>7751.7264999999989</v>
      </c>
      <c r="M1685" s="38">
        <v>1411.27</v>
      </c>
      <c r="N1685" s="24">
        <f>_xlfn.XLOOKUP(Snitch_Fashion_Sales_cleaned!$J1685,Table2[City],Table2[City_Key],"not found")</f>
        <v>1</v>
      </c>
      <c r="O1685" s="23">
        <f>_xlfn.XLOOKUP(Snitch_Fashion_Sales_cleaned!$D1685,Table4[Product_Name],Table4[Product_Key],"not found")</f>
        <v>2</v>
      </c>
      <c r="P1685" s="32">
        <f>_xlfn.XLOOKUP(Snitch_Fashion_Sales_cleaned!$I1685,Table3[Order_Date],Table3[Date_Key])</f>
        <v>5</v>
      </c>
    </row>
    <row r="1686" spans="1:16" x14ac:dyDescent="0.3">
      <c r="A1686" s="27">
        <v>2684</v>
      </c>
      <c r="B1686" s="25" t="s">
        <v>1714</v>
      </c>
      <c r="C1686" s="25" t="s">
        <v>25</v>
      </c>
      <c r="D1686" s="26" t="s">
        <v>82</v>
      </c>
      <c r="E1686" s="27">
        <v>3</v>
      </c>
      <c r="F1686" s="28">
        <v>794.81</v>
      </c>
      <c r="G1686" s="29">
        <v>0.51</v>
      </c>
      <c r="H1686" s="28">
        <f t="shared" si="54"/>
        <v>2384.4299999999998</v>
      </c>
      <c r="I1686" s="30">
        <v>45483</v>
      </c>
      <c r="J1686" s="26" t="s">
        <v>2540</v>
      </c>
      <c r="K1686" s="26" t="s">
        <v>23</v>
      </c>
      <c r="L1686" s="31">
        <f t="shared" si="55"/>
        <v>1168.3706999999999</v>
      </c>
      <c r="M1686" s="31">
        <v>-391.38</v>
      </c>
      <c r="N1686" s="22">
        <f>_xlfn.XLOOKUP(Snitch_Fashion_Sales_cleaned!$J1686,Table2[City],Table2[City_Key],"not found")</f>
        <v>4</v>
      </c>
      <c r="O1686" s="21">
        <f>_xlfn.XLOOKUP(Snitch_Fashion_Sales_cleaned!$D1686,Table4[Product_Name],Table4[Product_Key],"not found")</f>
        <v>18</v>
      </c>
      <c r="P1686" s="25">
        <f>_xlfn.XLOOKUP(Snitch_Fashion_Sales_cleaned!$I1686,Table3[Order_Date],Table3[Date_Key])</f>
        <v>510</v>
      </c>
    </row>
    <row r="1687" spans="1:16" x14ac:dyDescent="0.3">
      <c r="A1687" s="34">
        <v>2685</v>
      </c>
      <c r="B1687" s="32" t="s">
        <v>1715</v>
      </c>
      <c r="C1687" s="32" t="s">
        <v>25</v>
      </c>
      <c r="D1687" s="33" t="s">
        <v>50</v>
      </c>
      <c r="E1687" s="34">
        <v>4</v>
      </c>
      <c r="F1687" s="35">
        <v>1804.59</v>
      </c>
      <c r="G1687" s="36">
        <v>0.51</v>
      </c>
      <c r="H1687" s="35">
        <f t="shared" si="54"/>
        <v>7218.36</v>
      </c>
      <c r="I1687" s="37">
        <v>45839</v>
      </c>
      <c r="J1687" s="33" t="s">
        <v>18</v>
      </c>
      <c r="K1687" s="33" t="s">
        <v>23</v>
      </c>
      <c r="L1687" s="38">
        <f t="shared" si="55"/>
        <v>3536.9964</v>
      </c>
      <c r="M1687" s="38">
        <v>-208.79</v>
      </c>
      <c r="N1687" s="24">
        <f>_xlfn.XLOOKUP(Snitch_Fashion_Sales_cleaned!$J1687,Table2[City],Table2[City_Key],"not found")</f>
        <v>2</v>
      </c>
      <c r="O1687" s="23">
        <f>_xlfn.XLOOKUP(Snitch_Fashion_Sales_cleaned!$D1687,Table4[Product_Name],Table4[Product_Key],"not found")</f>
        <v>11</v>
      </c>
      <c r="P1687" s="32">
        <f>_xlfn.XLOOKUP(Snitch_Fashion_Sales_cleaned!$I1687,Table3[Order_Date],Table3[Date_Key])</f>
        <v>200</v>
      </c>
    </row>
    <row r="1688" spans="1:16" x14ac:dyDescent="0.3">
      <c r="A1688" s="27">
        <v>2686</v>
      </c>
      <c r="B1688" s="25" t="s">
        <v>1716</v>
      </c>
      <c r="C1688" s="25" t="s">
        <v>28</v>
      </c>
      <c r="D1688" s="26" t="s">
        <v>137</v>
      </c>
      <c r="E1688" s="27">
        <v>3.5</v>
      </c>
      <c r="F1688" s="28">
        <v>2338.04</v>
      </c>
      <c r="G1688" s="29">
        <v>0.49</v>
      </c>
      <c r="H1688" s="28">
        <f t="shared" si="54"/>
        <v>8183.1399999999994</v>
      </c>
      <c r="I1688" s="30">
        <v>45647</v>
      </c>
      <c r="J1688" s="26" t="s">
        <v>43</v>
      </c>
      <c r="K1688" s="26" t="s">
        <v>23</v>
      </c>
      <c r="L1688" s="31">
        <f t="shared" si="55"/>
        <v>4173.4013999999997</v>
      </c>
      <c r="M1688" s="31">
        <v>2957.49</v>
      </c>
      <c r="N1688" s="22">
        <f>_xlfn.XLOOKUP(Snitch_Fashion_Sales_cleaned!$J1688,Table2[City],Table2[City_Key],"not found")</f>
        <v>6</v>
      </c>
      <c r="O1688" s="21">
        <f>_xlfn.XLOOKUP(Snitch_Fashion_Sales_cleaned!$D1688,Table4[Product_Name],Table4[Product_Key],"not found")</f>
        <v>24</v>
      </c>
      <c r="P1688" s="25">
        <f>_xlfn.XLOOKUP(Snitch_Fashion_Sales_cleaned!$I1688,Table3[Order_Date],Table3[Date_Key])</f>
        <v>5</v>
      </c>
    </row>
    <row r="1689" spans="1:16" x14ac:dyDescent="0.3">
      <c r="A1689" s="34">
        <v>2687</v>
      </c>
      <c r="B1689" s="32" t="s">
        <v>1717</v>
      </c>
      <c r="C1689" s="32" t="s">
        <v>25</v>
      </c>
      <c r="D1689" s="33" t="s">
        <v>50</v>
      </c>
      <c r="E1689" s="34">
        <v>4</v>
      </c>
      <c r="F1689" s="35">
        <v>2666.2200000000003</v>
      </c>
      <c r="G1689" s="36">
        <v>0.51</v>
      </c>
      <c r="H1689" s="35">
        <f t="shared" si="54"/>
        <v>10664.880000000001</v>
      </c>
      <c r="I1689" s="37">
        <v>45521</v>
      </c>
      <c r="J1689" s="33" t="s">
        <v>22</v>
      </c>
      <c r="K1689" s="33" t="s">
        <v>16</v>
      </c>
      <c r="L1689" s="38">
        <f t="shared" si="55"/>
        <v>5225.7912000000006</v>
      </c>
      <c r="M1689" s="38">
        <v>510.99</v>
      </c>
      <c r="N1689" s="24">
        <f>_xlfn.XLOOKUP(Snitch_Fashion_Sales_cleaned!$J1689,Table2[City],Table2[City_Key],"not found")</f>
        <v>3</v>
      </c>
      <c r="O1689" s="23">
        <f>_xlfn.XLOOKUP(Snitch_Fashion_Sales_cleaned!$D1689,Table4[Product_Name],Table4[Product_Key],"not found")</f>
        <v>11</v>
      </c>
      <c r="P1689" s="32">
        <f>_xlfn.XLOOKUP(Snitch_Fashion_Sales_cleaned!$I1689,Table3[Order_Date],Table3[Date_Key])</f>
        <v>371</v>
      </c>
    </row>
    <row r="1690" spans="1:16" x14ac:dyDescent="0.3">
      <c r="A1690" s="27">
        <v>2688</v>
      </c>
      <c r="B1690" s="25" t="s">
        <v>1718</v>
      </c>
      <c r="C1690" s="25" t="s">
        <v>31</v>
      </c>
      <c r="D1690" s="26" t="s">
        <v>32</v>
      </c>
      <c r="E1690" s="27">
        <v>4</v>
      </c>
      <c r="F1690" s="28">
        <v>2001.5500000000002</v>
      </c>
      <c r="G1690" s="29">
        <v>0.11</v>
      </c>
      <c r="H1690" s="28">
        <f t="shared" si="54"/>
        <v>8006.2000000000007</v>
      </c>
      <c r="I1690" s="30">
        <v>45647</v>
      </c>
      <c r="J1690" s="26" t="s">
        <v>52</v>
      </c>
      <c r="K1690" s="26" t="s">
        <v>16</v>
      </c>
      <c r="L1690" s="31">
        <f t="shared" si="55"/>
        <v>7125.5180000000009</v>
      </c>
      <c r="M1690" s="31">
        <v>161.9</v>
      </c>
      <c r="N1690" s="22">
        <f>_xlfn.XLOOKUP(Snitch_Fashion_Sales_cleaned!$J1690,Table2[City],Table2[City_Key],"not found")</f>
        <v>5</v>
      </c>
      <c r="O1690" s="21">
        <f>_xlfn.XLOOKUP(Snitch_Fashion_Sales_cleaned!$D1690,Table4[Product_Name],Table4[Product_Key],"not found")</f>
        <v>5</v>
      </c>
      <c r="P1690" s="25">
        <f>_xlfn.XLOOKUP(Snitch_Fashion_Sales_cleaned!$I1690,Table3[Order_Date],Table3[Date_Key])</f>
        <v>5</v>
      </c>
    </row>
    <row r="1691" spans="1:16" x14ac:dyDescent="0.3">
      <c r="A1691" s="34">
        <v>2689</v>
      </c>
      <c r="B1691" s="32" t="s">
        <v>1719</v>
      </c>
      <c r="C1691" s="32" t="s">
        <v>28</v>
      </c>
      <c r="D1691" s="33" t="s">
        <v>137</v>
      </c>
      <c r="E1691" s="34">
        <v>4</v>
      </c>
      <c r="F1691" s="35">
        <v>4777.51</v>
      </c>
      <c r="G1691" s="36">
        <v>0.51</v>
      </c>
      <c r="H1691" s="35">
        <f t="shared" si="54"/>
        <v>19110.04</v>
      </c>
      <c r="I1691" s="37">
        <v>45609</v>
      </c>
      <c r="J1691" s="33" t="s">
        <v>52</v>
      </c>
      <c r="K1691" s="33" t="s">
        <v>23</v>
      </c>
      <c r="L1691" s="38">
        <f t="shared" si="55"/>
        <v>9363.9196000000011</v>
      </c>
      <c r="M1691" s="38">
        <v>-204.04</v>
      </c>
      <c r="N1691" s="24">
        <f>_xlfn.XLOOKUP(Snitch_Fashion_Sales_cleaned!$J1691,Table2[City],Table2[City_Key],"not found")</f>
        <v>5</v>
      </c>
      <c r="O1691" s="23">
        <f>_xlfn.XLOOKUP(Snitch_Fashion_Sales_cleaned!$D1691,Table4[Product_Name],Table4[Product_Key],"not found")</f>
        <v>24</v>
      </c>
      <c r="P1691" s="32">
        <f>_xlfn.XLOOKUP(Snitch_Fashion_Sales_cleaned!$I1691,Table3[Order_Date],Table3[Date_Key])</f>
        <v>22</v>
      </c>
    </row>
    <row r="1692" spans="1:16" x14ac:dyDescent="0.3">
      <c r="A1692" s="27">
        <v>2690</v>
      </c>
      <c r="B1692" s="25" t="s">
        <v>1720</v>
      </c>
      <c r="C1692" s="25" t="s">
        <v>13</v>
      </c>
      <c r="D1692" s="26" t="s">
        <v>98</v>
      </c>
      <c r="E1692" s="27">
        <v>5</v>
      </c>
      <c r="F1692" s="28">
        <v>2862.03</v>
      </c>
      <c r="G1692" s="29">
        <v>0.51</v>
      </c>
      <c r="H1692" s="28">
        <f t="shared" si="54"/>
        <v>14310.150000000001</v>
      </c>
      <c r="I1692" s="30">
        <v>45277</v>
      </c>
      <c r="J1692" s="26" t="s">
        <v>22</v>
      </c>
      <c r="K1692" s="26" t="s">
        <v>23</v>
      </c>
      <c r="L1692" s="31">
        <f t="shared" si="55"/>
        <v>7011.973500000001</v>
      </c>
      <c r="M1692" s="31">
        <v>115.86</v>
      </c>
      <c r="N1692" s="22">
        <f>_xlfn.XLOOKUP(Snitch_Fashion_Sales_cleaned!$J1692,Table2[City],Table2[City_Key],"not found")</f>
        <v>3</v>
      </c>
      <c r="O1692" s="21">
        <f>_xlfn.XLOOKUP(Snitch_Fashion_Sales_cleaned!$D1692,Table4[Product_Name],Table4[Product_Key],"not found")</f>
        <v>21</v>
      </c>
      <c r="P1692" s="25">
        <f>_xlfn.XLOOKUP(Snitch_Fashion_Sales_cleaned!$I1692,Table3[Order_Date],Table3[Date_Key])</f>
        <v>511</v>
      </c>
    </row>
    <row r="1693" spans="1:16" x14ac:dyDescent="0.3">
      <c r="A1693" s="34">
        <v>2691</v>
      </c>
      <c r="B1693" s="32" t="s">
        <v>1721</v>
      </c>
      <c r="C1693" s="32" t="s">
        <v>31</v>
      </c>
      <c r="D1693" s="33" t="s">
        <v>32</v>
      </c>
      <c r="E1693" s="34">
        <v>1</v>
      </c>
      <c r="F1693" s="35">
        <v>2001.5500000000002</v>
      </c>
      <c r="G1693" s="36">
        <v>0.5</v>
      </c>
      <c r="H1693" s="35">
        <f t="shared" si="54"/>
        <v>2001.5500000000002</v>
      </c>
      <c r="I1693" s="37">
        <v>45411</v>
      </c>
      <c r="J1693" s="33" t="s">
        <v>2540</v>
      </c>
      <c r="K1693" s="33" t="s">
        <v>23</v>
      </c>
      <c r="L1693" s="38">
        <f t="shared" si="55"/>
        <v>1000.7750000000001</v>
      </c>
      <c r="M1693" s="38">
        <v>-182.86</v>
      </c>
      <c r="N1693" s="24">
        <f>_xlfn.XLOOKUP(Snitch_Fashion_Sales_cleaned!$J1693,Table2[City],Table2[City_Key],"not found")</f>
        <v>4</v>
      </c>
      <c r="O1693" s="23">
        <f>_xlfn.XLOOKUP(Snitch_Fashion_Sales_cleaned!$D1693,Table4[Product_Name],Table4[Product_Key],"not found")</f>
        <v>5</v>
      </c>
      <c r="P1693" s="32">
        <f>_xlfn.XLOOKUP(Snitch_Fashion_Sales_cleaned!$I1693,Table3[Order_Date],Table3[Date_Key])</f>
        <v>420</v>
      </c>
    </row>
    <row r="1694" spans="1:16" x14ac:dyDescent="0.3">
      <c r="A1694" s="27">
        <v>2692</v>
      </c>
      <c r="B1694" s="25" t="s">
        <v>1722</v>
      </c>
      <c r="C1694" s="25" t="s">
        <v>36</v>
      </c>
      <c r="D1694" s="26" t="s">
        <v>87</v>
      </c>
      <c r="E1694" s="27">
        <v>4</v>
      </c>
      <c r="F1694" s="28">
        <v>2889.5349999999999</v>
      </c>
      <c r="G1694" s="29">
        <v>0.51</v>
      </c>
      <c r="H1694" s="28">
        <f t="shared" si="54"/>
        <v>11558.14</v>
      </c>
      <c r="I1694" s="30">
        <v>45762</v>
      </c>
      <c r="J1694" s="26" t="s">
        <v>22</v>
      </c>
      <c r="K1694" s="26" t="s">
        <v>23</v>
      </c>
      <c r="L1694" s="31">
        <f t="shared" si="55"/>
        <v>5663.4885999999997</v>
      </c>
      <c r="M1694" s="31">
        <v>-364.29</v>
      </c>
      <c r="N1694" s="22">
        <f>_xlfn.XLOOKUP(Snitch_Fashion_Sales_cleaned!$J1694,Table2[City],Table2[City_Key],"not found")</f>
        <v>3</v>
      </c>
      <c r="O1694" s="21">
        <f>_xlfn.XLOOKUP(Snitch_Fashion_Sales_cleaned!$D1694,Table4[Product_Name],Table4[Product_Key],"not found")</f>
        <v>20</v>
      </c>
      <c r="P1694" s="25">
        <f>_xlfn.XLOOKUP(Snitch_Fashion_Sales_cleaned!$I1694,Table3[Order_Date],Table3[Date_Key])</f>
        <v>69</v>
      </c>
    </row>
    <row r="1695" spans="1:16" x14ac:dyDescent="0.3">
      <c r="A1695" s="34">
        <v>2693</v>
      </c>
      <c r="B1695" s="32" t="s">
        <v>1723</v>
      </c>
      <c r="C1695" s="32" t="s">
        <v>13</v>
      </c>
      <c r="D1695" s="33" t="s">
        <v>34</v>
      </c>
      <c r="E1695" s="34">
        <v>4</v>
      </c>
      <c r="F1695" s="35">
        <v>4366.3999999999996</v>
      </c>
      <c r="G1695" s="36">
        <v>0.51</v>
      </c>
      <c r="H1695" s="35">
        <f t="shared" si="54"/>
        <v>17465.599999999999</v>
      </c>
      <c r="I1695" s="37">
        <v>45647</v>
      </c>
      <c r="J1695" s="33" t="s">
        <v>52</v>
      </c>
      <c r="K1695" s="33" t="s">
        <v>23</v>
      </c>
      <c r="L1695" s="38">
        <f t="shared" si="55"/>
        <v>8558.1439999999984</v>
      </c>
      <c r="M1695" s="38">
        <v>-542.72</v>
      </c>
      <c r="N1695" s="24">
        <f>_xlfn.XLOOKUP(Snitch_Fashion_Sales_cleaned!$J1695,Table2[City],Table2[City_Key],"not found")</f>
        <v>5</v>
      </c>
      <c r="O1695" s="23">
        <f>_xlfn.XLOOKUP(Snitch_Fashion_Sales_cleaned!$D1695,Table4[Product_Name],Table4[Product_Key],"not found")</f>
        <v>6</v>
      </c>
      <c r="P1695" s="32">
        <f>_xlfn.XLOOKUP(Snitch_Fashion_Sales_cleaned!$I1695,Table3[Order_Date],Table3[Date_Key])</f>
        <v>5</v>
      </c>
    </row>
    <row r="1696" spans="1:16" x14ac:dyDescent="0.3">
      <c r="A1696" s="27">
        <v>2694</v>
      </c>
      <c r="B1696" s="25" t="s">
        <v>1724</v>
      </c>
      <c r="C1696" s="25" t="s">
        <v>25</v>
      </c>
      <c r="D1696" s="26" t="s">
        <v>62</v>
      </c>
      <c r="E1696" s="27">
        <v>4</v>
      </c>
      <c r="F1696" s="28">
        <v>1617.83</v>
      </c>
      <c r="G1696" s="29">
        <v>0.51</v>
      </c>
      <c r="H1696" s="28">
        <f t="shared" si="54"/>
        <v>6471.32</v>
      </c>
      <c r="I1696" s="30">
        <v>45834</v>
      </c>
      <c r="J1696" s="26" t="s">
        <v>15</v>
      </c>
      <c r="K1696" s="26" t="s">
        <v>23</v>
      </c>
      <c r="L1696" s="31">
        <f t="shared" si="55"/>
        <v>3170.9467999999997</v>
      </c>
      <c r="M1696" s="31">
        <v>1532.93</v>
      </c>
      <c r="N1696" s="22">
        <f>_xlfn.XLOOKUP(Snitch_Fashion_Sales_cleaned!$J1696,Table2[City],Table2[City_Key],"not found")</f>
        <v>1</v>
      </c>
      <c r="O1696" s="21">
        <f>_xlfn.XLOOKUP(Snitch_Fashion_Sales_cleaned!$D1696,Table4[Product_Name],Table4[Product_Key],"not found")</f>
        <v>14</v>
      </c>
      <c r="P1696" s="25">
        <f>_xlfn.XLOOKUP(Snitch_Fashion_Sales_cleaned!$I1696,Table3[Order_Date],Table3[Date_Key])</f>
        <v>75</v>
      </c>
    </row>
    <row r="1697" spans="1:16" x14ac:dyDescent="0.3">
      <c r="A1697" s="34">
        <v>2695</v>
      </c>
      <c r="B1697" s="32" t="s">
        <v>1725</v>
      </c>
      <c r="C1697" s="32" t="s">
        <v>13</v>
      </c>
      <c r="D1697" s="33" t="s">
        <v>34</v>
      </c>
      <c r="E1697" s="34">
        <v>3</v>
      </c>
      <c r="F1697" s="35">
        <v>4834.87</v>
      </c>
      <c r="G1697" s="36">
        <v>0.51</v>
      </c>
      <c r="H1697" s="35">
        <f t="shared" si="54"/>
        <v>14504.61</v>
      </c>
      <c r="I1697" s="37">
        <v>45647</v>
      </c>
      <c r="J1697" s="33" t="s">
        <v>2540</v>
      </c>
      <c r="K1697" s="33" t="s">
        <v>23</v>
      </c>
      <c r="L1697" s="38">
        <f t="shared" si="55"/>
        <v>7107.2588999999998</v>
      </c>
      <c r="M1697" s="38">
        <v>1655.07</v>
      </c>
      <c r="N1697" s="24">
        <f>_xlfn.XLOOKUP(Snitch_Fashion_Sales_cleaned!$J1697,Table2[City],Table2[City_Key],"not found")</f>
        <v>4</v>
      </c>
      <c r="O1697" s="23">
        <f>_xlfn.XLOOKUP(Snitch_Fashion_Sales_cleaned!$D1697,Table4[Product_Name],Table4[Product_Key],"not found")</f>
        <v>6</v>
      </c>
      <c r="P1697" s="32">
        <f>_xlfn.XLOOKUP(Snitch_Fashion_Sales_cleaned!$I1697,Table3[Order_Date],Table3[Date_Key])</f>
        <v>5</v>
      </c>
    </row>
    <row r="1698" spans="1:16" x14ac:dyDescent="0.3">
      <c r="A1698" s="27">
        <v>2696</v>
      </c>
      <c r="B1698" s="25" t="s">
        <v>1726</v>
      </c>
      <c r="C1698" s="25" t="s">
        <v>20</v>
      </c>
      <c r="D1698" s="26" t="s">
        <v>21</v>
      </c>
      <c r="E1698" s="27">
        <v>4</v>
      </c>
      <c r="F1698" s="28">
        <v>2579.8000000000002</v>
      </c>
      <c r="G1698" s="29">
        <v>0.51</v>
      </c>
      <c r="H1698" s="28">
        <f t="shared" si="54"/>
        <v>10319.200000000001</v>
      </c>
      <c r="I1698" s="30">
        <v>45797</v>
      </c>
      <c r="J1698" s="26" t="s">
        <v>18</v>
      </c>
      <c r="K1698" s="26" t="s">
        <v>23</v>
      </c>
      <c r="L1698" s="31">
        <f t="shared" si="55"/>
        <v>5056.4080000000004</v>
      </c>
      <c r="M1698" s="31">
        <v>-804.09</v>
      </c>
      <c r="N1698" s="22">
        <f>_xlfn.XLOOKUP(Snitch_Fashion_Sales_cleaned!$J1698,Table2[City],Table2[City_Key],"not found")</f>
        <v>2</v>
      </c>
      <c r="O1698" s="21">
        <f>_xlfn.XLOOKUP(Snitch_Fashion_Sales_cleaned!$D1698,Table4[Product_Name],Table4[Product_Key],"not found")</f>
        <v>2</v>
      </c>
      <c r="P1698" s="25">
        <f>_xlfn.XLOOKUP(Snitch_Fashion_Sales_cleaned!$I1698,Table3[Order_Date],Table3[Date_Key])</f>
        <v>26</v>
      </c>
    </row>
    <row r="1699" spans="1:16" x14ac:dyDescent="0.3">
      <c r="A1699" s="34">
        <v>2697</v>
      </c>
      <c r="B1699" s="32" t="s">
        <v>1727</v>
      </c>
      <c r="C1699" s="32" t="s">
        <v>36</v>
      </c>
      <c r="D1699" s="33" t="s">
        <v>59</v>
      </c>
      <c r="E1699" s="34">
        <v>3</v>
      </c>
      <c r="F1699" s="35">
        <v>3300.82</v>
      </c>
      <c r="G1699" s="36">
        <v>0.51</v>
      </c>
      <c r="H1699" s="35">
        <f t="shared" si="54"/>
        <v>9902.4600000000009</v>
      </c>
      <c r="I1699" s="37">
        <v>45796</v>
      </c>
      <c r="J1699" s="33" t="s">
        <v>18</v>
      </c>
      <c r="K1699" s="33" t="s">
        <v>23</v>
      </c>
      <c r="L1699" s="38">
        <f t="shared" si="55"/>
        <v>4852.2054000000007</v>
      </c>
      <c r="M1699" s="38">
        <v>394.83</v>
      </c>
      <c r="N1699" s="24">
        <f>_xlfn.XLOOKUP(Snitch_Fashion_Sales_cleaned!$J1699,Table2[City],Table2[City_Key],"not found")</f>
        <v>2</v>
      </c>
      <c r="O1699" s="23">
        <f>_xlfn.XLOOKUP(Snitch_Fashion_Sales_cleaned!$D1699,Table4[Product_Name],Table4[Product_Key],"not found")</f>
        <v>13</v>
      </c>
      <c r="P1699" s="32">
        <f>_xlfn.XLOOKUP(Snitch_Fashion_Sales_cleaned!$I1699,Table3[Order_Date],Table3[Date_Key])</f>
        <v>343</v>
      </c>
    </row>
    <row r="1700" spans="1:16" x14ac:dyDescent="0.3">
      <c r="A1700" s="27">
        <v>2698</v>
      </c>
      <c r="B1700" s="25" t="s">
        <v>1728</v>
      </c>
      <c r="C1700" s="25" t="s">
        <v>20</v>
      </c>
      <c r="D1700" s="26" t="s">
        <v>76</v>
      </c>
      <c r="E1700" s="27">
        <v>3</v>
      </c>
      <c r="F1700" s="28">
        <v>1810.81</v>
      </c>
      <c r="G1700" s="29">
        <v>0.5</v>
      </c>
      <c r="H1700" s="28">
        <f t="shared" si="54"/>
        <v>5432.43</v>
      </c>
      <c r="I1700" s="30">
        <v>45647</v>
      </c>
      <c r="J1700" s="26" t="s">
        <v>43</v>
      </c>
      <c r="K1700" s="26" t="s">
        <v>16</v>
      </c>
      <c r="L1700" s="31">
        <f t="shared" si="55"/>
        <v>2716.2150000000001</v>
      </c>
      <c r="M1700" s="31">
        <v>1605.28</v>
      </c>
      <c r="N1700" s="22">
        <f>_xlfn.XLOOKUP(Snitch_Fashion_Sales_cleaned!$J1700,Table2[City],Table2[City_Key],"not found")</f>
        <v>6</v>
      </c>
      <c r="O1700" s="21">
        <f>_xlfn.XLOOKUP(Snitch_Fashion_Sales_cleaned!$D1700,Table4[Product_Name],Table4[Product_Key],"not found")</f>
        <v>16</v>
      </c>
      <c r="P1700" s="25">
        <f>_xlfn.XLOOKUP(Snitch_Fashion_Sales_cleaned!$I1700,Table3[Order_Date],Table3[Date_Key])</f>
        <v>5</v>
      </c>
    </row>
    <row r="1701" spans="1:16" x14ac:dyDescent="0.3">
      <c r="A1701" s="34">
        <v>2699</v>
      </c>
      <c r="B1701" s="32" t="s">
        <v>1729</v>
      </c>
      <c r="C1701" s="32" t="s">
        <v>13</v>
      </c>
      <c r="D1701" s="33" t="s">
        <v>46</v>
      </c>
      <c r="E1701" s="34">
        <v>6</v>
      </c>
      <c r="F1701" s="35">
        <v>2891.64</v>
      </c>
      <c r="G1701" s="36">
        <v>0.51</v>
      </c>
      <c r="H1701" s="35">
        <f t="shared" si="54"/>
        <v>17349.84</v>
      </c>
      <c r="I1701" s="37">
        <v>45802</v>
      </c>
      <c r="J1701" s="33" t="s">
        <v>15</v>
      </c>
      <c r="K1701" s="33" t="s">
        <v>16</v>
      </c>
      <c r="L1701" s="38">
        <f t="shared" si="55"/>
        <v>8501.4215999999997</v>
      </c>
      <c r="M1701" s="38">
        <v>1068.6600000000001</v>
      </c>
      <c r="N1701" s="24">
        <f>_xlfn.XLOOKUP(Snitch_Fashion_Sales_cleaned!$J1701,Table2[City],Table2[City_Key],"not found")</f>
        <v>1</v>
      </c>
      <c r="O1701" s="23">
        <f>_xlfn.XLOOKUP(Snitch_Fashion_Sales_cleaned!$D1701,Table4[Product_Name],Table4[Product_Key],"not found")</f>
        <v>10</v>
      </c>
      <c r="P1701" s="32">
        <f>_xlfn.XLOOKUP(Snitch_Fashion_Sales_cleaned!$I1701,Table3[Order_Date],Table3[Date_Key])</f>
        <v>345</v>
      </c>
    </row>
    <row r="1702" spans="1:16" x14ac:dyDescent="0.3">
      <c r="A1702" s="27">
        <v>2700</v>
      </c>
      <c r="B1702" s="25" t="s">
        <v>1730</v>
      </c>
      <c r="C1702" s="25" t="s">
        <v>25</v>
      </c>
      <c r="D1702" s="26" t="s">
        <v>82</v>
      </c>
      <c r="E1702" s="27">
        <v>3</v>
      </c>
      <c r="F1702" s="28">
        <v>2385.5749999999998</v>
      </c>
      <c r="G1702" s="29">
        <v>0.51</v>
      </c>
      <c r="H1702" s="28">
        <f t="shared" si="54"/>
        <v>7156.7249999999995</v>
      </c>
      <c r="I1702" s="30">
        <v>45647</v>
      </c>
      <c r="J1702" s="26" t="s">
        <v>22</v>
      </c>
      <c r="K1702" s="26" t="s">
        <v>23</v>
      </c>
      <c r="L1702" s="31">
        <f t="shared" si="55"/>
        <v>3506.7952499999997</v>
      </c>
      <c r="M1702" s="31">
        <v>588.04</v>
      </c>
      <c r="N1702" s="22">
        <f>_xlfn.XLOOKUP(Snitch_Fashion_Sales_cleaned!$J1702,Table2[City],Table2[City_Key],"not found")</f>
        <v>3</v>
      </c>
      <c r="O1702" s="21">
        <f>_xlfn.XLOOKUP(Snitch_Fashion_Sales_cleaned!$D1702,Table4[Product_Name],Table4[Product_Key],"not found")</f>
        <v>18</v>
      </c>
      <c r="P1702" s="25">
        <f>_xlfn.XLOOKUP(Snitch_Fashion_Sales_cleaned!$I1702,Table3[Order_Date],Table3[Date_Key])</f>
        <v>5</v>
      </c>
    </row>
    <row r="1703" spans="1:16" x14ac:dyDescent="0.3">
      <c r="A1703" s="34">
        <v>2701</v>
      </c>
      <c r="B1703" s="32" t="s">
        <v>1731</v>
      </c>
      <c r="C1703" s="32" t="s">
        <v>28</v>
      </c>
      <c r="D1703" s="33" t="s">
        <v>116</v>
      </c>
      <c r="E1703" s="34">
        <v>4</v>
      </c>
      <c r="F1703" s="35">
        <v>2085.92</v>
      </c>
      <c r="G1703" s="36">
        <v>0.51</v>
      </c>
      <c r="H1703" s="35">
        <f t="shared" si="54"/>
        <v>8343.68</v>
      </c>
      <c r="I1703" s="37">
        <v>45669</v>
      </c>
      <c r="J1703" s="33" t="s">
        <v>2540</v>
      </c>
      <c r="K1703" s="33" t="s">
        <v>16</v>
      </c>
      <c r="L1703" s="38">
        <f t="shared" si="55"/>
        <v>4088.4032000000002</v>
      </c>
      <c r="M1703" s="38">
        <v>1301.3699999999999</v>
      </c>
      <c r="N1703" s="24">
        <f>_xlfn.XLOOKUP(Snitch_Fashion_Sales_cleaned!$J1703,Table2[City],Table2[City_Key],"not found")</f>
        <v>4</v>
      </c>
      <c r="O1703" s="23">
        <f>_xlfn.XLOOKUP(Snitch_Fashion_Sales_cleaned!$D1703,Table4[Product_Name],Table4[Product_Key],"not found")</f>
        <v>22</v>
      </c>
      <c r="P1703" s="32">
        <f>_xlfn.XLOOKUP(Snitch_Fashion_Sales_cleaned!$I1703,Table3[Order_Date],Table3[Date_Key])</f>
        <v>296</v>
      </c>
    </row>
    <row r="1704" spans="1:16" x14ac:dyDescent="0.3">
      <c r="A1704" s="27">
        <v>2702</v>
      </c>
      <c r="B1704" s="25" t="s">
        <v>1732</v>
      </c>
      <c r="C1704" s="25" t="s">
        <v>31</v>
      </c>
      <c r="D1704" s="26" t="s">
        <v>78</v>
      </c>
      <c r="E1704" s="27">
        <v>4</v>
      </c>
      <c r="F1704" s="28">
        <v>2599.75</v>
      </c>
      <c r="G1704" s="29">
        <v>0.51</v>
      </c>
      <c r="H1704" s="28">
        <f t="shared" si="54"/>
        <v>10399</v>
      </c>
      <c r="I1704" s="30">
        <v>45537</v>
      </c>
      <c r="J1704" s="26" t="s">
        <v>52</v>
      </c>
      <c r="K1704" s="26" t="s">
        <v>23</v>
      </c>
      <c r="L1704" s="31">
        <f t="shared" si="55"/>
        <v>5095.51</v>
      </c>
      <c r="M1704" s="31">
        <v>606.51</v>
      </c>
      <c r="N1704" s="22">
        <f>_xlfn.XLOOKUP(Snitch_Fashion_Sales_cleaned!$J1704,Table2[City],Table2[City_Key],"not found")</f>
        <v>5</v>
      </c>
      <c r="O1704" s="21">
        <f>_xlfn.XLOOKUP(Snitch_Fashion_Sales_cleaned!$D1704,Table4[Product_Name],Table4[Product_Key],"not found")</f>
        <v>17</v>
      </c>
      <c r="P1704" s="25">
        <f>_xlfn.XLOOKUP(Snitch_Fashion_Sales_cleaned!$I1704,Table3[Order_Date],Table3[Date_Key])</f>
        <v>499</v>
      </c>
    </row>
    <row r="1705" spans="1:16" x14ac:dyDescent="0.3">
      <c r="A1705" s="34">
        <v>2703</v>
      </c>
      <c r="B1705" s="32" t="s">
        <v>1733</v>
      </c>
      <c r="C1705" s="32" t="s">
        <v>28</v>
      </c>
      <c r="D1705" s="33" t="s">
        <v>29</v>
      </c>
      <c r="E1705" s="34">
        <v>3</v>
      </c>
      <c r="F1705" s="35">
        <v>2515.415</v>
      </c>
      <c r="G1705" s="36">
        <v>0.51</v>
      </c>
      <c r="H1705" s="35">
        <f t="shared" si="54"/>
        <v>7546.2449999999999</v>
      </c>
      <c r="I1705" s="37">
        <v>45784</v>
      </c>
      <c r="J1705" s="33" t="s">
        <v>52</v>
      </c>
      <c r="K1705" s="33" t="s">
        <v>16</v>
      </c>
      <c r="L1705" s="38">
        <f t="shared" si="55"/>
        <v>3697.66005</v>
      </c>
      <c r="M1705" s="38">
        <v>2193.86</v>
      </c>
      <c r="N1705" s="24">
        <f>_xlfn.XLOOKUP(Snitch_Fashion_Sales_cleaned!$J1705,Table2[City],Table2[City_Key],"not found")</f>
        <v>5</v>
      </c>
      <c r="O1705" s="23">
        <f>_xlfn.XLOOKUP(Snitch_Fashion_Sales_cleaned!$D1705,Table4[Product_Name],Table4[Product_Key],"not found")</f>
        <v>4</v>
      </c>
      <c r="P1705" s="32">
        <f>_xlfn.XLOOKUP(Snitch_Fashion_Sales_cleaned!$I1705,Table3[Order_Date],Table3[Date_Key])</f>
        <v>512</v>
      </c>
    </row>
    <row r="1706" spans="1:16" x14ac:dyDescent="0.3">
      <c r="A1706" s="27">
        <v>2704</v>
      </c>
      <c r="B1706" s="25" t="s">
        <v>1734</v>
      </c>
      <c r="C1706" s="25" t="s">
        <v>20</v>
      </c>
      <c r="D1706" s="26" t="s">
        <v>76</v>
      </c>
      <c r="E1706" s="27">
        <v>1</v>
      </c>
      <c r="F1706" s="28">
        <v>2229.4899999999998</v>
      </c>
      <c r="G1706" s="29">
        <v>0.51</v>
      </c>
      <c r="H1706" s="28">
        <f t="shared" si="54"/>
        <v>2229.4899999999998</v>
      </c>
      <c r="I1706" s="30">
        <v>45506</v>
      </c>
      <c r="J1706" s="26" t="s">
        <v>22</v>
      </c>
      <c r="K1706" s="26" t="s">
        <v>16</v>
      </c>
      <c r="L1706" s="31">
        <f t="shared" si="55"/>
        <v>1092.4500999999998</v>
      </c>
      <c r="M1706" s="31">
        <v>7.12</v>
      </c>
      <c r="N1706" s="22">
        <f>_xlfn.XLOOKUP(Snitch_Fashion_Sales_cleaned!$J1706,Table2[City],Table2[City_Key],"not found")</f>
        <v>3</v>
      </c>
      <c r="O1706" s="21">
        <f>_xlfn.XLOOKUP(Snitch_Fashion_Sales_cleaned!$D1706,Table4[Product_Name],Table4[Product_Key],"not found")</f>
        <v>16</v>
      </c>
      <c r="P1706" s="25">
        <f>_xlfn.XLOOKUP(Snitch_Fashion_Sales_cleaned!$I1706,Table3[Order_Date],Table3[Date_Key])</f>
        <v>178</v>
      </c>
    </row>
    <row r="1707" spans="1:16" x14ac:dyDescent="0.3">
      <c r="A1707" s="34">
        <v>2705</v>
      </c>
      <c r="B1707" s="32" t="s">
        <v>1735</v>
      </c>
      <c r="C1707" s="32" t="s">
        <v>36</v>
      </c>
      <c r="D1707" s="33" t="s">
        <v>37</v>
      </c>
      <c r="E1707" s="34">
        <v>4</v>
      </c>
      <c r="F1707" s="35">
        <v>4870.82</v>
      </c>
      <c r="G1707" s="36">
        <v>0.51</v>
      </c>
      <c r="H1707" s="35">
        <f t="shared" si="54"/>
        <v>19483.28</v>
      </c>
      <c r="I1707" s="37">
        <v>45846</v>
      </c>
      <c r="J1707" s="33" t="s">
        <v>15</v>
      </c>
      <c r="K1707" s="33" t="s">
        <v>23</v>
      </c>
      <c r="L1707" s="38">
        <f t="shared" si="55"/>
        <v>9546.8071999999993</v>
      </c>
      <c r="M1707" s="38">
        <v>2833.18</v>
      </c>
      <c r="N1707" s="24">
        <f>_xlfn.XLOOKUP(Snitch_Fashion_Sales_cleaned!$J1707,Table2[City],Table2[City_Key],"not found")</f>
        <v>1</v>
      </c>
      <c r="O1707" s="23">
        <f>_xlfn.XLOOKUP(Snitch_Fashion_Sales_cleaned!$D1707,Table4[Product_Name],Table4[Product_Key],"not found")</f>
        <v>7</v>
      </c>
      <c r="P1707" s="32">
        <f>_xlfn.XLOOKUP(Snitch_Fashion_Sales_cleaned!$I1707,Table3[Order_Date],Table3[Date_Key])</f>
        <v>35</v>
      </c>
    </row>
    <row r="1708" spans="1:16" x14ac:dyDescent="0.3">
      <c r="A1708" s="27">
        <v>2706</v>
      </c>
      <c r="B1708" s="25" t="s">
        <v>1736</v>
      </c>
      <c r="C1708" s="25" t="s">
        <v>31</v>
      </c>
      <c r="D1708" s="26" t="s">
        <v>68</v>
      </c>
      <c r="E1708" s="27">
        <v>6</v>
      </c>
      <c r="F1708" s="28">
        <v>2765.79</v>
      </c>
      <c r="G1708" s="29">
        <v>0.51</v>
      </c>
      <c r="H1708" s="28">
        <f t="shared" si="54"/>
        <v>16594.739999999998</v>
      </c>
      <c r="I1708" s="30">
        <v>45595</v>
      </c>
      <c r="J1708" s="26" t="s">
        <v>43</v>
      </c>
      <c r="K1708" s="26" t="s">
        <v>23</v>
      </c>
      <c r="L1708" s="31">
        <f t="shared" si="55"/>
        <v>8131.422599999999</v>
      </c>
      <c r="M1708" s="31">
        <v>2379.5</v>
      </c>
      <c r="N1708" s="22">
        <f>_xlfn.XLOOKUP(Snitch_Fashion_Sales_cleaned!$J1708,Table2[City],Table2[City_Key],"not found")</f>
        <v>6</v>
      </c>
      <c r="O1708" s="21">
        <f>_xlfn.XLOOKUP(Snitch_Fashion_Sales_cleaned!$D1708,Table4[Product_Name],Table4[Product_Key],"not found")</f>
        <v>15</v>
      </c>
      <c r="P1708" s="25">
        <f>_xlfn.XLOOKUP(Snitch_Fashion_Sales_cleaned!$I1708,Table3[Order_Date],Table3[Date_Key])</f>
        <v>135</v>
      </c>
    </row>
    <row r="1709" spans="1:16" x14ac:dyDescent="0.3">
      <c r="A1709" s="34">
        <v>2707</v>
      </c>
      <c r="B1709" s="32" t="s">
        <v>1737</v>
      </c>
      <c r="C1709" s="32" t="s">
        <v>20</v>
      </c>
      <c r="D1709" s="33" t="s">
        <v>21</v>
      </c>
      <c r="E1709" s="34">
        <v>5</v>
      </c>
      <c r="F1709" s="35">
        <v>2579.8000000000002</v>
      </c>
      <c r="G1709" s="36">
        <v>0.51</v>
      </c>
      <c r="H1709" s="35">
        <f t="shared" si="54"/>
        <v>12899</v>
      </c>
      <c r="I1709" s="37">
        <v>45542</v>
      </c>
      <c r="J1709" s="33" t="s">
        <v>22</v>
      </c>
      <c r="K1709" s="33" t="s">
        <v>23</v>
      </c>
      <c r="L1709" s="38">
        <f t="shared" si="55"/>
        <v>6320.51</v>
      </c>
      <c r="M1709" s="38">
        <v>2763.02</v>
      </c>
      <c r="N1709" s="24">
        <f>_xlfn.XLOOKUP(Snitch_Fashion_Sales_cleaned!$J1709,Table2[City],Table2[City_Key],"not found")</f>
        <v>3</v>
      </c>
      <c r="O1709" s="23">
        <f>_xlfn.XLOOKUP(Snitch_Fashion_Sales_cleaned!$D1709,Table4[Product_Name],Table4[Product_Key],"not found")</f>
        <v>2</v>
      </c>
      <c r="P1709" s="32">
        <f>_xlfn.XLOOKUP(Snitch_Fashion_Sales_cleaned!$I1709,Table3[Order_Date],Table3[Date_Key])</f>
        <v>495</v>
      </c>
    </row>
    <row r="1710" spans="1:16" x14ac:dyDescent="0.3">
      <c r="A1710" s="27">
        <v>2708</v>
      </c>
      <c r="B1710" s="25" t="s">
        <v>1738</v>
      </c>
      <c r="C1710" s="25" t="s">
        <v>28</v>
      </c>
      <c r="D1710" s="26" t="s">
        <v>29</v>
      </c>
      <c r="E1710" s="27">
        <v>4</v>
      </c>
      <c r="F1710" s="28">
        <v>4882.6899999999996</v>
      </c>
      <c r="G1710" s="29">
        <v>0.51</v>
      </c>
      <c r="H1710" s="28">
        <f t="shared" si="54"/>
        <v>19530.759999999998</v>
      </c>
      <c r="I1710" s="30">
        <v>45656</v>
      </c>
      <c r="J1710" s="26" t="s">
        <v>22</v>
      </c>
      <c r="K1710" s="26" t="s">
        <v>23</v>
      </c>
      <c r="L1710" s="31">
        <f t="shared" si="55"/>
        <v>9570.0723999999991</v>
      </c>
      <c r="M1710" s="31">
        <v>2658.6</v>
      </c>
      <c r="N1710" s="22">
        <f>_xlfn.XLOOKUP(Snitch_Fashion_Sales_cleaned!$J1710,Table2[City],Table2[City_Key],"not found")</f>
        <v>3</v>
      </c>
      <c r="O1710" s="21">
        <f>_xlfn.XLOOKUP(Snitch_Fashion_Sales_cleaned!$D1710,Table4[Product_Name],Table4[Product_Key],"not found")</f>
        <v>4</v>
      </c>
      <c r="P1710" s="25">
        <f>_xlfn.XLOOKUP(Snitch_Fashion_Sales_cleaned!$I1710,Table3[Order_Date],Table3[Date_Key])</f>
        <v>67</v>
      </c>
    </row>
    <row r="1711" spans="1:16" x14ac:dyDescent="0.3">
      <c r="A1711" s="34">
        <v>2709</v>
      </c>
      <c r="B1711" s="32" t="s">
        <v>1739</v>
      </c>
      <c r="C1711" s="32" t="s">
        <v>20</v>
      </c>
      <c r="D1711" s="33" t="s">
        <v>76</v>
      </c>
      <c r="E1711" s="34">
        <v>3</v>
      </c>
      <c r="F1711" s="35">
        <v>2229.4899999999998</v>
      </c>
      <c r="G1711" s="36">
        <v>0.3</v>
      </c>
      <c r="H1711" s="35">
        <f t="shared" si="54"/>
        <v>6688.4699999999993</v>
      </c>
      <c r="I1711" s="37">
        <v>45696</v>
      </c>
      <c r="J1711" s="33" t="s">
        <v>52</v>
      </c>
      <c r="K1711" s="33" t="s">
        <v>23</v>
      </c>
      <c r="L1711" s="38">
        <f t="shared" si="55"/>
        <v>4681.9289999999992</v>
      </c>
      <c r="M1711" s="38">
        <v>-473.04</v>
      </c>
      <c r="N1711" s="24">
        <f>_xlfn.XLOOKUP(Snitch_Fashion_Sales_cleaned!$J1711,Table2[City],Table2[City_Key],"not found")</f>
        <v>5</v>
      </c>
      <c r="O1711" s="23">
        <f>_xlfn.XLOOKUP(Snitch_Fashion_Sales_cleaned!$D1711,Table4[Product_Name],Table4[Product_Key],"not found")</f>
        <v>16</v>
      </c>
      <c r="P1711" s="32">
        <f>_xlfn.XLOOKUP(Snitch_Fashion_Sales_cleaned!$I1711,Table3[Order_Date],Table3[Date_Key])</f>
        <v>367</v>
      </c>
    </row>
    <row r="1712" spans="1:16" x14ac:dyDescent="0.3">
      <c r="A1712" s="27">
        <v>2710</v>
      </c>
      <c r="B1712" s="25" t="s">
        <v>1740</v>
      </c>
      <c r="C1712" s="25" t="s">
        <v>36</v>
      </c>
      <c r="D1712" s="26" t="s">
        <v>87</v>
      </c>
      <c r="E1712" s="27">
        <v>4</v>
      </c>
      <c r="F1712" s="28">
        <v>2565.5500000000002</v>
      </c>
      <c r="G1712" s="29">
        <v>0.51</v>
      </c>
      <c r="H1712" s="28">
        <f t="shared" si="54"/>
        <v>10262.200000000001</v>
      </c>
      <c r="I1712" s="30">
        <v>45547</v>
      </c>
      <c r="J1712" s="26" t="s">
        <v>2540</v>
      </c>
      <c r="K1712" s="26" t="s">
        <v>23</v>
      </c>
      <c r="L1712" s="31">
        <f t="shared" si="55"/>
        <v>5028.4780000000001</v>
      </c>
      <c r="M1712" s="31">
        <v>62.05</v>
      </c>
      <c r="N1712" s="22">
        <f>_xlfn.XLOOKUP(Snitch_Fashion_Sales_cleaned!$J1712,Table2[City],Table2[City_Key],"not found")</f>
        <v>4</v>
      </c>
      <c r="O1712" s="21">
        <f>_xlfn.XLOOKUP(Snitch_Fashion_Sales_cleaned!$D1712,Table4[Product_Name],Table4[Product_Key],"not found")</f>
        <v>20</v>
      </c>
      <c r="P1712" s="25">
        <f>_xlfn.XLOOKUP(Snitch_Fashion_Sales_cleaned!$I1712,Table3[Order_Date],Table3[Date_Key])</f>
        <v>31</v>
      </c>
    </row>
    <row r="1713" spans="1:16" x14ac:dyDescent="0.3">
      <c r="A1713" s="34">
        <v>2711</v>
      </c>
      <c r="B1713" s="32" t="s">
        <v>1741</v>
      </c>
      <c r="C1713" s="32" t="s">
        <v>36</v>
      </c>
      <c r="D1713" s="33" t="s">
        <v>87</v>
      </c>
      <c r="E1713" s="34">
        <v>4</v>
      </c>
      <c r="F1713" s="35">
        <v>2889.5349999999999</v>
      </c>
      <c r="G1713" s="36">
        <v>0.51</v>
      </c>
      <c r="H1713" s="35">
        <f t="shared" si="54"/>
        <v>11558.14</v>
      </c>
      <c r="I1713" s="37">
        <v>45321</v>
      </c>
      <c r="J1713" s="33" t="s">
        <v>43</v>
      </c>
      <c r="K1713" s="33" t="s">
        <v>23</v>
      </c>
      <c r="L1713" s="38">
        <f t="shared" si="55"/>
        <v>5663.4885999999997</v>
      </c>
      <c r="M1713" s="38">
        <v>-25.26</v>
      </c>
      <c r="N1713" s="24">
        <f>_xlfn.XLOOKUP(Snitch_Fashion_Sales_cleaned!$J1713,Table2[City],Table2[City_Key],"not found")</f>
        <v>6</v>
      </c>
      <c r="O1713" s="23">
        <f>_xlfn.XLOOKUP(Snitch_Fashion_Sales_cleaned!$D1713,Table4[Product_Name],Table4[Product_Key],"not found")</f>
        <v>20</v>
      </c>
      <c r="P1713" s="32">
        <f>_xlfn.XLOOKUP(Snitch_Fashion_Sales_cleaned!$I1713,Table3[Order_Date],Table3[Date_Key])</f>
        <v>444</v>
      </c>
    </row>
    <row r="1714" spans="1:16" x14ac:dyDescent="0.3">
      <c r="A1714" s="27">
        <v>2712</v>
      </c>
      <c r="B1714" s="25" t="s">
        <v>1742</v>
      </c>
      <c r="C1714" s="25" t="s">
        <v>20</v>
      </c>
      <c r="D1714" s="26" t="s">
        <v>118</v>
      </c>
      <c r="E1714" s="27">
        <v>3.5</v>
      </c>
      <c r="F1714" s="28">
        <v>2752.99</v>
      </c>
      <c r="G1714" s="29">
        <v>0.51</v>
      </c>
      <c r="H1714" s="28">
        <f t="shared" si="54"/>
        <v>9635.4650000000001</v>
      </c>
      <c r="I1714" s="30">
        <v>45641</v>
      </c>
      <c r="J1714" s="26" t="s">
        <v>2540</v>
      </c>
      <c r="K1714" s="26" t="s">
        <v>23</v>
      </c>
      <c r="L1714" s="31">
        <f t="shared" si="55"/>
        <v>4721.3778499999999</v>
      </c>
      <c r="M1714" s="31">
        <v>-973.58</v>
      </c>
      <c r="N1714" s="22">
        <f>_xlfn.XLOOKUP(Snitch_Fashion_Sales_cleaned!$J1714,Table2[City],Table2[City_Key],"not found")</f>
        <v>4</v>
      </c>
      <c r="O1714" s="21">
        <f>_xlfn.XLOOKUP(Snitch_Fashion_Sales_cleaned!$D1714,Table4[Product_Name],Table4[Product_Key],"not found")</f>
        <v>23</v>
      </c>
      <c r="P1714" s="25">
        <f>_xlfn.XLOOKUP(Snitch_Fashion_Sales_cleaned!$I1714,Table3[Order_Date],Table3[Date_Key])</f>
        <v>99</v>
      </c>
    </row>
    <row r="1715" spans="1:16" x14ac:dyDescent="0.3">
      <c r="A1715" s="34">
        <v>2713</v>
      </c>
      <c r="B1715" s="32" t="s">
        <v>1743</v>
      </c>
      <c r="C1715" s="32" t="s">
        <v>25</v>
      </c>
      <c r="D1715" s="33" t="s">
        <v>50</v>
      </c>
      <c r="E1715" s="34">
        <v>4</v>
      </c>
      <c r="F1715" s="35">
        <v>1559.67</v>
      </c>
      <c r="G1715" s="36">
        <v>0.51</v>
      </c>
      <c r="H1715" s="35">
        <f t="shared" si="54"/>
        <v>6238.68</v>
      </c>
      <c r="I1715" s="37">
        <v>45707</v>
      </c>
      <c r="J1715" s="33" t="s">
        <v>43</v>
      </c>
      <c r="K1715" s="33" t="s">
        <v>16</v>
      </c>
      <c r="L1715" s="38">
        <f t="shared" si="55"/>
        <v>3056.9531999999999</v>
      </c>
      <c r="M1715" s="38">
        <v>2605.5500000000002</v>
      </c>
      <c r="N1715" s="24">
        <f>_xlfn.XLOOKUP(Snitch_Fashion_Sales_cleaned!$J1715,Table2[City],Table2[City_Key],"not found")</f>
        <v>6</v>
      </c>
      <c r="O1715" s="23">
        <f>_xlfn.XLOOKUP(Snitch_Fashion_Sales_cleaned!$D1715,Table4[Product_Name],Table4[Product_Key],"not found")</f>
        <v>11</v>
      </c>
      <c r="P1715" s="32">
        <f>_xlfn.XLOOKUP(Snitch_Fashion_Sales_cleaned!$I1715,Table3[Order_Date],Table3[Date_Key])</f>
        <v>17</v>
      </c>
    </row>
    <row r="1716" spans="1:16" x14ac:dyDescent="0.3">
      <c r="A1716" s="27">
        <v>2714</v>
      </c>
      <c r="B1716" s="25" t="s">
        <v>1744</v>
      </c>
      <c r="C1716" s="25" t="s">
        <v>25</v>
      </c>
      <c r="D1716" s="26" t="s">
        <v>82</v>
      </c>
      <c r="E1716" s="27">
        <v>3</v>
      </c>
      <c r="F1716" s="28">
        <v>1171.79</v>
      </c>
      <c r="G1716" s="29">
        <v>0.51</v>
      </c>
      <c r="H1716" s="28">
        <f t="shared" si="54"/>
        <v>3515.37</v>
      </c>
      <c r="I1716" s="30">
        <v>45647</v>
      </c>
      <c r="J1716" s="26" t="s">
        <v>15</v>
      </c>
      <c r="K1716" s="26" t="s">
        <v>23</v>
      </c>
      <c r="L1716" s="31">
        <f t="shared" si="55"/>
        <v>1722.5312999999999</v>
      </c>
      <c r="M1716" s="31">
        <v>-392.96</v>
      </c>
      <c r="N1716" s="22">
        <f>_xlfn.XLOOKUP(Snitch_Fashion_Sales_cleaned!$J1716,Table2[City],Table2[City_Key],"not found")</f>
        <v>1</v>
      </c>
      <c r="O1716" s="21">
        <f>_xlfn.XLOOKUP(Snitch_Fashion_Sales_cleaned!$D1716,Table4[Product_Name],Table4[Product_Key],"not found")</f>
        <v>18</v>
      </c>
      <c r="P1716" s="25">
        <f>_xlfn.XLOOKUP(Snitch_Fashion_Sales_cleaned!$I1716,Table3[Order_Date],Table3[Date_Key])</f>
        <v>5</v>
      </c>
    </row>
    <row r="1717" spans="1:16" x14ac:dyDescent="0.3">
      <c r="A1717" s="34">
        <v>2715</v>
      </c>
      <c r="B1717" s="32" t="s">
        <v>1745</v>
      </c>
      <c r="C1717" s="32" t="s">
        <v>25</v>
      </c>
      <c r="D1717" s="33" t="s">
        <v>62</v>
      </c>
      <c r="E1717" s="34">
        <v>4</v>
      </c>
      <c r="F1717" s="35">
        <v>2538.0450000000001</v>
      </c>
      <c r="G1717" s="36">
        <v>0.51</v>
      </c>
      <c r="H1717" s="35">
        <f t="shared" si="54"/>
        <v>10152.18</v>
      </c>
      <c r="I1717" s="37">
        <v>45134</v>
      </c>
      <c r="J1717" s="33" t="s">
        <v>18</v>
      </c>
      <c r="K1717" s="33" t="s">
        <v>16</v>
      </c>
      <c r="L1717" s="38">
        <f t="shared" si="55"/>
        <v>4974.5681999999997</v>
      </c>
      <c r="M1717" s="38">
        <v>-144.72</v>
      </c>
      <c r="N1717" s="24">
        <f>_xlfn.XLOOKUP(Snitch_Fashion_Sales_cleaned!$J1717,Table2[City],Table2[City_Key],"not found")</f>
        <v>2</v>
      </c>
      <c r="O1717" s="23">
        <f>_xlfn.XLOOKUP(Snitch_Fashion_Sales_cleaned!$D1717,Table4[Product_Name],Table4[Product_Key],"not found")</f>
        <v>14</v>
      </c>
      <c r="P1717" s="32">
        <f>_xlfn.XLOOKUP(Snitch_Fashion_Sales_cleaned!$I1717,Table3[Order_Date],Table3[Date_Key])</f>
        <v>513</v>
      </c>
    </row>
    <row r="1718" spans="1:16" x14ac:dyDescent="0.3">
      <c r="A1718" s="27">
        <v>2716</v>
      </c>
      <c r="B1718" s="25" t="s">
        <v>1746</v>
      </c>
      <c r="C1718" s="25" t="s">
        <v>25</v>
      </c>
      <c r="D1718" s="26" t="s">
        <v>26</v>
      </c>
      <c r="E1718" s="27">
        <v>1</v>
      </c>
      <c r="F1718" s="28">
        <v>2933.45</v>
      </c>
      <c r="G1718" s="29">
        <v>0.49</v>
      </c>
      <c r="H1718" s="28">
        <f t="shared" si="54"/>
        <v>2933.45</v>
      </c>
      <c r="I1718" s="30">
        <v>45647</v>
      </c>
      <c r="J1718" s="26" t="s">
        <v>43</v>
      </c>
      <c r="K1718" s="26" t="s">
        <v>23</v>
      </c>
      <c r="L1718" s="31">
        <f t="shared" si="55"/>
        <v>1496.0594999999998</v>
      </c>
      <c r="M1718" s="31">
        <v>374.01487499999996</v>
      </c>
      <c r="N1718" s="22">
        <f>_xlfn.XLOOKUP(Snitch_Fashion_Sales_cleaned!$J1718,Table2[City],Table2[City_Key],"not found")</f>
        <v>6</v>
      </c>
      <c r="O1718" s="21">
        <f>_xlfn.XLOOKUP(Snitch_Fashion_Sales_cleaned!$D1718,Table4[Product_Name],Table4[Product_Key],"not found")</f>
        <v>3</v>
      </c>
      <c r="P1718" s="25">
        <f>_xlfn.XLOOKUP(Snitch_Fashion_Sales_cleaned!$I1718,Table3[Order_Date],Table3[Date_Key])</f>
        <v>5</v>
      </c>
    </row>
    <row r="1719" spans="1:16" x14ac:dyDescent="0.3">
      <c r="A1719" s="34">
        <v>2717</v>
      </c>
      <c r="B1719" s="32" t="s">
        <v>1747</v>
      </c>
      <c r="C1719" s="32" t="s">
        <v>13</v>
      </c>
      <c r="D1719" s="33" t="s">
        <v>34</v>
      </c>
      <c r="E1719" s="34">
        <v>2</v>
      </c>
      <c r="F1719" s="35">
        <v>3008.6549999999997</v>
      </c>
      <c r="G1719" s="36">
        <v>0.51</v>
      </c>
      <c r="H1719" s="35">
        <f t="shared" si="54"/>
        <v>6017.3099999999995</v>
      </c>
      <c r="I1719" s="37">
        <v>45660</v>
      </c>
      <c r="J1719" s="33" t="s">
        <v>43</v>
      </c>
      <c r="K1719" s="33" t="s">
        <v>16</v>
      </c>
      <c r="L1719" s="38">
        <f t="shared" si="55"/>
        <v>2948.4818999999998</v>
      </c>
      <c r="M1719" s="38">
        <v>2786.83</v>
      </c>
      <c r="N1719" s="24">
        <f>_xlfn.XLOOKUP(Snitch_Fashion_Sales_cleaned!$J1719,Table2[City],Table2[City_Key],"not found")</f>
        <v>6</v>
      </c>
      <c r="O1719" s="23">
        <f>_xlfn.XLOOKUP(Snitch_Fashion_Sales_cleaned!$D1719,Table4[Product_Name],Table4[Product_Key],"not found")</f>
        <v>6</v>
      </c>
      <c r="P1719" s="32">
        <f>_xlfn.XLOOKUP(Snitch_Fashion_Sales_cleaned!$I1719,Table3[Order_Date],Table3[Date_Key])</f>
        <v>210</v>
      </c>
    </row>
    <row r="1720" spans="1:16" x14ac:dyDescent="0.3">
      <c r="A1720" s="27">
        <v>2718</v>
      </c>
      <c r="B1720" s="25" t="s">
        <v>1748</v>
      </c>
      <c r="C1720" s="25" t="s">
        <v>13</v>
      </c>
      <c r="D1720" s="26" t="s">
        <v>14</v>
      </c>
      <c r="E1720" s="27">
        <v>3</v>
      </c>
      <c r="F1720" s="28">
        <v>909.31</v>
      </c>
      <c r="G1720" s="29">
        <v>0.51</v>
      </c>
      <c r="H1720" s="28">
        <f t="shared" si="54"/>
        <v>2727.93</v>
      </c>
      <c r="I1720" s="30">
        <v>45752</v>
      </c>
      <c r="J1720" s="26" t="s">
        <v>43</v>
      </c>
      <c r="K1720" s="26" t="s">
        <v>23</v>
      </c>
      <c r="L1720" s="31">
        <f t="shared" si="55"/>
        <v>1336.6857</v>
      </c>
      <c r="M1720" s="31">
        <v>334.171425</v>
      </c>
      <c r="N1720" s="22">
        <f>_xlfn.XLOOKUP(Snitch_Fashion_Sales_cleaned!$J1720,Table2[City],Table2[City_Key],"not found")</f>
        <v>6</v>
      </c>
      <c r="O1720" s="21">
        <f>_xlfn.XLOOKUP(Snitch_Fashion_Sales_cleaned!$D1720,Table4[Product_Name],Table4[Product_Key],"not found")</f>
        <v>1</v>
      </c>
      <c r="P1720" s="25">
        <f>_xlfn.XLOOKUP(Snitch_Fashion_Sales_cleaned!$I1720,Table3[Order_Date],Table3[Date_Key])</f>
        <v>30</v>
      </c>
    </row>
    <row r="1721" spans="1:16" x14ac:dyDescent="0.3">
      <c r="A1721" s="34">
        <v>2719</v>
      </c>
      <c r="B1721" s="32" t="s">
        <v>1749</v>
      </c>
      <c r="C1721" s="32" t="s">
        <v>36</v>
      </c>
      <c r="D1721" s="33" t="s">
        <v>37</v>
      </c>
      <c r="E1721" s="34">
        <v>4</v>
      </c>
      <c r="F1721" s="35">
        <v>1602.49</v>
      </c>
      <c r="G1721" s="36">
        <v>0.51</v>
      </c>
      <c r="H1721" s="35">
        <f t="shared" si="54"/>
        <v>6409.96</v>
      </c>
      <c r="I1721" s="37">
        <v>45741</v>
      </c>
      <c r="J1721" s="33" t="s">
        <v>2540</v>
      </c>
      <c r="K1721" s="33" t="s">
        <v>23</v>
      </c>
      <c r="L1721" s="38">
        <f t="shared" si="55"/>
        <v>3140.8804</v>
      </c>
      <c r="M1721" s="38">
        <v>-886.11</v>
      </c>
      <c r="N1721" s="24">
        <f>_xlfn.XLOOKUP(Snitch_Fashion_Sales_cleaned!$J1721,Table2[City],Table2[City_Key],"not found")</f>
        <v>4</v>
      </c>
      <c r="O1721" s="23">
        <f>_xlfn.XLOOKUP(Snitch_Fashion_Sales_cleaned!$D1721,Table4[Product_Name],Table4[Product_Key],"not found")</f>
        <v>7</v>
      </c>
      <c r="P1721" s="32">
        <f>_xlfn.XLOOKUP(Snitch_Fashion_Sales_cleaned!$I1721,Table3[Order_Date],Table3[Date_Key])</f>
        <v>157</v>
      </c>
    </row>
    <row r="1722" spans="1:16" x14ac:dyDescent="0.3">
      <c r="A1722" s="27">
        <v>2720</v>
      </c>
      <c r="B1722" s="25" t="s">
        <v>1750</v>
      </c>
      <c r="C1722" s="25" t="s">
        <v>36</v>
      </c>
      <c r="D1722" s="26" t="s">
        <v>59</v>
      </c>
      <c r="E1722" s="27">
        <v>3</v>
      </c>
      <c r="F1722" s="28">
        <v>3476.53</v>
      </c>
      <c r="G1722" s="29">
        <v>0.51</v>
      </c>
      <c r="H1722" s="28">
        <f t="shared" si="54"/>
        <v>10429.59</v>
      </c>
      <c r="I1722" s="30">
        <v>45729</v>
      </c>
      <c r="J1722" s="26" t="s">
        <v>43</v>
      </c>
      <c r="K1722" s="26" t="s">
        <v>23</v>
      </c>
      <c r="L1722" s="31">
        <f t="shared" si="55"/>
        <v>5110.4991</v>
      </c>
      <c r="M1722" s="31">
        <v>-522.33000000000004</v>
      </c>
      <c r="N1722" s="22">
        <f>_xlfn.XLOOKUP(Snitch_Fashion_Sales_cleaned!$J1722,Table2[City],Table2[City_Key],"not found")</f>
        <v>6</v>
      </c>
      <c r="O1722" s="21">
        <f>_xlfn.XLOOKUP(Snitch_Fashion_Sales_cleaned!$D1722,Table4[Product_Name],Table4[Product_Key],"not found")</f>
        <v>13</v>
      </c>
      <c r="P1722" s="25">
        <f>_xlfn.XLOOKUP(Snitch_Fashion_Sales_cleaned!$I1722,Table3[Order_Date],Table3[Date_Key])</f>
        <v>301</v>
      </c>
    </row>
    <row r="1723" spans="1:16" x14ac:dyDescent="0.3">
      <c r="A1723" s="34">
        <v>2721</v>
      </c>
      <c r="B1723" s="32" t="s">
        <v>1751</v>
      </c>
      <c r="C1723" s="32" t="s">
        <v>13</v>
      </c>
      <c r="D1723" s="33" t="s">
        <v>46</v>
      </c>
      <c r="E1723" s="34">
        <v>4</v>
      </c>
      <c r="F1723" s="35">
        <v>1109.5999999999999</v>
      </c>
      <c r="G1723" s="36">
        <v>0.04</v>
      </c>
      <c r="H1723" s="35">
        <f t="shared" si="54"/>
        <v>4438.3999999999996</v>
      </c>
      <c r="I1723" s="37">
        <v>45647</v>
      </c>
      <c r="J1723" s="33" t="s">
        <v>52</v>
      </c>
      <c r="K1723" s="33" t="s">
        <v>23</v>
      </c>
      <c r="L1723" s="38">
        <f t="shared" si="55"/>
        <v>4260.8639999999996</v>
      </c>
      <c r="M1723" s="38">
        <v>885.21</v>
      </c>
      <c r="N1723" s="24">
        <f>_xlfn.XLOOKUP(Snitch_Fashion_Sales_cleaned!$J1723,Table2[City],Table2[City_Key],"not found")</f>
        <v>5</v>
      </c>
      <c r="O1723" s="23">
        <f>_xlfn.XLOOKUP(Snitch_Fashion_Sales_cleaned!$D1723,Table4[Product_Name],Table4[Product_Key],"not found")</f>
        <v>10</v>
      </c>
      <c r="P1723" s="32">
        <f>_xlfn.XLOOKUP(Snitch_Fashion_Sales_cleaned!$I1723,Table3[Order_Date],Table3[Date_Key])</f>
        <v>5</v>
      </c>
    </row>
    <row r="1724" spans="1:16" x14ac:dyDescent="0.3">
      <c r="A1724" s="27">
        <v>2722</v>
      </c>
      <c r="B1724" s="25" t="s">
        <v>1752</v>
      </c>
      <c r="C1724" s="25" t="s">
        <v>13</v>
      </c>
      <c r="D1724" s="26" t="s">
        <v>98</v>
      </c>
      <c r="E1724" s="27">
        <v>5</v>
      </c>
      <c r="F1724" s="28">
        <v>2750.33</v>
      </c>
      <c r="G1724" s="29">
        <v>0.51</v>
      </c>
      <c r="H1724" s="28">
        <f t="shared" si="54"/>
        <v>13751.65</v>
      </c>
      <c r="I1724" s="30">
        <v>45647</v>
      </c>
      <c r="J1724" s="26" t="s">
        <v>2540</v>
      </c>
      <c r="K1724" s="26" t="s">
        <v>16</v>
      </c>
      <c r="L1724" s="31">
        <f t="shared" si="55"/>
        <v>6738.3085000000001</v>
      </c>
      <c r="M1724" s="31">
        <v>-367.6</v>
      </c>
      <c r="N1724" s="22">
        <f>_xlfn.XLOOKUP(Snitch_Fashion_Sales_cleaned!$J1724,Table2[City],Table2[City_Key],"not found")</f>
        <v>4</v>
      </c>
      <c r="O1724" s="21">
        <f>_xlfn.XLOOKUP(Snitch_Fashion_Sales_cleaned!$D1724,Table4[Product_Name],Table4[Product_Key],"not found")</f>
        <v>21</v>
      </c>
      <c r="P1724" s="25">
        <f>_xlfn.XLOOKUP(Snitch_Fashion_Sales_cleaned!$I1724,Table3[Order_Date],Table3[Date_Key])</f>
        <v>5</v>
      </c>
    </row>
    <row r="1725" spans="1:16" x14ac:dyDescent="0.3">
      <c r="A1725" s="34">
        <v>2723</v>
      </c>
      <c r="B1725" s="32" t="s">
        <v>1753</v>
      </c>
      <c r="C1725" s="32" t="s">
        <v>31</v>
      </c>
      <c r="D1725" s="33" t="s">
        <v>68</v>
      </c>
      <c r="E1725" s="34">
        <v>4</v>
      </c>
      <c r="F1725" s="35">
        <v>2765.79</v>
      </c>
      <c r="G1725" s="36">
        <v>0.51</v>
      </c>
      <c r="H1725" s="35">
        <f t="shared" si="54"/>
        <v>11063.16</v>
      </c>
      <c r="I1725" s="37">
        <v>45709</v>
      </c>
      <c r="J1725" s="33" t="s">
        <v>43</v>
      </c>
      <c r="K1725" s="33" t="s">
        <v>23</v>
      </c>
      <c r="L1725" s="38">
        <f t="shared" si="55"/>
        <v>5420.9484000000002</v>
      </c>
      <c r="M1725" s="38">
        <v>253.64</v>
      </c>
      <c r="N1725" s="24">
        <f>_xlfn.XLOOKUP(Snitch_Fashion_Sales_cleaned!$J1725,Table2[City],Table2[City_Key],"not found")</f>
        <v>6</v>
      </c>
      <c r="O1725" s="23">
        <f>_xlfn.XLOOKUP(Snitch_Fashion_Sales_cleaned!$D1725,Table4[Product_Name],Table4[Product_Key],"not found")</f>
        <v>15</v>
      </c>
      <c r="P1725" s="32">
        <f>_xlfn.XLOOKUP(Snitch_Fashion_Sales_cleaned!$I1725,Table3[Order_Date],Table3[Date_Key])</f>
        <v>359</v>
      </c>
    </row>
    <row r="1726" spans="1:16" x14ac:dyDescent="0.3">
      <c r="A1726" s="27">
        <v>2724</v>
      </c>
      <c r="B1726" s="25" t="s">
        <v>1754</v>
      </c>
      <c r="C1726" s="25" t="s">
        <v>13</v>
      </c>
      <c r="D1726" s="26" t="s">
        <v>14</v>
      </c>
      <c r="E1726" s="27">
        <v>4</v>
      </c>
      <c r="F1726" s="28">
        <v>716.3</v>
      </c>
      <c r="G1726" s="29">
        <v>0.51</v>
      </c>
      <c r="H1726" s="28">
        <f t="shared" si="54"/>
        <v>2865.2</v>
      </c>
      <c r="I1726" s="30">
        <v>45726</v>
      </c>
      <c r="J1726" s="26" t="s">
        <v>15</v>
      </c>
      <c r="K1726" s="26" t="s">
        <v>16</v>
      </c>
      <c r="L1726" s="31">
        <f t="shared" si="55"/>
        <v>1403.9479999999999</v>
      </c>
      <c r="M1726" s="31">
        <v>-400.16</v>
      </c>
      <c r="N1726" s="22">
        <f>_xlfn.XLOOKUP(Snitch_Fashion_Sales_cleaned!$J1726,Table2[City],Table2[City_Key],"not found")</f>
        <v>1</v>
      </c>
      <c r="O1726" s="21">
        <f>_xlfn.XLOOKUP(Snitch_Fashion_Sales_cleaned!$D1726,Table4[Product_Name],Table4[Product_Key],"not found")</f>
        <v>1</v>
      </c>
      <c r="P1726" s="25">
        <f>_xlfn.XLOOKUP(Snitch_Fashion_Sales_cleaned!$I1726,Table3[Order_Date],Table3[Date_Key])</f>
        <v>237</v>
      </c>
    </row>
    <row r="1727" spans="1:16" x14ac:dyDescent="0.3">
      <c r="A1727" s="34">
        <v>2725</v>
      </c>
      <c r="B1727" s="32" t="s">
        <v>1755</v>
      </c>
      <c r="C1727" s="32" t="s">
        <v>20</v>
      </c>
      <c r="D1727" s="33" t="s">
        <v>118</v>
      </c>
      <c r="E1727" s="34">
        <v>3.5</v>
      </c>
      <c r="F1727" s="35">
        <v>2752.99</v>
      </c>
      <c r="G1727" s="36">
        <v>0.51</v>
      </c>
      <c r="H1727" s="35">
        <f t="shared" si="54"/>
        <v>9635.4650000000001</v>
      </c>
      <c r="I1727" s="37">
        <v>45701</v>
      </c>
      <c r="J1727" s="33" t="s">
        <v>52</v>
      </c>
      <c r="K1727" s="33" t="s">
        <v>23</v>
      </c>
      <c r="L1727" s="38">
        <f t="shared" si="55"/>
        <v>4721.3778499999999</v>
      </c>
      <c r="M1727" s="38">
        <v>2116.0700000000002</v>
      </c>
      <c r="N1727" s="24">
        <f>_xlfn.XLOOKUP(Snitch_Fashion_Sales_cleaned!$J1727,Table2[City],Table2[City_Key],"not found")</f>
        <v>5</v>
      </c>
      <c r="O1727" s="23">
        <f>_xlfn.XLOOKUP(Snitch_Fashion_Sales_cleaned!$D1727,Table4[Product_Name],Table4[Product_Key],"not found")</f>
        <v>23</v>
      </c>
      <c r="P1727" s="32">
        <f>_xlfn.XLOOKUP(Snitch_Fashion_Sales_cleaned!$I1727,Table3[Order_Date],Table3[Date_Key])</f>
        <v>54</v>
      </c>
    </row>
    <row r="1728" spans="1:16" x14ac:dyDescent="0.3">
      <c r="A1728" s="27">
        <v>2726</v>
      </c>
      <c r="B1728" s="25" t="s">
        <v>1756</v>
      </c>
      <c r="C1728" s="25" t="s">
        <v>36</v>
      </c>
      <c r="D1728" s="26" t="s">
        <v>55</v>
      </c>
      <c r="E1728" s="27">
        <v>3</v>
      </c>
      <c r="F1728" s="28">
        <v>2731.6350000000002</v>
      </c>
      <c r="G1728" s="29">
        <v>0.17</v>
      </c>
      <c r="H1728" s="28">
        <f t="shared" si="54"/>
        <v>8194.9050000000007</v>
      </c>
      <c r="I1728" s="30">
        <v>45647</v>
      </c>
      <c r="J1728" s="26" t="s">
        <v>22</v>
      </c>
      <c r="K1728" s="26" t="s">
        <v>23</v>
      </c>
      <c r="L1728" s="31">
        <f t="shared" si="55"/>
        <v>6801.7711500000005</v>
      </c>
      <c r="M1728" s="31">
        <v>1751.12</v>
      </c>
      <c r="N1728" s="22">
        <f>_xlfn.XLOOKUP(Snitch_Fashion_Sales_cleaned!$J1728,Table2[City],Table2[City_Key],"not found")</f>
        <v>3</v>
      </c>
      <c r="O1728" s="21">
        <f>_xlfn.XLOOKUP(Snitch_Fashion_Sales_cleaned!$D1728,Table4[Product_Name],Table4[Product_Key],"not found")</f>
        <v>12</v>
      </c>
      <c r="P1728" s="25">
        <f>_xlfn.XLOOKUP(Snitch_Fashion_Sales_cleaned!$I1728,Table3[Order_Date],Table3[Date_Key])</f>
        <v>5</v>
      </c>
    </row>
    <row r="1729" spans="1:16" x14ac:dyDescent="0.3">
      <c r="A1729" s="34">
        <v>2727</v>
      </c>
      <c r="B1729" s="32" t="s">
        <v>1757</v>
      </c>
      <c r="C1729" s="32" t="s">
        <v>28</v>
      </c>
      <c r="D1729" s="33" t="s">
        <v>39</v>
      </c>
      <c r="E1729" s="34">
        <v>2</v>
      </c>
      <c r="F1729" s="35">
        <v>2577.6350000000002</v>
      </c>
      <c r="G1729" s="36">
        <v>0.51</v>
      </c>
      <c r="H1729" s="35">
        <f t="shared" si="54"/>
        <v>5155.2700000000004</v>
      </c>
      <c r="I1729" s="37">
        <v>45161</v>
      </c>
      <c r="J1729" s="33" t="s">
        <v>18</v>
      </c>
      <c r="K1729" s="33" t="s">
        <v>23</v>
      </c>
      <c r="L1729" s="38">
        <f t="shared" si="55"/>
        <v>2526.0823</v>
      </c>
      <c r="M1729" s="38">
        <v>1804.04</v>
      </c>
      <c r="N1729" s="24">
        <f>_xlfn.XLOOKUP(Snitch_Fashion_Sales_cleaned!$J1729,Table2[City],Table2[City_Key],"not found")</f>
        <v>2</v>
      </c>
      <c r="O1729" s="23">
        <f>_xlfn.XLOOKUP(Snitch_Fashion_Sales_cleaned!$D1729,Table4[Product_Name],Table4[Product_Key],"not found")</f>
        <v>8</v>
      </c>
      <c r="P1729" s="32">
        <f>_xlfn.XLOOKUP(Snitch_Fashion_Sales_cleaned!$I1729,Table3[Order_Date],Table3[Date_Key])</f>
        <v>514</v>
      </c>
    </row>
    <row r="1730" spans="1:16" x14ac:dyDescent="0.3">
      <c r="A1730" s="27">
        <v>2728</v>
      </c>
      <c r="B1730" s="25" t="s">
        <v>1758</v>
      </c>
      <c r="C1730" s="25" t="s">
        <v>31</v>
      </c>
      <c r="D1730" s="26" t="s">
        <v>32</v>
      </c>
      <c r="E1730" s="27">
        <v>4</v>
      </c>
      <c r="F1730" s="28">
        <v>1935.05</v>
      </c>
      <c r="G1730" s="29">
        <v>0.51</v>
      </c>
      <c r="H1730" s="28">
        <f t="shared" si="54"/>
        <v>7740.2</v>
      </c>
      <c r="I1730" s="30">
        <v>45625</v>
      </c>
      <c r="J1730" s="26" t="s">
        <v>2540</v>
      </c>
      <c r="K1730" s="26" t="s">
        <v>23</v>
      </c>
      <c r="L1730" s="31">
        <f t="shared" si="55"/>
        <v>3792.6979999999999</v>
      </c>
      <c r="M1730" s="31">
        <v>1483.93</v>
      </c>
      <c r="N1730" s="22">
        <f>_xlfn.XLOOKUP(Snitch_Fashion_Sales_cleaned!$J1730,Table2[City],Table2[City_Key],"not found")</f>
        <v>4</v>
      </c>
      <c r="O1730" s="21">
        <f>_xlfn.XLOOKUP(Snitch_Fashion_Sales_cleaned!$D1730,Table4[Product_Name],Table4[Product_Key],"not found")</f>
        <v>5</v>
      </c>
      <c r="P1730" s="25">
        <f>_xlfn.XLOOKUP(Snitch_Fashion_Sales_cleaned!$I1730,Table3[Order_Date],Table3[Date_Key])</f>
        <v>410</v>
      </c>
    </row>
    <row r="1731" spans="1:16" x14ac:dyDescent="0.3">
      <c r="A1731" s="34">
        <v>2729</v>
      </c>
      <c r="B1731" s="32" t="s">
        <v>1759</v>
      </c>
      <c r="C1731" s="32" t="s">
        <v>36</v>
      </c>
      <c r="D1731" s="33" t="s">
        <v>87</v>
      </c>
      <c r="E1731" s="34">
        <v>5</v>
      </c>
      <c r="F1731" s="35">
        <v>2889.5349999999999</v>
      </c>
      <c r="G1731" s="36">
        <v>0.51</v>
      </c>
      <c r="H1731" s="35">
        <f t="shared" si="54"/>
        <v>14447.674999999999</v>
      </c>
      <c r="I1731" s="37">
        <v>45647</v>
      </c>
      <c r="J1731" s="33" t="s">
        <v>18</v>
      </c>
      <c r="K1731" s="33" t="s">
        <v>23</v>
      </c>
      <c r="L1731" s="38">
        <f t="shared" si="55"/>
        <v>7079.3607499999998</v>
      </c>
      <c r="M1731" s="38">
        <v>-973.04</v>
      </c>
      <c r="N1731" s="24">
        <f>_xlfn.XLOOKUP(Snitch_Fashion_Sales_cleaned!$J1731,Table2[City],Table2[City_Key],"not found")</f>
        <v>2</v>
      </c>
      <c r="O1731" s="23">
        <f>_xlfn.XLOOKUP(Snitch_Fashion_Sales_cleaned!$D1731,Table4[Product_Name],Table4[Product_Key],"not found")</f>
        <v>20</v>
      </c>
      <c r="P1731" s="32">
        <f>_xlfn.XLOOKUP(Snitch_Fashion_Sales_cleaned!$I1731,Table3[Order_Date],Table3[Date_Key])</f>
        <v>5</v>
      </c>
    </row>
    <row r="1732" spans="1:16" x14ac:dyDescent="0.3">
      <c r="A1732" s="27">
        <v>2730</v>
      </c>
      <c r="B1732" s="25" t="s">
        <v>1760</v>
      </c>
      <c r="C1732" s="25" t="s">
        <v>31</v>
      </c>
      <c r="D1732" s="26" t="s">
        <v>68</v>
      </c>
      <c r="E1732" s="27">
        <v>4</v>
      </c>
      <c r="F1732" s="28">
        <v>2765.79</v>
      </c>
      <c r="G1732" s="29">
        <v>0.51</v>
      </c>
      <c r="H1732" s="28">
        <f t="shared" si="54"/>
        <v>11063.16</v>
      </c>
      <c r="I1732" s="30">
        <v>45350</v>
      </c>
      <c r="J1732" s="26" t="s">
        <v>15</v>
      </c>
      <c r="K1732" s="26" t="s">
        <v>23</v>
      </c>
      <c r="L1732" s="31">
        <f t="shared" si="55"/>
        <v>5420.9484000000002</v>
      </c>
      <c r="M1732" s="31">
        <v>2203.9699999999998</v>
      </c>
      <c r="N1732" s="22">
        <f>_xlfn.XLOOKUP(Snitch_Fashion_Sales_cleaned!$J1732,Table2[City],Table2[City_Key],"not found")</f>
        <v>1</v>
      </c>
      <c r="O1732" s="21">
        <f>_xlfn.XLOOKUP(Snitch_Fashion_Sales_cleaned!$D1732,Table4[Product_Name],Table4[Product_Key],"not found")</f>
        <v>15</v>
      </c>
      <c r="P1732" s="25">
        <f>_xlfn.XLOOKUP(Snitch_Fashion_Sales_cleaned!$I1732,Table3[Order_Date],Table3[Date_Key])</f>
        <v>362</v>
      </c>
    </row>
    <row r="1733" spans="1:16" x14ac:dyDescent="0.3">
      <c r="A1733" s="34">
        <v>2731</v>
      </c>
      <c r="B1733" s="32" t="s">
        <v>1761</v>
      </c>
      <c r="C1733" s="32" t="s">
        <v>20</v>
      </c>
      <c r="D1733" s="33" t="s">
        <v>21</v>
      </c>
      <c r="E1733" s="34">
        <v>4</v>
      </c>
      <c r="F1733" s="35">
        <v>1635.12</v>
      </c>
      <c r="G1733" s="36">
        <v>0.51</v>
      </c>
      <c r="H1733" s="35">
        <f t="shared" si="54"/>
        <v>6540.48</v>
      </c>
      <c r="I1733" s="37">
        <v>45854</v>
      </c>
      <c r="J1733" s="33" t="s">
        <v>22</v>
      </c>
      <c r="K1733" s="33" t="s">
        <v>23</v>
      </c>
      <c r="L1733" s="38">
        <f t="shared" si="55"/>
        <v>3204.8351999999995</v>
      </c>
      <c r="M1733" s="38">
        <v>-526.88</v>
      </c>
      <c r="N1733" s="24">
        <f>_xlfn.XLOOKUP(Snitch_Fashion_Sales_cleaned!$J1733,Table2[City],Table2[City_Key],"not found")</f>
        <v>3</v>
      </c>
      <c r="O1733" s="23">
        <f>_xlfn.XLOOKUP(Snitch_Fashion_Sales_cleaned!$D1733,Table4[Product_Name],Table4[Product_Key],"not found")</f>
        <v>2</v>
      </c>
      <c r="P1733" s="32">
        <f>_xlfn.XLOOKUP(Snitch_Fashion_Sales_cleaned!$I1733,Table3[Order_Date],Table3[Date_Key])</f>
        <v>428</v>
      </c>
    </row>
    <row r="1734" spans="1:16" x14ac:dyDescent="0.3">
      <c r="A1734" s="27">
        <v>2732</v>
      </c>
      <c r="B1734" s="25" t="s">
        <v>1762</v>
      </c>
      <c r="C1734" s="25" t="s">
        <v>25</v>
      </c>
      <c r="D1734" s="26" t="s">
        <v>82</v>
      </c>
      <c r="E1734" s="27">
        <v>6</v>
      </c>
      <c r="F1734" s="28">
        <v>2385.5749999999998</v>
      </c>
      <c r="G1734" s="29">
        <v>0.55000000000000004</v>
      </c>
      <c r="H1734" s="28">
        <f t="shared" ref="H1734:H1797" si="56">E1734*F1734</f>
        <v>14313.449999999999</v>
      </c>
      <c r="I1734" s="30">
        <v>45647</v>
      </c>
      <c r="J1734" s="26" t="s">
        <v>52</v>
      </c>
      <c r="K1734" s="26" t="s">
        <v>16</v>
      </c>
      <c r="L1734" s="31">
        <f t="shared" ref="L1734:L1797" si="57">H1734*(1-G1734)</f>
        <v>6441.0524999999989</v>
      </c>
      <c r="M1734" s="31">
        <v>-833.43</v>
      </c>
      <c r="N1734" s="22">
        <f>_xlfn.XLOOKUP(Snitch_Fashion_Sales_cleaned!$J1734,Table2[City],Table2[City_Key],"not found")</f>
        <v>5</v>
      </c>
      <c r="O1734" s="21">
        <f>_xlfn.XLOOKUP(Snitch_Fashion_Sales_cleaned!$D1734,Table4[Product_Name],Table4[Product_Key],"not found")</f>
        <v>18</v>
      </c>
      <c r="P1734" s="25">
        <f>_xlfn.XLOOKUP(Snitch_Fashion_Sales_cleaned!$I1734,Table3[Order_Date],Table3[Date_Key])</f>
        <v>5</v>
      </c>
    </row>
    <row r="1735" spans="1:16" x14ac:dyDescent="0.3">
      <c r="A1735" s="34">
        <v>2733</v>
      </c>
      <c r="B1735" s="32" t="s">
        <v>1763</v>
      </c>
      <c r="C1735" s="32" t="s">
        <v>13</v>
      </c>
      <c r="D1735" s="33" t="s">
        <v>34</v>
      </c>
      <c r="E1735" s="34">
        <v>3</v>
      </c>
      <c r="F1735" s="35">
        <v>3008.6549999999997</v>
      </c>
      <c r="G1735" s="36">
        <v>0.51</v>
      </c>
      <c r="H1735" s="35">
        <f t="shared" si="56"/>
        <v>9025.9650000000001</v>
      </c>
      <c r="I1735" s="37">
        <v>45562</v>
      </c>
      <c r="J1735" s="33" t="s">
        <v>22</v>
      </c>
      <c r="K1735" s="33" t="s">
        <v>23</v>
      </c>
      <c r="L1735" s="38">
        <f t="shared" si="57"/>
        <v>4422.7228500000001</v>
      </c>
      <c r="M1735" s="38">
        <v>2523.7199999999998</v>
      </c>
      <c r="N1735" s="24">
        <f>_xlfn.XLOOKUP(Snitch_Fashion_Sales_cleaned!$J1735,Table2[City],Table2[City_Key],"not found")</f>
        <v>3</v>
      </c>
      <c r="O1735" s="23">
        <f>_xlfn.XLOOKUP(Snitch_Fashion_Sales_cleaned!$D1735,Table4[Product_Name],Table4[Product_Key],"not found")</f>
        <v>6</v>
      </c>
      <c r="P1735" s="32">
        <f>_xlfn.XLOOKUP(Snitch_Fashion_Sales_cleaned!$I1735,Table3[Order_Date],Table3[Date_Key])</f>
        <v>337</v>
      </c>
    </row>
    <row r="1736" spans="1:16" x14ac:dyDescent="0.3">
      <c r="A1736" s="27">
        <v>2734</v>
      </c>
      <c r="B1736" s="25" t="s">
        <v>1764</v>
      </c>
      <c r="C1736" s="25" t="s">
        <v>36</v>
      </c>
      <c r="D1736" s="26" t="s">
        <v>59</v>
      </c>
      <c r="E1736" s="27">
        <v>4</v>
      </c>
      <c r="F1736" s="28">
        <v>3261.51</v>
      </c>
      <c r="G1736" s="29">
        <v>0.82</v>
      </c>
      <c r="H1736" s="28">
        <f t="shared" si="56"/>
        <v>13046.04</v>
      </c>
      <c r="I1736" s="30">
        <v>45647</v>
      </c>
      <c r="J1736" s="26" t="s">
        <v>52</v>
      </c>
      <c r="K1736" s="26" t="s">
        <v>23</v>
      </c>
      <c r="L1736" s="31">
        <f t="shared" si="57"/>
        <v>2348.2872000000007</v>
      </c>
      <c r="M1736" s="31">
        <v>1429.02</v>
      </c>
      <c r="N1736" s="22">
        <f>_xlfn.XLOOKUP(Snitch_Fashion_Sales_cleaned!$J1736,Table2[City],Table2[City_Key],"not found")</f>
        <v>5</v>
      </c>
      <c r="O1736" s="21">
        <f>_xlfn.XLOOKUP(Snitch_Fashion_Sales_cleaned!$D1736,Table4[Product_Name],Table4[Product_Key],"not found")</f>
        <v>13</v>
      </c>
      <c r="P1736" s="25">
        <f>_xlfn.XLOOKUP(Snitch_Fashion_Sales_cleaned!$I1736,Table3[Order_Date],Table3[Date_Key])</f>
        <v>5</v>
      </c>
    </row>
    <row r="1737" spans="1:16" x14ac:dyDescent="0.3">
      <c r="A1737" s="34">
        <v>2735</v>
      </c>
      <c r="B1737" s="32" t="s">
        <v>1765</v>
      </c>
      <c r="C1737" s="32" t="s">
        <v>28</v>
      </c>
      <c r="D1737" s="33" t="s">
        <v>39</v>
      </c>
      <c r="E1737" s="34">
        <v>3</v>
      </c>
      <c r="F1737" s="35">
        <v>541.71</v>
      </c>
      <c r="G1737" s="36">
        <v>0.51</v>
      </c>
      <c r="H1737" s="35">
        <f t="shared" si="56"/>
        <v>1625.13</v>
      </c>
      <c r="I1737" s="37">
        <v>45576</v>
      </c>
      <c r="J1737" s="33" t="s">
        <v>2540</v>
      </c>
      <c r="K1737" s="33" t="s">
        <v>23</v>
      </c>
      <c r="L1737" s="38">
        <f t="shared" si="57"/>
        <v>796.31370000000004</v>
      </c>
      <c r="M1737" s="38">
        <v>199.07842500000001</v>
      </c>
      <c r="N1737" s="24">
        <f>_xlfn.XLOOKUP(Snitch_Fashion_Sales_cleaned!$J1737,Table2[City],Table2[City_Key],"not found")</f>
        <v>4</v>
      </c>
      <c r="O1737" s="23">
        <f>_xlfn.XLOOKUP(Snitch_Fashion_Sales_cleaned!$D1737,Table4[Product_Name],Table4[Product_Key],"not found")</f>
        <v>8</v>
      </c>
      <c r="P1737" s="32">
        <f>_xlfn.XLOOKUP(Snitch_Fashion_Sales_cleaned!$I1737,Table3[Order_Date],Table3[Date_Key])</f>
        <v>285</v>
      </c>
    </row>
    <row r="1738" spans="1:16" x14ac:dyDescent="0.3">
      <c r="A1738" s="27">
        <v>2736</v>
      </c>
      <c r="B1738" s="25" t="s">
        <v>1766</v>
      </c>
      <c r="C1738" s="25" t="s">
        <v>13</v>
      </c>
      <c r="D1738" s="26" t="s">
        <v>14</v>
      </c>
      <c r="E1738" s="27">
        <v>4</v>
      </c>
      <c r="F1738" s="28">
        <v>2366.6149999999998</v>
      </c>
      <c r="G1738" s="29">
        <v>0.51</v>
      </c>
      <c r="H1738" s="28">
        <f t="shared" si="56"/>
        <v>9466.4599999999991</v>
      </c>
      <c r="I1738" s="30">
        <v>45827</v>
      </c>
      <c r="J1738" s="26" t="s">
        <v>15</v>
      </c>
      <c r="K1738" s="26" t="s">
        <v>23</v>
      </c>
      <c r="L1738" s="31">
        <f t="shared" si="57"/>
        <v>4638.5653999999995</v>
      </c>
      <c r="M1738" s="31">
        <v>-253.78</v>
      </c>
      <c r="N1738" s="22">
        <f>_xlfn.XLOOKUP(Snitch_Fashion_Sales_cleaned!$J1738,Table2[City],Table2[City_Key],"not found")</f>
        <v>1</v>
      </c>
      <c r="O1738" s="21">
        <f>_xlfn.XLOOKUP(Snitch_Fashion_Sales_cleaned!$D1738,Table4[Product_Name],Table4[Product_Key],"not found")</f>
        <v>1</v>
      </c>
      <c r="P1738" s="25">
        <f>_xlfn.XLOOKUP(Snitch_Fashion_Sales_cleaned!$I1738,Table3[Order_Date],Table3[Date_Key])</f>
        <v>247</v>
      </c>
    </row>
    <row r="1739" spans="1:16" x14ac:dyDescent="0.3">
      <c r="A1739" s="34">
        <v>2737</v>
      </c>
      <c r="B1739" s="32" t="s">
        <v>1767</v>
      </c>
      <c r="C1739" s="32" t="s">
        <v>28</v>
      </c>
      <c r="D1739" s="33" t="s">
        <v>116</v>
      </c>
      <c r="E1739" s="34">
        <v>4</v>
      </c>
      <c r="F1739" s="35">
        <v>1927.98</v>
      </c>
      <c r="G1739" s="36">
        <v>0.51</v>
      </c>
      <c r="H1739" s="35">
        <f t="shared" si="56"/>
        <v>7711.92</v>
      </c>
      <c r="I1739" s="37">
        <v>45791</v>
      </c>
      <c r="J1739" s="33" t="s">
        <v>43</v>
      </c>
      <c r="K1739" s="33" t="s">
        <v>23</v>
      </c>
      <c r="L1739" s="38">
        <f t="shared" si="57"/>
        <v>3778.8407999999999</v>
      </c>
      <c r="M1739" s="38">
        <v>-251.21</v>
      </c>
      <c r="N1739" s="24">
        <f>_xlfn.XLOOKUP(Snitch_Fashion_Sales_cleaned!$J1739,Table2[City],Table2[City_Key],"not found")</f>
        <v>6</v>
      </c>
      <c r="O1739" s="23">
        <f>_xlfn.XLOOKUP(Snitch_Fashion_Sales_cleaned!$D1739,Table4[Product_Name],Table4[Product_Key],"not found")</f>
        <v>22</v>
      </c>
      <c r="P1739" s="32">
        <f>_xlfn.XLOOKUP(Snitch_Fashion_Sales_cleaned!$I1739,Table3[Order_Date],Table3[Date_Key])</f>
        <v>79</v>
      </c>
    </row>
    <row r="1740" spans="1:16" x14ac:dyDescent="0.3">
      <c r="A1740" s="27">
        <v>2738</v>
      </c>
      <c r="B1740" s="25" t="s">
        <v>1768</v>
      </c>
      <c r="C1740" s="25" t="s">
        <v>36</v>
      </c>
      <c r="D1740" s="26" t="s">
        <v>59</v>
      </c>
      <c r="E1740" s="27">
        <v>3</v>
      </c>
      <c r="F1740" s="28">
        <v>2765.26</v>
      </c>
      <c r="G1740" s="29">
        <v>0.55000000000000004</v>
      </c>
      <c r="H1740" s="28">
        <f t="shared" si="56"/>
        <v>8295.7800000000007</v>
      </c>
      <c r="I1740" s="30">
        <v>45655</v>
      </c>
      <c r="J1740" s="26" t="s">
        <v>22</v>
      </c>
      <c r="K1740" s="26" t="s">
        <v>23</v>
      </c>
      <c r="L1740" s="31">
        <f t="shared" si="57"/>
        <v>3733.1010000000001</v>
      </c>
      <c r="M1740" s="31">
        <v>733.8</v>
      </c>
      <c r="N1740" s="22">
        <f>_xlfn.XLOOKUP(Snitch_Fashion_Sales_cleaned!$J1740,Table2[City],Table2[City_Key],"not found")</f>
        <v>3</v>
      </c>
      <c r="O1740" s="21">
        <f>_xlfn.XLOOKUP(Snitch_Fashion_Sales_cleaned!$D1740,Table4[Product_Name],Table4[Product_Key],"not found")</f>
        <v>13</v>
      </c>
      <c r="P1740" s="25">
        <f>_xlfn.XLOOKUP(Snitch_Fashion_Sales_cleaned!$I1740,Table3[Order_Date],Table3[Date_Key])</f>
        <v>269</v>
      </c>
    </row>
    <row r="1741" spans="1:16" x14ac:dyDescent="0.3">
      <c r="A1741" s="34">
        <v>2739</v>
      </c>
      <c r="B1741" s="32" t="s">
        <v>1769</v>
      </c>
      <c r="C1741" s="32" t="s">
        <v>25</v>
      </c>
      <c r="D1741" s="33" t="s">
        <v>82</v>
      </c>
      <c r="E1741" s="34">
        <v>4</v>
      </c>
      <c r="F1741" s="35">
        <v>4316.8500000000004</v>
      </c>
      <c r="G1741" s="36">
        <v>0.51</v>
      </c>
      <c r="H1741" s="35">
        <f t="shared" si="56"/>
        <v>17267.400000000001</v>
      </c>
      <c r="I1741" s="37">
        <v>45268</v>
      </c>
      <c r="J1741" s="33" t="s">
        <v>18</v>
      </c>
      <c r="K1741" s="33" t="s">
        <v>23</v>
      </c>
      <c r="L1741" s="38">
        <f t="shared" si="57"/>
        <v>8461.0259999999998</v>
      </c>
      <c r="M1741" s="38">
        <v>2259.3000000000002</v>
      </c>
      <c r="N1741" s="24">
        <f>_xlfn.XLOOKUP(Snitch_Fashion_Sales_cleaned!$J1741,Table2[City],Table2[City_Key],"not found")</f>
        <v>2</v>
      </c>
      <c r="O1741" s="23">
        <f>_xlfn.XLOOKUP(Snitch_Fashion_Sales_cleaned!$D1741,Table4[Product_Name],Table4[Product_Key],"not found")</f>
        <v>18</v>
      </c>
      <c r="P1741" s="32">
        <f>_xlfn.XLOOKUP(Snitch_Fashion_Sales_cleaned!$I1741,Table3[Order_Date],Table3[Date_Key])</f>
        <v>37</v>
      </c>
    </row>
    <row r="1742" spans="1:16" x14ac:dyDescent="0.3">
      <c r="A1742" s="27">
        <v>2740</v>
      </c>
      <c r="B1742" s="25" t="s">
        <v>1770</v>
      </c>
      <c r="C1742" s="25" t="s">
        <v>13</v>
      </c>
      <c r="D1742" s="26" t="s">
        <v>34</v>
      </c>
      <c r="E1742" s="27">
        <v>1</v>
      </c>
      <c r="F1742" s="28">
        <v>3008.6549999999997</v>
      </c>
      <c r="G1742" s="29">
        <v>0.51</v>
      </c>
      <c r="H1742" s="28">
        <f t="shared" si="56"/>
        <v>3008.6549999999997</v>
      </c>
      <c r="I1742" s="30">
        <v>45647</v>
      </c>
      <c r="J1742" s="26" t="s">
        <v>22</v>
      </c>
      <c r="K1742" s="26" t="s">
        <v>23</v>
      </c>
      <c r="L1742" s="31">
        <f t="shared" si="57"/>
        <v>1474.2409499999999</v>
      </c>
      <c r="M1742" s="31">
        <v>996.39</v>
      </c>
      <c r="N1742" s="22">
        <f>_xlfn.XLOOKUP(Snitch_Fashion_Sales_cleaned!$J1742,Table2[City],Table2[City_Key],"not found")</f>
        <v>3</v>
      </c>
      <c r="O1742" s="21">
        <f>_xlfn.XLOOKUP(Snitch_Fashion_Sales_cleaned!$D1742,Table4[Product_Name],Table4[Product_Key],"not found")</f>
        <v>6</v>
      </c>
      <c r="P1742" s="25">
        <f>_xlfn.XLOOKUP(Snitch_Fashion_Sales_cleaned!$I1742,Table3[Order_Date],Table3[Date_Key])</f>
        <v>5</v>
      </c>
    </row>
    <row r="1743" spans="1:16" x14ac:dyDescent="0.3">
      <c r="A1743" s="34">
        <v>2741</v>
      </c>
      <c r="B1743" s="32" t="s">
        <v>1771</v>
      </c>
      <c r="C1743" s="32" t="s">
        <v>20</v>
      </c>
      <c r="D1743" s="33" t="s">
        <v>76</v>
      </c>
      <c r="E1743" s="34">
        <v>1</v>
      </c>
      <c r="F1743" s="35">
        <v>2229.4899999999998</v>
      </c>
      <c r="G1743" s="36">
        <v>0.53</v>
      </c>
      <c r="H1743" s="35">
        <f t="shared" si="56"/>
        <v>2229.4899999999998</v>
      </c>
      <c r="I1743" s="37">
        <v>45563</v>
      </c>
      <c r="J1743" s="33" t="s">
        <v>22</v>
      </c>
      <c r="K1743" s="33" t="s">
        <v>16</v>
      </c>
      <c r="L1743" s="38">
        <f t="shared" si="57"/>
        <v>1047.8602999999998</v>
      </c>
      <c r="M1743" s="38">
        <v>261.96507499999996</v>
      </c>
      <c r="N1743" s="24">
        <f>_xlfn.XLOOKUP(Snitch_Fashion_Sales_cleaned!$J1743,Table2[City],Table2[City_Key],"not found")</f>
        <v>3</v>
      </c>
      <c r="O1743" s="23">
        <f>_xlfn.XLOOKUP(Snitch_Fashion_Sales_cleaned!$D1743,Table4[Product_Name],Table4[Product_Key],"not found")</f>
        <v>16</v>
      </c>
      <c r="P1743" s="32">
        <f>_xlfn.XLOOKUP(Snitch_Fashion_Sales_cleaned!$I1743,Table3[Order_Date],Table3[Date_Key])</f>
        <v>134</v>
      </c>
    </row>
    <row r="1744" spans="1:16" x14ac:dyDescent="0.3">
      <c r="A1744" s="27">
        <v>2742</v>
      </c>
      <c r="B1744" s="25" t="s">
        <v>1772</v>
      </c>
      <c r="C1744" s="25" t="s">
        <v>28</v>
      </c>
      <c r="D1744" s="26" t="s">
        <v>29</v>
      </c>
      <c r="E1744" s="27">
        <v>3</v>
      </c>
      <c r="F1744" s="28">
        <v>2515.415</v>
      </c>
      <c r="G1744" s="29">
        <v>0.51</v>
      </c>
      <c r="H1744" s="28">
        <f t="shared" si="56"/>
        <v>7546.2449999999999</v>
      </c>
      <c r="I1744" s="30">
        <v>45853</v>
      </c>
      <c r="J1744" s="26" t="s">
        <v>2540</v>
      </c>
      <c r="K1744" s="26" t="s">
        <v>16</v>
      </c>
      <c r="L1744" s="31">
        <f t="shared" si="57"/>
        <v>3697.66005</v>
      </c>
      <c r="M1744" s="31">
        <v>1045.71</v>
      </c>
      <c r="N1744" s="22">
        <f>_xlfn.XLOOKUP(Snitch_Fashion_Sales_cleaned!$J1744,Table2[City],Table2[City_Key],"not found")</f>
        <v>4</v>
      </c>
      <c r="O1744" s="21">
        <f>_xlfn.XLOOKUP(Snitch_Fashion_Sales_cleaned!$D1744,Table4[Product_Name],Table4[Product_Key],"not found")</f>
        <v>4</v>
      </c>
      <c r="P1744" s="25">
        <f>_xlfn.XLOOKUP(Snitch_Fashion_Sales_cleaned!$I1744,Table3[Order_Date],Table3[Date_Key])</f>
        <v>2</v>
      </c>
    </row>
    <row r="1745" spans="1:16" x14ac:dyDescent="0.3">
      <c r="A1745" s="34">
        <v>1032</v>
      </c>
      <c r="B1745" s="32" t="s">
        <v>1773</v>
      </c>
      <c r="C1745" s="32" t="s">
        <v>20</v>
      </c>
      <c r="D1745" s="33" t="s">
        <v>76</v>
      </c>
      <c r="E1745" s="34">
        <v>3</v>
      </c>
      <c r="F1745" s="35">
        <v>4146.91</v>
      </c>
      <c r="G1745" s="36">
        <v>0.51</v>
      </c>
      <c r="H1745" s="35">
        <f t="shared" si="56"/>
        <v>12440.73</v>
      </c>
      <c r="I1745" s="37">
        <v>45791</v>
      </c>
      <c r="J1745" s="33" t="s">
        <v>15</v>
      </c>
      <c r="K1745" s="33" t="s">
        <v>23</v>
      </c>
      <c r="L1745" s="38">
        <f t="shared" si="57"/>
        <v>6095.9576999999999</v>
      </c>
      <c r="M1745" s="38">
        <v>930.16</v>
      </c>
      <c r="N1745" s="24">
        <f>_xlfn.XLOOKUP(Snitch_Fashion_Sales_cleaned!$J1745,Table2[City],Table2[City_Key],"not found")</f>
        <v>1</v>
      </c>
      <c r="O1745" s="23">
        <f>_xlfn.XLOOKUP(Snitch_Fashion_Sales_cleaned!$D1745,Table4[Product_Name],Table4[Product_Key],"not found")</f>
        <v>16</v>
      </c>
      <c r="P1745" s="32">
        <f>_xlfn.XLOOKUP(Snitch_Fashion_Sales_cleaned!$I1745,Table3[Order_Date],Table3[Date_Key])</f>
        <v>79</v>
      </c>
    </row>
    <row r="1746" spans="1:16" x14ac:dyDescent="0.3">
      <c r="A1746" s="27">
        <v>2744</v>
      </c>
      <c r="B1746" s="25" t="s">
        <v>1774</v>
      </c>
      <c r="C1746" s="25" t="s">
        <v>31</v>
      </c>
      <c r="D1746" s="26" t="s">
        <v>32</v>
      </c>
      <c r="E1746" s="27">
        <v>4</v>
      </c>
      <c r="F1746" s="28">
        <v>2001.5500000000002</v>
      </c>
      <c r="G1746" s="29">
        <v>0.51</v>
      </c>
      <c r="H1746" s="28">
        <f t="shared" si="56"/>
        <v>8006.2000000000007</v>
      </c>
      <c r="I1746" s="30">
        <v>45647</v>
      </c>
      <c r="J1746" s="26" t="s">
        <v>22</v>
      </c>
      <c r="K1746" s="26" t="s">
        <v>23</v>
      </c>
      <c r="L1746" s="31">
        <f t="shared" si="57"/>
        <v>3923.0380000000005</v>
      </c>
      <c r="M1746" s="31">
        <v>-635.51</v>
      </c>
      <c r="N1746" s="22">
        <f>_xlfn.XLOOKUP(Snitch_Fashion_Sales_cleaned!$J1746,Table2[City],Table2[City_Key],"not found")</f>
        <v>3</v>
      </c>
      <c r="O1746" s="21">
        <f>_xlfn.XLOOKUP(Snitch_Fashion_Sales_cleaned!$D1746,Table4[Product_Name],Table4[Product_Key],"not found")</f>
        <v>5</v>
      </c>
      <c r="P1746" s="25">
        <f>_xlfn.XLOOKUP(Snitch_Fashion_Sales_cleaned!$I1746,Table3[Order_Date],Table3[Date_Key])</f>
        <v>5</v>
      </c>
    </row>
    <row r="1747" spans="1:16" x14ac:dyDescent="0.3">
      <c r="A1747" s="34">
        <v>2745</v>
      </c>
      <c r="B1747" s="32" t="s">
        <v>1775</v>
      </c>
      <c r="C1747" s="32" t="s">
        <v>13</v>
      </c>
      <c r="D1747" s="33" t="s">
        <v>14</v>
      </c>
      <c r="E1747" s="34">
        <v>4</v>
      </c>
      <c r="F1747" s="35">
        <v>869.82</v>
      </c>
      <c r="G1747" s="36">
        <v>0.51</v>
      </c>
      <c r="H1747" s="35">
        <f t="shared" si="56"/>
        <v>3479.28</v>
      </c>
      <c r="I1747" s="37">
        <v>45497</v>
      </c>
      <c r="J1747" s="33" t="s">
        <v>2540</v>
      </c>
      <c r="K1747" s="33" t="s">
        <v>16</v>
      </c>
      <c r="L1747" s="38">
        <f t="shared" si="57"/>
        <v>1704.8472000000002</v>
      </c>
      <c r="M1747" s="38">
        <v>737.77</v>
      </c>
      <c r="N1747" s="24">
        <f>_xlfn.XLOOKUP(Snitch_Fashion_Sales_cleaned!$J1747,Table2[City],Table2[City_Key],"not found")</f>
        <v>4</v>
      </c>
      <c r="O1747" s="23">
        <f>_xlfn.XLOOKUP(Snitch_Fashion_Sales_cleaned!$D1747,Table4[Product_Name],Table4[Product_Key],"not found")</f>
        <v>1</v>
      </c>
      <c r="P1747" s="32">
        <f>_xlfn.XLOOKUP(Snitch_Fashion_Sales_cleaned!$I1747,Table3[Order_Date],Table3[Date_Key])</f>
        <v>449</v>
      </c>
    </row>
    <row r="1748" spans="1:16" x14ac:dyDescent="0.3">
      <c r="A1748" s="27">
        <v>2746</v>
      </c>
      <c r="B1748" s="25" t="s">
        <v>1776</v>
      </c>
      <c r="C1748" s="25" t="s">
        <v>13</v>
      </c>
      <c r="D1748" s="26" t="s">
        <v>14</v>
      </c>
      <c r="E1748" s="27">
        <v>4</v>
      </c>
      <c r="F1748" s="28">
        <v>668.51</v>
      </c>
      <c r="G1748" s="29">
        <v>0.51</v>
      </c>
      <c r="H1748" s="28">
        <f t="shared" si="56"/>
        <v>2674.04</v>
      </c>
      <c r="I1748" s="30">
        <v>45608</v>
      </c>
      <c r="J1748" s="26" t="s">
        <v>2540</v>
      </c>
      <c r="K1748" s="26" t="s">
        <v>16</v>
      </c>
      <c r="L1748" s="31">
        <f t="shared" si="57"/>
        <v>1310.2795999999998</v>
      </c>
      <c r="M1748" s="31">
        <v>327.56989999999996</v>
      </c>
      <c r="N1748" s="22">
        <f>_xlfn.XLOOKUP(Snitch_Fashion_Sales_cleaned!$J1748,Table2[City],Table2[City_Key],"not found")</f>
        <v>4</v>
      </c>
      <c r="O1748" s="21">
        <f>_xlfn.XLOOKUP(Snitch_Fashion_Sales_cleaned!$D1748,Table4[Product_Name],Table4[Product_Key],"not found")</f>
        <v>1</v>
      </c>
      <c r="P1748" s="25">
        <f>_xlfn.XLOOKUP(Snitch_Fashion_Sales_cleaned!$I1748,Table3[Order_Date],Table3[Date_Key])</f>
        <v>126</v>
      </c>
    </row>
    <row r="1749" spans="1:16" x14ac:dyDescent="0.3">
      <c r="A1749" s="34">
        <v>2747</v>
      </c>
      <c r="B1749" s="32" t="s">
        <v>1777</v>
      </c>
      <c r="C1749" s="32" t="s">
        <v>31</v>
      </c>
      <c r="D1749" s="33" t="s">
        <v>78</v>
      </c>
      <c r="E1749" s="34">
        <v>1</v>
      </c>
      <c r="F1749" s="35">
        <v>1369.29</v>
      </c>
      <c r="G1749" s="36">
        <v>0.51</v>
      </c>
      <c r="H1749" s="35">
        <f t="shared" si="56"/>
        <v>1369.29</v>
      </c>
      <c r="I1749" s="37">
        <v>45796</v>
      </c>
      <c r="J1749" s="33" t="s">
        <v>22</v>
      </c>
      <c r="K1749" s="33" t="s">
        <v>16</v>
      </c>
      <c r="L1749" s="38">
        <f t="shared" si="57"/>
        <v>670.95209999999997</v>
      </c>
      <c r="M1749" s="38">
        <v>325.08</v>
      </c>
      <c r="N1749" s="24">
        <f>_xlfn.XLOOKUP(Snitch_Fashion_Sales_cleaned!$J1749,Table2[City],Table2[City_Key],"not found")</f>
        <v>3</v>
      </c>
      <c r="O1749" s="23">
        <f>_xlfn.XLOOKUP(Snitch_Fashion_Sales_cleaned!$D1749,Table4[Product_Name],Table4[Product_Key],"not found")</f>
        <v>17</v>
      </c>
      <c r="P1749" s="32">
        <f>_xlfn.XLOOKUP(Snitch_Fashion_Sales_cleaned!$I1749,Table3[Order_Date],Table3[Date_Key])</f>
        <v>343</v>
      </c>
    </row>
    <row r="1750" spans="1:16" x14ac:dyDescent="0.3">
      <c r="A1750" s="27">
        <v>2748</v>
      </c>
      <c r="B1750" s="25" t="s">
        <v>1778</v>
      </c>
      <c r="C1750" s="25" t="s">
        <v>28</v>
      </c>
      <c r="D1750" s="26" t="s">
        <v>116</v>
      </c>
      <c r="E1750" s="27">
        <v>4</v>
      </c>
      <c r="F1750" s="28">
        <v>3977.88</v>
      </c>
      <c r="G1750" s="29">
        <v>0.51</v>
      </c>
      <c r="H1750" s="28">
        <f t="shared" si="56"/>
        <v>15911.52</v>
      </c>
      <c r="I1750" s="30">
        <v>45670</v>
      </c>
      <c r="J1750" s="26" t="s">
        <v>18</v>
      </c>
      <c r="K1750" s="26" t="s">
        <v>16</v>
      </c>
      <c r="L1750" s="31">
        <f t="shared" si="57"/>
        <v>7796.6448</v>
      </c>
      <c r="M1750" s="31">
        <v>2431.13</v>
      </c>
      <c r="N1750" s="22">
        <f>_xlfn.XLOOKUP(Snitch_Fashion_Sales_cleaned!$J1750,Table2[City],Table2[City_Key],"not found")</f>
        <v>2</v>
      </c>
      <c r="O1750" s="21">
        <f>_xlfn.XLOOKUP(Snitch_Fashion_Sales_cleaned!$D1750,Table4[Product_Name],Table4[Product_Key],"not found")</f>
        <v>22</v>
      </c>
      <c r="P1750" s="25">
        <f>_xlfn.XLOOKUP(Snitch_Fashion_Sales_cleaned!$I1750,Table3[Order_Date],Table3[Date_Key])</f>
        <v>396</v>
      </c>
    </row>
    <row r="1751" spans="1:16" x14ac:dyDescent="0.3">
      <c r="A1751" s="34">
        <v>2749</v>
      </c>
      <c r="B1751" s="32" t="s">
        <v>1779</v>
      </c>
      <c r="C1751" s="32" t="s">
        <v>20</v>
      </c>
      <c r="D1751" s="33" t="s">
        <v>21</v>
      </c>
      <c r="E1751" s="34">
        <v>5</v>
      </c>
      <c r="F1751" s="35">
        <v>2579.8000000000002</v>
      </c>
      <c r="G1751" s="36">
        <v>0.51</v>
      </c>
      <c r="H1751" s="35">
        <f t="shared" si="56"/>
        <v>12899</v>
      </c>
      <c r="I1751" s="37">
        <v>45647</v>
      </c>
      <c r="J1751" s="33" t="s">
        <v>43</v>
      </c>
      <c r="K1751" s="33" t="s">
        <v>23</v>
      </c>
      <c r="L1751" s="38">
        <f t="shared" si="57"/>
        <v>6320.51</v>
      </c>
      <c r="M1751" s="38">
        <v>2595.31</v>
      </c>
      <c r="N1751" s="24">
        <f>_xlfn.XLOOKUP(Snitch_Fashion_Sales_cleaned!$J1751,Table2[City],Table2[City_Key],"not found")</f>
        <v>6</v>
      </c>
      <c r="O1751" s="23">
        <f>_xlfn.XLOOKUP(Snitch_Fashion_Sales_cleaned!$D1751,Table4[Product_Name],Table4[Product_Key],"not found")</f>
        <v>2</v>
      </c>
      <c r="P1751" s="32">
        <f>_xlfn.XLOOKUP(Snitch_Fashion_Sales_cleaned!$I1751,Table3[Order_Date],Table3[Date_Key])</f>
        <v>5</v>
      </c>
    </row>
    <row r="1752" spans="1:16" x14ac:dyDescent="0.3">
      <c r="A1752" s="27">
        <v>1049</v>
      </c>
      <c r="B1752" s="25" t="s">
        <v>1780</v>
      </c>
      <c r="C1752" s="25" t="s">
        <v>20</v>
      </c>
      <c r="D1752" s="26" t="s">
        <v>118</v>
      </c>
      <c r="E1752" s="27">
        <v>3.5</v>
      </c>
      <c r="F1752" s="28">
        <v>1360.22</v>
      </c>
      <c r="G1752" s="29">
        <v>0.51</v>
      </c>
      <c r="H1752" s="28">
        <f t="shared" si="56"/>
        <v>4760.7700000000004</v>
      </c>
      <c r="I1752" s="30">
        <v>45761</v>
      </c>
      <c r="J1752" s="26" t="s">
        <v>22</v>
      </c>
      <c r="K1752" s="26" t="s">
        <v>23</v>
      </c>
      <c r="L1752" s="31">
        <f t="shared" si="57"/>
        <v>2332.7773000000002</v>
      </c>
      <c r="M1752" s="31">
        <v>276.89999999999998</v>
      </c>
      <c r="N1752" s="22">
        <f>_xlfn.XLOOKUP(Snitch_Fashion_Sales_cleaned!$J1752,Table2[City],Table2[City_Key],"not found")</f>
        <v>3</v>
      </c>
      <c r="O1752" s="21">
        <f>_xlfn.XLOOKUP(Snitch_Fashion_Sales_cleaned!$D1752,Table4[Product_Name],Table4[Product_Key],"not found")</f>
        <v>23</v>
      </c>
      <c r="P1752" s="25">
        <f>_xlfn.XLOOKUP(Snitch_Fashion_Sales_cleaned!$I1752,Table3[Order_Date],Table3[Date_Key])</f>
        <v>504</v>
      </c>
    </row>
    <row r="1753" spans="1:16" x14ac:dyDescent="0.3">
      <c r="A1753" s="34">
        <v>2751</v>
      </c>
      <c r="B1753" s="32" t="s">
        <v>1781</v>
      </c>
      <c r="C1753" s="32" t="s">
        <v>20</v>
      </c>
      <c r="D1753" s="33" t="s">
        <v>118</v>
      </c>
      <c r="E1753" s="34">
        <v>3.5</v>
      </c>
      <c r="F1753" s="35">
        <v>2752.99</v>
      </c>
      <c r="G1753" s="36">
        <v>0.98</v>
      </c>
      <c r="H1753" s="35">
        <f t="shared" si="56"/>
        <v>9635.4650000000001</v>
      </c>
      <c r="I1753" s="37">
        <v>45642</v>
      </c>
      <c r="J1753" s="33" t="s">
        <v>2540</v>
      </c>
      <c r="K1753" s="33" t="s">
        <v>23</v>
      </c>
      <c r="L1753" s="38">
        <f t="shared" si="57"/>
        <v>192.70930000000018</v>
      </c>
      <c r="M1753" s="38">
        <v>48.177325000000046</v>
      </c>
      <c r="N1753" s="24">
        <f>_xlfn.XLOOKUP(Snitch_Fashion_Sales_cleaned!$J1753,Table2[City],Table2[City_Key],"not found")</f>
        <v>4</v>
      </c>
      <c r="O1753" s="23">
        <f>_xlfn.XLOOKUP(Snitch_Fashion_Sales_cleaned!$D1753,Table4[Product_Name],Table4[Product_Key],"not found")</f>
        <v>23</v>
      </c>
      <c r="P1753" s="32">
        <f>_xlfn.XLOOKUP(Snitch_Fashion_Sales_cleaned!$I1753,Table3[Order_Date],Table3[Date_Key])</f>
        <v>73</v>
      </c>
    </row>
    <row r="1754" spans="1:16" x14ac:dyDescent="0.3">
      <c r="A1754" s="27">
        <v>2752</v>
      </c>
      <c r="B1754" s="25" t="s">
        <v>1782</v>
      </c>
      <c r="C1754" s="25" t="s">
        <v>25</v>
      </c>
      <c r="D1754" s="26" t="s">
        <v>50</v>
      </c>
      <c r="E1754" s="27">
        <v>4</v>
      </c>
      <c r="F1754" s="28">
        <v>4552.8</v>
      </c>
      <c r="G1754" s="29">
        <v>0.51</v>
      </c>
      <c r="H1754" s="28">
        <f t="shared" si="56"/>
        <v>18211.2</v>
      </c>
      <c r="I1754" s="30">
        <v>45647</v>
      </c>
      <c r="J1754" s="26" t="s">
        <v>43</v>
      </c>
      <c r="K1754" s="26" t="s">
        <v>23</v>
      </c>
      <c r="L1754" s="31">
        <f t="shared" si="57"/>
        <v>8923.4879999999994</v>
      </c>
      <c r="M1754" s="31">
        <v>1802.91</v>
      </c>
      <c r="N1754" s="22">
        <f>_xlfn.XLOOKUP(Snitch_Fashion_Sales_cleaned!$J1754,Table2[City],Table2[City_Key],"not found")</f>
        <v>6</v>
      </c>
      <c r="O1754" s="21">
        <f>_xlfn.XLOOKUP(Snitch_Fashion_Sales_cleaned!$D1754,Table4[Product_Name],Table4[Product_Key],"not found")</f>
        <v>11</v>
      </c>
      <c r="P1754" s="25">
        <f>_xlfn.XLOOKUP(Snitch_Fashion_Sales_cleaned!$I1754,Table3[Order_Date],Table3[Date_Key])</f>
        <v>5</v>
      </c>
    </row>
    <row r="1755" spans="1:16" x14ac:dyDescent="0.3">
      <c r="A1755" s="34">
        <v>1002</v>
      </c>
      <c r="B1755" s="32" t="s">
        <v>1783</v>
      </c>
      <c r="C1755" s="32" t="s">
        <v>13</v>
      </c>
      <c r="D1755" s="33" t="s">
        <v>34</v>
      </c>
      <c r="E1755" s="34">
        <v>3</v>
      </c>
      <c r="F1755" s="35">
        <v>4351.1099999999997</v>
      </c>
      <c r="G1755" s="36">
        <v>0.51</v>
      </c>
      <c r="H1755" s="35">
        <f t="shared" si="56"/>
        <v>13053.329999999998</v>
      </c>
      <c r="I1755" s="37">
        <v>45518</v>
      </c>
      <c r="J1755" s="33" t="s">
        <v>43</v>
      </c>
      <c r="K1755" s="33" t="s">
        <v>16</v>
      </c>
      <c r="L1755" s="38">
        <f t="shared" si="57"/>
        <v>6396.131699999999</v>
      </c>
      <c r="M1755" s="38">
        <v>-190.68</v>
      </c>
      <c r="N1755" s="24">
        <f>_xlfn.XLOOKUP(Snitch_Fashion_Sales_cleaned!$J1755,Table2[City],Table2[City_Key],"not found")</f>
        <v>6</v>
      </c>
      <c r="O1755" s="23">
        <f>_xlfn.XLOOKUP(Snitch_Fashion_Sales_cleaned!$D1755,Table4[Product_Name],Table4[Product_Key],"not found")</f>
        <v>6</v>
      </c>
      <c r="P1755" s="32">
        <f>_xlfn.XLOOKUP(Snitch_Fashion_Sales_cleaned!$I1755,Table3[Order_Date],Table3[Date_Key])</f>
        <v>43</v>
      </c>
    </row>
    <row r="1756" spans="1:16" x14ac:dyDescent="0.3">
      <c r="A1756" s="27">
        <v>2754</v>
      </c>
      <c r="B1756" s="25" t="s">
        <v>1784</v>
      </c>
      <c r="C1756" s="25" t="s">
        <v>13</v>
      </c>
      <c r="D1756" s="26" t="s">
        <v>46</v>
      </c>
      <c r="E1756" s="27">
        <v>1</v>
      </c>
      <c r="F1756" s="28">
        <v>2891.64</v>
      </c>
      <c r="G1756" s="29">
        <v>0.51</v>
      </c>
      <c r="H1756" s="28">
        <f t="shared" si="56"/>
        <v>2891.64</v>
      </c>
      <c r="I1756" s="30">
        <v>45734</v>
      </c>
      <c r="J1756" s="26" t="s">
        <v>2540</v>
      </c>
      <c r="K1756" s="26" t="s">
        <v>23</v>
      </c>
      <c r="L1756" s="31">
        <f t="shared" si="57"/>
        <v>1416.9035999999999</v>
      </c>
      <c r="M1756" s="31">
        <v>-0.15</v>
      </c>
      <c r="N1756" s="22">
        <f>_xlfn.XLOOKUP(Snitch_Fashion_Sales_cleaned!$J1756,Table2[City],Table2[City_Key],"not found")</f>
        <v>4</v>
      </c>
      <c r="O1756" s="21">
        <f>_xlfn.XLOOKUP(Snitch_Fashion_Sales_cleaned!$D1756,Table4[Product_Name],Table4[Product_Key],"not found")</f>
        <v>10</v>
      </c>
      <c r="P1756" s="25">
        <f>_xlfn.XLOOKUP(Snitch_Fashion_Sales_cleaned!$I1756,Table3[Order_Date],Table3[Date_Key])</f>
        <v>268</v>
      </c>
    </row>
    <row r="1757" spans="1:16" x14ac:dyDescent="0.3">
      <c r="A1757" s="34">
        <v>2755</v>
      </c>
      <c r="B1757" s="32" t="s">
        <v>1785</v>
      </c>
      <c r="C1757" s="32" t="s">
        <v>28</v>
      </c>
      <c r="D1757" s="33" t="s">
        <v>116</v>
      </c>
      <c r="E1757" s="34">
        <v>4</v>
      </c>
      <c r="F1757" s="35">
        <v>2785.79</v>
      </c>
      <c r="G1757" s="36">
        <v>0.32</v>
      </c>
      <c r="H1757" s="35">
        <f t="shared" si="56"/>
        <v>11143.16</v>
      </c>
      <c r="I1757" s="37">
        <v>45199</v>
      </c>
      <c r="J1757" s="33" t="s">
        <v>15</v>
      </c>
      <c r="K1757" s="33" t="s">
        <v>23</v>
      </c>
      <c r="L1757" s="38">
        <f t="shared" si="57"/>
        <v>7577.3487999999988</v>
      </c>
      <c r="M1757" s="38">
        <v>1174.6400000000001</v>
      </c>
      <c r="N1757" s="24">
        <f>_xlfn.XLOOKUP(Snitch_Fashion_Sales_cleaned!$J1757,Table2[City],Table2[City_Key],"not found")</f>
        <v>1</v>
      </c>
      <c r="O1757" s="23">
        <f>_xlfn.XLOOKUP(Snitch_Fashion_Sales_cleaned!$D1757,Table4[Product_Name],Table4[Product_Key],"not found")</f>
        <v>22</v>
      </c>
      <c r="P1757" s="32">
        <f>_xlfn.XLOOKUP(Snitch_Fashion_Sales_cleaned!$I1757,Table3[Order_Date],Table3[Date_Key])</f>
        <v>515</v>
      </c>
    </row>
    <row r="1758" spans="1:16" x14ac:dyDescent="0.3">
      <c r="A1758" s="27">
        <v>2756</v>
      </c>
      <c r="B1758" s="25" t="s">
        <v>1786</v>
      </c>
      <c r="C1758" s="25" t="s">
        <v>31</v>
      </c>
      <c r="D1758" s="26" t="s">
        <v>68</v>
      </c>
      <c r="E1758" s="27">
        <v>6</v>
      </c>
      <c r="F1758" s="28">
        <v>2765.79</v>
      </c>
      <c r="G1758" s="29">
        <v>0.51</v>
      </c>
      <c r="H1758" s="28">
        <f t="shared" si="56"/>
        <v>16594.739999999998</v>
      </c>
      <c r="I1758" s="30">
        <v>45566</v>
      </c>
      <c r="J1758" s="26" t="s">
        <v>43</v>
      </c>
      <c r="K1758" s="26" t="s">
        <v>16</v>
      </c>
      <c r="L1758" s="31">
        <f t="shared" si="57"/>
        <v>8131.422599999999</v>
      </c>
      <c r="M1758" s="31">
        <v>813.53</v>
      </c>
      <c r="N1758" s="22">
        <f>_xlfn.XLOOKUP(Snitch_Fashion_Sales_cleaned!$J1758,Table2[City],Table2[City_Key],"not found")</f>
        <v>6</v>
      </c>
      <c r="O1758" s="21">
        <f>_xlfn.XLOOKUP(Snitch_Fashion_Sales_cleaned!$D1758,Table4[Product_Name],Table4[Product_Key],"not found")</f>
        <v>15</v>
      </c>
      <c r="P1758" s="25">
        <f>_xlfn.XLOOKUP(Snitch_Fashion_Sales_cleaned!$I1758,Table3[Order_Date],Table3[Date_Key])</f>
        <v>111</v>
      </c>
    </row>
    <row r="1759" spans="1:16" x14ac:dyDescent="0.3">
      <c r="A1759" s="34">
        <v>2757</v>
      </c>
      <c r="B1759" s="32" t="s">
        <v>1787</v>
      </c>
      <c r="C1759" s="32" t="s">
        <v>28</v>
      </c>
      <c r="D1759" s="33" t="s">
        <v>137</v>
      </c>
      <c r="E1759" s="34">
        <v>3</v>
      </c>
      <c r="F1759" s="35">
        <v>4923.95</v>
      </c>
      <c r="G1759" s="36">
        <v>0.51</v>
      </c>
      <c r="H1759" s="35">
        <f t="shared" si="56"/>
        <v>14771.849999999999</v>
      </c>
      <c r="I1759" s="37">
        <v>45794</v>
      </c>
      <c r="J1759" s="33" t="s">
        <v>43</v>
      </c>
      <c r="K1759" s="33" t="s">
        <v>23</v>
      </c>
      <c r="L1759" s="38">
        <f t="shared" si="57"/>
        <v>7238.2064999999993</v>
      </c>
      <c r="M1759" s="38">
        <v>794.65</v>
      </c>
      <c r="N1759" s="24">
        <f>_xlfn.XLOOKUP(Snitch_Fashion_Sales_cleaned!$J1759,Table2[City],Table2[City_Key],"not found")</f>
        <v>6</v>
      </c>
      <c r="O1759" s="23">
        <f>_xlfn.XLOOKUP(Snitch_Fashion_Sales_cleaned!$D1759,Table4[Product_Name],Table4[Product_Key],"not found")</f>
        <v>24</v>
      </c>
      <c r="P1759" s="32">
        <f>_xlfn.XLOOKUP(Snitch_Fashion_Sales_cleaned!$I1759,Table3[Order_Date],Table3[Date_Key])</f>
        <v>482</v>
      </c>
    </row>
    <row r="1760" spans="1:16" x14ac:dyDescent="0.3">
      <c r="A1760" s="27">
        <v>1029</v>
      </c>
      <c r="B1760" s="25" t="s">
        <v>1788</v>
      </c>
      <c r="C1760" s="25" t="s">
        <v>31</v>
      </c>
      <c r="D1760" s="26" t="s">
        <v>41</v>
      </c>
      <c r="E1760" s="27">
        <v>3</v>
      </c>
      <c r="F1760" s="28">
        <v>2965.32</v>
      </c>
      <c r="G1760" s="29">
        <v>0.51</v>
      </c>
      <c r="H1760" s="28">
        <f t="shared" si="56"/>
        <v>8895.9600000000009</v>
      </c>
      <c r="I1760" s="30">
        <v>45647</v>
      </c>
      <c r="J1760" s="26" t="s">
        <v>22</v>
      </c>
      <c r="K1760" s="26" t="s">
        <v>16</v>
      </c>
      <c r="L1760" s="31">
        <f t="shared" si="57"/>
        <v>4359.0204000000003</v>
      </c>
      <c r="M1760" s="31">
        <v>-786.53</v>
      </c>
      <c r="N1760" s="22">
        <f>_xlfn.XLOOKUP(Snitch_Fashion_Sales_cleaned!$J1760,Table2[City],Table2[City_Key],"not found")</f>
        <v>3</v>
      </c>
      <c r="O1760" s="21">
        <f>_xlfn.XLOOKUP(Snitch_Fashion_Sales_cleaned!$D1760,Table4[Product_Name],Table4[Product_Key],"not found")</f>
        <v>9</v>
      </c>
      <c r="P1760" s="25">
        <f>_xlfn.XLOOKUP(Snitch_Fashion_Sales_cleaned!$I1760,Table3[Order_Date],Table3[Date_Key])</f>
        <v>5</v>
      </c>
    </row>
    <row r="1761" spans="1:16" x14ac:dyDescent="0.3">
      <c r="A1761" s="34">
        <v>2759</v>
      </c>
      <c r="B1761" s="32" t="s">
        <v>1789</v>
      </c>
      <c r="C1761" s="32" t="s">
        <v>25</v>
      </c>
      <c r="D1761" s="33" t="s">
        <v>82</v>
      </c>
      <c r="E1761" s="34">
        <v>3</v>
      </c>
      <c r="F1761" s="35">
        <v>2385.5749999999998</v>
      </c>
      <c r="G1761" s="36">
        <v>0.9</v>
      </c>
      <c r="H1761" s="35">
        <f t="shared" si="56"/>
        <v>7156.7249999999995</v>
      </c>
      <c r="I1761" s="37">
        <v>45509</v>
      </c>
      <c r="J1761" s="33" t="s">
        <v>18</v>
      </c>
      <c r="K1761" s="33" t="s">
        <v>23</v>
      </c>
      <c r="L1761" s="38">
        <f t="shared" si="57"/>
        <v>715.67249999999979</v>
      </c>
      <c r="M1761" s="38">
        <v>-300.89999999999998</v>
      </c>
      <c r="N1761" s="24">
        <f>_xlfn.XLOOKUP(Snitch_Fashion_Sales_cleaned!$J1761,Table2[City],Table2[City_Key],"not found")</f>
        <v>2</v>
      </c>
      <c r="O1761" s="23">
        <f>_xlfn.XLOOKUP(Snitch_Fashion_Sales_cleaned!$D1761,Table4[Product_Name],Table4[Product_Key],"not found")</f>
        <v>18</v>
      </c>
      <c r="P1761" s="32">
        <f>_xlfn.XLOOKUP(Snitch_Fashion_Sales_cleaned!$I1761,Table3[Order_Date],Table3[Date_Key])</f>
        <v>334</v>
      </c>
    </row>
    <row r="1762" spans="1:16" x14ac:dyDescent="0.3">
      <c r="A1762" s="27">
        <v>2760</v>
      </c>
      <c r="B1762" s="25" t="s">
        <v>1790</v>
      </c>
      <c r="C1762" s="25" t="s">
        <v>25</v>
      </c>
      <c r="D1762" s="26" t="s">
        <v>62</v>
      </c>
      <c r="E1762" s="27">
        <v>4</v>
      </c>
      <c r="F1762" s="28">
        <v>2538.0450000000001</v>
      </c>
      <c r="G1762" s="29">
        <v>0.51</v>
      </c>
      <c r="H1762" s="28">
        <f t="shared" si="56"/>
        <v>10152.18</v>
      </c>
      <c r="I1762" s="30">
        <v>45586</v>
      </c>
      <c r="J1762" s="26" t="s">
        <v>15</v>
      </c>
      <c r="K1762" s="26" t="s">
        <v>23</v>
      </c>
      <c r="L1762" s="31">
        <f t="shared" si="57"/>
        <v>4974.5681999999997</v>
      </c>
      <c r="M1762" s="31">
        <v>-833.77</v>
      </c>
      <c r="N1762" s="22">
        <f>_xlfn.XLOOKUP(Snitch_Fashion_Sales_cleaned!$J1762,Table2[City],Table2[City_Key],"not found")</f>
        <v>1</v>
      </c>
      <c r="O1762" s="21">
        <f>_xlfn.XLOOKUP(Snitch_Fashion_Sales_cleaned!$D1762,Table4[Product_Name],Table4[Product_Key],"not found")</f>
        <v>14</v>
      </c>
      <c r="P1762" s="25">
        <f>_xlfn.XLOOKUP(Snitch_Fashion_Sales_cleaned!$I1762,Table3[Order_Date],Table3[Date_Key])</f>
        <v>460</v>
      </c>
    </row>
    <row r="1763" spans="1:16" x14ac:dyDescent="0.3">
      <c r="A1763" s="34">
        <v>2761</v>
      </c>
      <c r="B1763" s="32" t="s">
        <v>1791</v>
      </c>
      <c r="C1763" s="32" t="s">
        <v>36</v>
      </c>
      <c r="D1763" s="33" t="s">
        <v>55</v>
      </c>
      <c r="E1763" s="34">
        <v>3</v>
      </c>
      <c r="F1763" s="35">
        <v>3586.76</v>
      </c>
      <c r="G1763" s="36">
        <v>0.51</v>
      </c>
      <c r="H1763" s="35">
        <f t="shared" si="56"/>
        <v>10760.28</v>
      </c>
      <c r="I1763" s="37">
        <v>45752</v>
      </c>
      <c r="J1763" s="33" t="s">
        <v>43</v>
      </c>
      <c r="K1763" s="33" t="s">
        <v>16</v>
      </c>
      <c r="L1763" s="38">
        <f t="shared" si="57"/>
        <v>5272.5372000000007</v>
      </c>
      <c r="M1763" s="38">
        <v>594.95000000000005</v>
      </c>
      <c r="N1763" s="24">
        <f>_xlfn.XLOOKUP(Snitch_Fashion_Sales_cleaned!$J1763,Table2[City],Table2[City_Key],"not found")</f>
        <v>6</v>
      </c>
      <c r="O1763" s="23">
        <f>_xlfn.XLOOKUP(Snitch_Fashion_Sales_cleaned!$D1763,Table4[Product_Name],Table4[Product_Key],"not found")</f>
        <v>12</v>
      </c>
      <c r="P1763" s="32">
        <f>_xlfn.XLOOKUP(Snitch_Fashion_Sales_cleaned!$I1763,Table3[Order_Date],Table3[Date_Key])</f>
        <v>30</v>
      </c>
    </row>
    <row r="1764" spans="1:16" x14ac:dyDescent="0.3">
      <c r="A1764" s="27">
        <v>2762</v>
      </c>
      <c r="B1764" s="25" t="s">
        <v>1792</v>
      </c>
      <c r="C1764" s="25" t="s">
        <v>36</v>
      </c>
      <c r="D1764" s="26" t="s">
        <v>59</v>
      </c>
      <c r="E1764" s="27">
        <v>3</v>
      </c>
      <c r="F1764" s="28">
        <v>1278.8499999999999</v>
      </c>
      <c r="G1764" s="29">
        <v>0.51</v>
      </c>
      <c r="H1764" s="28">
        <f t="shared" si="56"/>
        <v>3836.5499999999997</v>
      </c>
      <c r="I1764" s="30">
        <v>45670</v>
      </c>
      <c r="J1764" s="26" t="s">
        <v>52</v>
      </c>
      <c r="K1764" s="26" t="s">
        <v>23</v>
      </c>
      <c r="L1764" s="31">
        <f t="shared" si="57"/>
        <v>1879.9094999999998</v>
      </c>
      <c r="M1764" s="31">
        <v>469.97737499999994</v>
      </c>
      <c r="N1764" s="22">
        <f>_xlfn.XLOOKUP(Snitch_Fashion_Sales_cleaned!$J1764,Table2[City],Table2[City_Key],"not found")</f>
        <v>5</v>
      </c>
      <c r="O1764" s="21">
        <f>_xlfn.XLOOKUP(Snitch_Fashion_Sales_cleaned!$D1764,Table4[Product_Name],Table4[Product_Key],"not found")</f>
        <v>13</v>
      </c>
      <c r="P1764" s="25">
        <f>_xlfn.XLOOKUP(Snitch_Fashion_Sales_cleaned!$I1764,Table3[Order_Date],Table3[Date_Key])</f>
        <v>396</v>
      </c>
    </row>
    <row r="1765" spans="1:16" x14ac:dyDescent="0.3">
      <c r="A1765" s="34">
        <v>2763</v>
      </c>
      <c r="B1765" s="32" t="s">
        <v>1793</v>
      </c>
      <c r="C1765" s="32" t="s">
        <v>28</v>
      </c>
      <c r="D1765" s="33" t="s">
        <v>137</v>
      </c>
      <c r="E1765" s="34">
        <v>3</v>
      </c>
      <c r="F1765" s="35">
        <v>3360.01</v>
      </c>
      <c r="G1765" s="36">
        <v>0.51</v>
      </c>
      <c r="H1765" s="35">
        <f t="shared" si="56"/>
        <v>10080.030000000001</v>
      </c>
      <c r="I1765" s="37">
        <v>45647</v>
      </c>
      <c r="J1765" s="33" t="s">
        <v>52</v>
      </c>
      <c r="K1765" s="33" t="s">
        <v>23</v>
      </c>
      <c r="L1765" s="38">
        <f t="shared" si="57"/>
        <v>4939.2147000000004</v>
      </c>
      <c r="M1765" s="38">
        <v>1547.22</v>
      </c>
      <c r="N1765" s="24">
        <f>_xlfn.XLOOKUP(Snitch_Fashion_Sales_cleaned!$J1765,Table2[City],Table2[City_Key],"not found")</f>
        <v>5</v>
      </c>
      <c r="O1765" s="23">
        <f>_xlfn.XLOOKUP(Snitch_Fashion_Sales_cleaned!$D1765,Table4[Product_Name],Table4[Product_Key],"not found")</f>
        <v>24</v>
      </c>
      <c r="P1765" s="32">
        <f>_xlfn.XLOOKUP(Snitch_Fashion_Sales_cleaned!$I1765,Table3[Order_Date],Table3[Date_Key])</f>
        <v>5</v>
      </c>
    </row>
    <row r="1766" spans="1:16" x14ac:dyDescent="0.3">
      <c r="A1766" s="27">
        <v>2764</v>
      </c>
      <c r="B1766" s="25" t="s">
        <v>1794</v>
      </c>
      <c r="C1766" s="25" t="s">
        <v>28</v>
      </c>
      <c r="D1766" s="26" t="s">
        <v>116</v>
      </c>
      <c r="E1766" s="27">
        <v>3</v>
      </c>
      <c r="F1766" s="28">
        <v>2785.79</v>
      </c>
      <c r="G1766" s="29">
        <v>0.51</v>
      </c>
      <c r="H1766" s="28">
        <f t="shared" si="56"/>
        <v>8357.369999999999</v>
      </c>
      <c r="I1766" s="30">
        <v>45593</v>
      </c>
      <c r="J1766" s="26" t="s">
        <v>18</v>
      </c>
      <c r="K1766" s="26" t="s">
        <v>23</v>
      </c>
      <c r="L1766" s="31">
        <f t="shared" si="57"/>
        <v>4095.1112999999996</v>
      </c>
      <c r="M1766" s="31">
        <v>2347.0700000000002</v>
      </c>
      <c r="N1766" s="22">
        <f>_xlfn.XLOOKUP(Snitch_Fashion_Sales_cleaned!$J1766,Table2[City],Table2[City_Key],"not found")</f>
        <v>2</v>
      </c>
      <c r="O1766" s="21">
        <f>_xlfn.XLOOKUP(Snitch_Fashion_Sales_cleaned!$D1766,Table4[Product_Name],Table4[Product_Key],"not found")</f>
        <v>22</v>
      </c>
      <c r="P1766" s="25">
        <f>_xlfn.XLOOKUP(Snitch_Fashion_Sales_cleaned!$I1766,Table3[Order_Date],Table3[Date_Key])</f>
        <v>88</v>
      </c>
    </row>
    <row r="1767" spans="1:16" x14ac:dyDescent="0.3">
      <c r="A1767" s="34">
        <v>2765</v>
      </c>
      <c r="B1767" s="32" t="s">
        <v>1795</v>
      </c>
      <c r="C1767" s="32" t="s">
        <v>36</v>
      </c>
      <c r="D1767" s="33" t="s">
        <v>59</v>
      </c>
      <c r="E1767" s="34">
        <v>3</v>
      </c>
      <c r="F1767" s="35">
        <v>2765.26</v>
      </c>
      <c r="G1767" s="36">
        <v>0.51</v>
      </c>
      <c r="H1767" s="35">
        <f t="shared" si="56"/>
        <v>8295.7800000000007</v>
      </c>
      <c r="I1767" s="37">
        <v>45834</v>
      </c>
      <c r="J1767" s="33" t="s">
        <v>43</v>
      </c>
      <c r="K1767" s="33" t="s">
        <v>23</v>
      </c>
      <c r="L1767" s="38">
        <f t="shared" si="57"/>
        <v>4064.9322000000002</v>
      </c>
      <c r="M1767" s="38">
        <v>2047.44</v>
      </c>
      <c r="N1767" s="24">
        <f>_xlfn.XLOOKUP(Snitch_Fashion_Sales_cleaned!$J1767,Table2[City],Table2[City_Key],"not found")</f>
        <v>6</v>
      </c>
      <c r="O1767" s="23">
        <f>_xlfn.XLOOKUP(Snitch_Fashion_Sales_cleaned!$D1767,Table4[Product_Name],Table4[Product_Key],"not found")</f>
        <v>13</v>
      </c>
      <c r="P1767" s="32">
        <f>_xlfn.XLOOKUP(Snitch_Fashion_Sales_cleaned!$I1767,Table3[Order_Date],Table3[Date_Key])</f>
        <v>75</v>
      </c>
    </row>
    <row r="1768" spans="1:16" x14ac:dyDescent="0.3">
      <c r="A1768" s="27">
        <v>2766</v>
      </c>
      <c r="B1768" s="25" t="s">
        <v>1796</v>
      </c>
      <c r="C1768" s="25" t="s">
        <v>13</v>
      </c>
      <c r="D1768" s="26" t="s">
        <v>46</v>
      </c>
      <c r="E1768" s="27">
        <v>4</v>
      </c>
      <c r="F1768" s="28">
        <v>2891.64</v>
      </c>
      <c r="G1768" s="29">
        <v>0.51</v>
      </c>
      <c r="H1768" s="28">
        <f t="shared" si="56"/>
        <v>11566.56</v>
      </c>
      <c r="I1768" s="30">
        <v>45530</v>
      </c>
      <c r="J1768" s="26" t="s">
        <v>43</v>
      </c>
      <c r="K1768" s="26" t="s">
        <v>16</v>
      </c>
      <c r="L1768" s="31">
        <f t="shared" si="57"/>
        <v>5667.6143999999995</v>
      </c>
      <c r="M1768" s="31">
        <v>621.85</v>
      </c>
      <c r="N1768" s="22">
        <f>_xlfn.XLOOKUP(Snitch_Fashion_Sales_cleaned!$J1768,Table2[City],Table2[City_Key],"not found")</f>
        <v>6</v>
      </c>
      <c r="O1768" s="21">
        <f>_xlfn.XLOOKUP(Snitch_Fashion_Sales_cleaned!$D1768,Table4[Product_Name],Table4[Product_Key],"not found")</f>
        <v>10</v>
      </c>
      <c r="P1768" s="25">
        <f>_xlfn.XLOOKUP(Snitch_Fashion_Sales_cleaned!$I1768,Table3[Order_Date],Table3[Date_Key])</f>
        <v>275</v>
      </c>
    </row>
    <row r="1769" spans="1:16" x14ac:dyDescent="0.3">
      <c r="A1769" s="34">
        <v>2767</v>
      </c>
      <c r="B1769" s="32" t="s">
        <v>1797</v>
      </c>
      <c r="C1769" s="32" t="s">
        <v>31</v>
      </c>
      <c r="D1769" s="33" t="s">
        <v>68</v>
      </c>
      <c r="E1769" s="34">
        <v>4</v>
      </c>
      <c r="F1769" s="35">
        <v>4149.42</v>
      </c>
      <c r="G1769" s="36">
        <v>0.13</v>
      </c>
      <c r="H1769" s="35">
        <f t="shared" si="56"/>
        <v>16597.68</v>
      </c>
      <c r="I1769" s="37">
        <v>45647</v>
      </c>
      <c r="J1769" s="33" t="s">
        <v>52</v>
      </c>
      <c r="K1769" s="33" t="s">
        <v>23</v>
      </c>
      <c r="L1769" s="38">
        <f t="shared" si="57"/>
        <v>14439.981600000001</v>
      </c>
      <c r="M1769" s="38">
        <v>1926.29</v>
      </c>
      <c r="N1769" s="24">
        <f>_xlfn.XLOOKUP(Snitch_Fashion_Sales_cleaned!$J1769,Table2[City],Table2[City_Key],"not found")</f>
        <v>5</v>
      </c>
      <c r="O1769" s="23">
        <f>_xlfn.XLOOKUP(Snitch_Fashion_Sales_cleaned!$D1769,Table4[Product_Name],Table4[Product_Key],"not found")</f>
        <v>15</v>
      </c>
      <c r="P1769" s="32">
        <f>_xlfn.XLOOKUP(Snitch_Fashion_Sales_cleaned!$I1769,Table3[Order_Date],Table3[Date_Key])</f>
        <v>5</v>
      </c>
    </row>
    <row r="1770" spans="1:16" x14ac:dyDescent="0.3">
      <c r="A1770" s="27">
        <v>2768</v>
      </c>
      <c r="B1770" s="25" t="s">
        <v>1798</v>
      </c>
      <c r="C1770" s="25" t="s">
        <v>31</v>
      </c>
      <c r="D1770" s="26" t="s">
        <v>41</v>
      </c>
      <c r="E1770" s="27">
        <v>3</v>
      </c>
      <c r="F1770" s="28">
        <v>3027.66</v>
      </c>
      <c r="G1770" s="29">
        <v>0.69</v>
      </c>
      <c r="H1770" s="28">
        <f t="shared" si="56"/>
        <v>9082.98</v>
      </c>
      <c r="I1770" s="30">
        <v>45822</v>
      </c>
      <c r="J1770" s="26" t="s">
        <v>43</v>
      </c>
      <c r="K1770" s="26" t="s">
        <v>16</v>
      </c>
      <c r="L1770" s="31">
        <f t="shared" si="57"/>
        <v>2815.7238000000002</v>
      </c>
      <c r="M1770" s="31">
        <v>465.45</v>
      </c>
      <c r="N1770" s="22">
        <f>_xlfn.XLOOKUP(Snitch_Fashion_Sales_cleaned!$J1770,Table2[City],Table2[City_Key],"not found")</f>
        <v>6</v>
      </c>
      <c r="O1770" s="21">
        <f>_xlfn.XLOOKUP(Snitch_Fashion_Sales_cleaned!$D1770,Table4[Product_Name],Table4[Product_Key],"not found")</f>
        <v>9</v>
      </c>
      <c r="P1770" s="25">
        <f>_xlfn.XLOOKUP(Snitch_Fashion_Sales_cleaned!$I1770,Table3[Order_Date],Table3[Date_Key])</f>
        <v>325</v>
      </c>
    </row>
    <row r="1771" spans="1:16" x14ac:dyDescent="0.3">
      <c r="A1771" s="34">
        <v>2769</v>
      </c>
      <c r="B1771" s="32" t="s">
        <v>1799</v>
      </c>
      <c r="C1771" s="32" t="s">
        <v>31</v>
      </c>
      <c r="D1771" s="33" t="s">
        <v>78</v>
      </c>
      <c r="E1771" s="34">
        <v>4</v>
      </c>
      <c r="F1771" s="35">
        <v>2599.75</v>
      </c>
      <c r="G1771" s="36">
        <v>0.51</v>
      </c>
      <c r="H1771" s="35">
        <f t="shared" si="56"/>
        <v>10399</v>
      </c>
      <c r="I1771" s="37">
        <v>45690</v>
      </c>
      <c r="J1771" s="33" t="s">
        <v>18</v>
      </c>
      <c r="K1771" s="33" t="s">
        <v>23</v>
      </c>
      <c r="L1771" s="38">
        <f t="shared" si="57"/>
        <v>5095.51</v>
      </c>
      <c r="M1771" s="38">
        <v>2102.88</v>
      </c>
      <c r="N1771" s="24">
        <f>_xlfn.XLOOKUP(Snitch_Fashion_Sales_cleaned!$J1771,Table2[City],Table2[City_Key],"not found")</f>
        <v>2</v>
      </c>
      <c r="O1771" s="23">
        <f>_xlfn.XLOOKUP(Snitch_Fashion_Sales_cleaned!$D1771,Table4[Product_Name],Table4[Product_Key],"not found")</f>
        <v>17</v>
      </c>
      <c r="P1771" s="32">
        <f>_xlfn.XLOOKUP(Snitch_Fashion_Sales_cleaned!$I1771,Table3[Order_Date],Table3[Date_Key])</f>
        <v>122</v>
      </c>
    </row>
    <row r="1772" spans="1:16" x14ac:dyDescent="0.3">
      <c r="A1772" s="27">
        <v>2770</v>
      </c>
      <c r="B1772" s="25" t="s">
        <v>1800</v>
      </c>
      <c r="C1772" s="25" t="s">
        <v>31</v>
      </c>
      <c r="D1772" s="26" t="s">
        <v>68</v>
      </c>
      <c r="E1772" s="27">
        <v>4</v>
      </c>
      <c r="F1772" s="28">
        <v>1439.18</v>
      </c>
      <c r="G1772" s="29">
        <v>0.49</v>
      </c>
      <c r="H1772" s="28">
        <f t="shared" si="56"/>
        <v>5756.72</v>
      </c>
      <c r="I1772" s="30">
        <v>45760</v>
      </c>
      <c r="J1772" s="26" t="s">
        <v>43</v>
      </c>
      <c r="K1772" s="26" t="s">
        <v>16</v>
      </c>
      <c r="L1772" s="31">
        <f t="shared" si="57"/>
        <v>2935.9272000000001</v>
      </c>
      <c r="M1772" s="31">
        <v>2007.56</v>
      </c>
      <c r="N1772" s="22">
        <f>_xlfn.XLOOKUP(Snitch_Fashion_Sales_cleaned!$J1772,Table2[City],Table2[City_Key],"not found")</f>
        <v>6</v>
      </c>
      <c r="O1772" s="21">
        <f>_xlfn.XLOOKUP(Snitch_Fashion_Sales_cleaned!$D1772,Table4[Product_Name],Table4[Product_Key],"not found")</f>
        <v>15</v>
      </c>
      <c r="P1772" s="25">
        <f>_xlfn.XLOOKUP(Snitch_Fashion_Sales_cleaned!$I1772,Table3[Order_Date],Table3[Date_Key])</f>
        <v>458</v>
      </c>
    </row>
    <row r="1773" spans="1:16" x14ac:dyDescent="0.3">
      <c r="A1773" s="34">
        <v>1032</v>
      </c>
      <c r="B1773" s="32" t="s">
        <v>1801</v>
      </c>
      <c r="C1773" s="32" t="s">
        <v>25</v>
      </c>
      <c r="D1773" s="33" t="s">
        <v>26</v>
      </c>
      <c r="E1773" s="34">
        <v>4</v>
      </c>
      <c r="F1773" s="35">
        <v>3956.83</v>
      </c>
      <c r="G1773" s="36">
        <v>0.51</v>
      </c>
      <c r="H1773" s="35">
        <f t="shared" si="56"/>
        <v>15827.32</v>
      </c>
      <c r="I1773" s="37">
        <v>45620</v>
      </c>
      <c r="J1773" s="33" t="s">
        <v>52</v>
      </c>
      <c r="K1773" s="33" t="s">
        <v>23</v>
      </c>
      <c r="L1773" s="38">
        <f t="shared" si="57"/>
        <v>7755.3867999999993</v>
      </c>
      <c r="M1773" s="38">
        <v>1061.44</v>
      </c>
      <c r="N1773" s="24">
        <f>_xlfn.XLOOKUP(Snitch_Fashion_Sales_cleaned!$J1773,Table2[City],Table2[City_Key],"not found")</f>
        <v>5</v>
      </c>
      <c r="O1773" s="23">
        <f>_xlfn.XLOOKUP(Snitch_Fashion_Sales_cleaned!$D1773,Table4[Product_Name],Table4[Product_Key],"not found")</f>
        <v>3</v>
      </c>
      <c r="P1773" s="32">
        <f>_xlfn.XLOOKUP(Snitch_Fashion_Sales_cleaned!$I1773,Table3[Order_Date],Table3[Date_Key])</f>
        <v>213</v>
      </c>
    </row>
    <row r="1774" spans="1:16" x14ac:dyDescent="0.3">
      <c r="A1774" s="27">
        <v>2772</v>
      </c>
      <c r="B1774" s="25" t="s">
        <v>1802</v>
      </c>
      <c r="C1774" s="25" t="s">
        <v>13</v>
      </c>
      <c r="D1774" s="26" t="s">
        <v>98</v>
      </c>
      <c r="E1774" s="27">
        <v>5</v>
      </c>
      <c r="F1774" s="28">
        <v>2750.33</v>
      </c>
      <c r="G1774" s="29">
        <v>0.51</v>
      </c>
      <c r="H1774" s="28">
        <f t="shared" si="56"/>
        <v>13751.65</v>
      </c>
      <c r="I1774" s="30">
        <v>45342</v>
      </c>
      <c r="J1774" s="26" t="s">
        <v>52</v>
      </c>
      <c r="K1774" s="26" t="s">
        <v>23</v>
      </c>
      <c r="L1774" s="31">
        <f t="shared" si="57"/>
        <v>6738.3085000000001</v>
      </c>
      <c r="M1774" s="31">
        <v>-865.59</v>
      </c>
      <c r="N1774" s="22">
        <f>_xlfn.XLOOKUP(Snitch_Fashion_Sales_cleaned!$J1774,Table2[City],Table2[City_Key],"not found")</f>
        <v>5</v>
      </c>
      <c r="O1774" s="21">
        <f>_xlfn.XLOOKUP(Snitch_Fashion_Sales_cleaned!$D1774,Table4[Product_Name],Table4[Product_Key],"not found")</f>
        <v>21</v>
      </c>
      <c r="P1774" s="25">
        <f>_xlfn.XLOOKUP(Snitch_Fashion_Sales_cleaned!$I1774,Table3[Order_Date],Table3[Date_Key])</f>
        <v>384</v>
      </c>
    </row>
    <row r="1775" spans="1:16" x14ac:dyDescent="0.3">
      <c r="A1775" s="34">
        <v>2773</v>
      </c>
      <c r="B1775" s="32" t="s">
        <v>1803</v>
      </c>
      <c r="C1775" s="32" t="s">
        <v>20</v>
      </c>
      <c r="D1775" s="33" t="s">
        <v>76</v>
      </c>
      <c r="E1775" s="34">
        <v>3</v>
      </c>
      <c r="F1775" s="35">
        <v>2229.4899999999998</v>
      </c>
      <c r="G1775" s="36">
        <v>0.51</v>
      </c>
      <c r="H1775" s="35">
        <f t="shared" si="56"/>
        <v>6688.4699999999993</v>
      </c>
      <c r="I1775" s="37">
        <v>45647</v>
      </c>
      <c r="J1775" s="33" t="s">
        <v>18</v>
      </c>
      <c r="K1775" s="33" t="s">
        <v>16</v>
      </c>
      <c r="L1775" s="38">
        <f t="shared" si="57"/>
        <v>3277.3502999999996</v>
      </c>
      <c r="M1775" s="38">
        <v>1944.87</v>
      </c>
      <c r="N1775" s="24">
        <f>_xlfn.XLOOKUP(Snitch_Fashion_Sales_cleaned!$J1775,Table2[City],Table2[City_Key],"not found")</f>
        <v>2</v>
      </c>
      <c r="O1775" s="23">
        <f>_xlfn.XLOOKUP(Snitch_Fashion_Sales_cleaned!$D1775,Table4[Product_Name],Table4[Product_Key],"not found")</f>
        <v>16</v>
      </c>
      <c r="P1775" s="32">
        <f>_xlfn.XLOOKUP(Snitch_Fashion_Sales_cleaned!$I1775,Table3[Order_Date],Table3[Date_Key])</f>
        <v>5</v>
      </c>
    </row>
    <row r="1776" spans="1:16" x14ac:dyDescent="0.3">
      <c r="A1776" s="27">
        <v>2774</v>
      </c>
      <c r="B1776" s="25" t="s">
        <v>1804</v>
      </c>
      <c r="C1776" s="25" t="s">
        <v>28</v>
      </c>
      <c r="D1776" s="26" t="s">
        <v>39</v>
      </c>
      <c r="E1776" s="27">
        <v>3</v>
      </c>
      <c r="F1776" s="28">
        <v>2577.6350000000002</v>
      </c>
      <c r="G1776" s="29">
        <v>0.51</v>
      </c>
      <c r="H1776" s="28">
        <f t="shared" si="56"/>
        <v>7732.9050000000007</v>
      </c>
      <c r="I1776" s="30">
        <v>45497</v>
      </c>
      <c r="J1776" s="26" t="s">
        <v>22</v>
      </c>
      <c r="K1776" s="26" t="s">
        <v>23</v>
      </c>
      <c r="L1776" s="31">
        <f t="shared" si="57"/>
        <v>3789.12345</v>
      </c>
      <c r="M1776" s="31">
        <v>1081.4100000000001</v>
      </c>
      <c r="N1776" s="22">
        <f>_xlfn.XLOOKUP(Snitch_Fashion_Sales_cleaned!$J1776,Table2[City],Table2[City_Key],"not found")</f>
        <v>3</v>
      </c>
      <c r="O1776" s="21">
        <f>_xlfn.XLOOKUP(Snitch_Fashion_Sales_cleaned!$D1776,Table4[Product_Name],Table4[Product_Key],"not found")</f>
        <v>8</v>
      </c>
      <c r="P1776" s="25">
        <f>_xlfn.XLOOKUP(Snitch_Fashion_Sales_cleaned!$I1776,Table3[Order_Date],Table3[Date_Key])</f>
        <v>449</v>
      </c>
    </row>
    <row r="1777" spans="1:16" x14ac:dyDescent="0.3">
      <c r="A1777" s="34">
        <v>2775</v>
      </c>
      <c r="B1777" s="32" t="s">
        <v>1805</v>
      </c>
      <c r="C1777" s="32" t="s">
        <v>25</v>
      </c>
      <c r="D1777" s="33" t="s">
        <v>50</v>
      </c>
      <c r="E1777" s="34">
        <v>5</v>
      </c>
      <c r="F1777" s="35">
        <v>2666.2200000000003</v>
      </c>
      <c r="G1777" s="36">
        <v>0.46</v>
      </c>
      <c r="H1777" s="35">
        <f t="shared" si="56"/>
        <v>13331.100000000002</v>
      </c>
      <c r="I1777" s="37">
        <v>45504</v>
      </c>
      <c r="J1777" s="33" t="s">
        <v>18</v>
      </c>
      <c r="K1777" s="33" t="s">
        <v>23</v>
      </c>
      <c r="L1777" s="38">
        <f t="shared" si="57"/>
        <v>7198.7940000000017</v>
      </c>
      <c r="M1777" s="38">
        <v>1182.1199999999999</v>
      </c>
      <c r="N1777" s="24">
        <f>_xlfn.XLOOKUP(Snitch_Fashion_Sales_cleaned!$J1777,Table2[City],Table2[City_Key],"not found")</f>
        <v>2</v>
      </c>
      <c r="O1777" s="23">
        <f>_xlfn.XLOOKUP(Snitch_Fashion_Sales_cleaned!$D1777,Table4[Product_Name],Table4[Product_Key],"not found")</f>
        <v>11</v>
      </c>
      <c r="P1777" s="32">
        <f>_xlfn.XLOOKUP(Snitch_Fashion_Sales_cleaned!$I1777,Table3[Order_Date],Table3[Date_Key])</f>
        <v>505</v>
      </c>
    </row>
    <row r="1778" spans="1:16" x14ac:dyDescent="0.3">
      <c r="A1778" s="27">
        <v>2776</v>
      </c>
      <c r="B1778" s="25" t="s">
        <v>1806</v>
      </c>
      <c r="C1778" s="25" t="s">
        <v>20</v>
      </c>
      <c r="D1778" s="26" t="s">
        <v>118</v>
      </c>
      <c r="E1778" s="27">
        <v>3.5</v>
      </c>
      <c r="F1778" s="28">
        <v>891.42</v>
      </c>
      <c r="G1778" s="29">
        <v>0.51</v>
      </c>
      <c r="H1778" s="28">
        <f t="shared" si="56"/>
        <v>3119.97</v>
      </c>
      <c r="I1778" s="30">
        <v>45617</v>
      </c>
      <c r="J1778" s="26" t="s">
        <v>22</v>
      </c>
      <c r="K1778" s="26" t="s">
        <v>16</v>
      </c>
      <c r="L1778" s="31">
        <f t="shared" si="57"/>
        <v>1528.7852999999998</v>
      </c>
      <c r="M1778" s="31">
        <v>664.02</v>
      </c>
      <c r="N1778" s="22">
        <f>_xlfn.XLOOKUP(Snitch_Fashion_Sales_cleaned!$J1778,Table2[City],Table2[City_Key],"not found")</f>
        <v>3</v>
      </c>
      <c r="O1778" s="21">
        <f>_xlfn.XLOOKUP(Snitch_Fashion_Sales_cleaned!$D1778,Table4[Product_Name],Table4[Product_Key],"not found")</f>
        <v>23</v>
      </c>
      <c r="P1778" s="25">
        <f>_xlfn.XLOOKUP(Snitch_Fashion_Sales_cleaned!$I1778,Table3[Order_Date],Table3[Date_Key])</f>
        <v>199</v>
      </c>
    </row>
    <row r="1779" spans="1:16" x14ac:dyDescent="0.3">
      <c r="A1779" s="34">
        <v>2777</v>
      </c>
      <c r="B1779" s="32" t="s">
        <v>1807</v>
      </c>
      <c r="C1779" s="32" t="s">
        <v>25</v>
      </c>
      <c r="D1779" s="33" t="s">
        <v>50</v>
      </c>
      <c r="E1779" s="34">
        <v>4</v>
      </c>
      <c r="F1779" s="35">
        <v>2666.2200000000003</v>
      </c>
      <c r="G1779" s="36">
        <v>0.42</v>
      </c>
      <c r="H1779" s="35">
        <f t="shared" si="56"/>
        <v>10664.880000000001</v>
      </c>
      <c r="I1779" s="37">
        <v>45638</v>
      </c>
      <c r="J1779" s="33" t="s">
        <v>43</v>
      </c>
      <c r="K1779" s="33" t="s">
        <v>23</v>
      </c>
      <c r="L1779" s="38">
        <f t="shared" si="57"/>
        <v>6185.6304000000009</v>
      </c>
      <c r="M1779" s="38">
        <v>1373.67</v>
      </c>
      <c r="N1779" s="24">
        <f>_xlfn.XLOOKUP(Snitch_Fashion_Sales_cleaned!$J1779,Table2[City],Table2[City_Key],"not found")</f>
        <v>6</v>
      </c>
      <c r="O1779" s="23">
        <f>_xlfn.XLOOKUP(Snitch_Fashion_Sales_cleaned!$D1779,Table4[Product_Name],Table4[Product_Key],"not found")</f>
        <v>11</v>
      </c>
      <c r="P1779" s="32">
        <f>_xlfn.XLOOKUP(Snitch_Fashion_Sales_cleaned!$I1779,Table3[Order_Date],Table3[Date_Key])</f>
        <v>192</v>
      </c>
    </row>
    <row r="1780" spans="1:16" x14ac:dyDescent="0.3">
      <c r="A1780" s="27">
        <v>2778</v>
      </c>
      <c r="B1780" s="25" t="s">
        <v>1808</v>
      </c>
      <c r="C1780" s="25" t="s">
        <v>36</v>
      </c>
      <c r="D1780" s="26" t="s">
        <v>59</v>
      </c>
      <c r="E1780" s="27">
        <v>3</v>
      </c>
      <c r="F1780" s="28">
        <v>578.58000000000004</v>
      </c>
      <c r="G1780" s="29">
        <v>0.51</v>
      </c>
      <c r="H1780" s="28">
        <f t="shared" si="56"/>
        <v>1735.7400000000002</v>
      </c>
      <c r="I1780" s="30">
        <v>45671</v>
      </c>
      <c r="J1780" s="26" t="s">
        <v>18</v>
      </c>
      <c r="K1780" s="26" t="s">
        <v>23</v>
      </c>
      <c r="L1780" s="31">
        <f t="shared" si="57"/>
        <v>850.51260000000013</v>
      </c>
      <c r="M1780" s="31">
        <v>414.18</v>
      </c>
      <c r="N1780" s="22">
        <f>_xlfn.XLOOKUP(Snitch_Fashion_Sales_cleaned!$J1780,Table2[City],Table2[City_Key],"not found")</f>
        <v>2</v>
      </c>
      <c r="O1780" s="21">
        <f>_xlfn.XLOOKUP(Snitch_Fashion_Sales_cleaned!$D1780,Table4[Product_Name],Table4[Product_Key],"not found")</f>
        <v>13</v>
      </c>
      <c r="P1780" s="25">
        <f>_xlfn.XLOOKUP(Snitch_Fashion_Sales_cleaned!$I1780,Table3[Order_Date],Table3[Date_Key])</f>
        <v>125</v>
      </c>
    </row>
    <row r="1781" spans="1:16" x14ac:dyDescent="0.3">
      <c r="A1781" s="34">
        <v>2779</v>
      </c>
      <c r="B1781" s="32" t="s">
        <v>1809</v>
      </c>
      <c r="C1781" s="32" t="s">
        <v>31</v>
      </c>
      <c r="D1781" s="33" t="s">
        <v>32</v>
      </c>
      <c r="E1781" s="34">
        <v>4</v>
      </c>
      <c r="F1781" s="35">
        <v>2001.5500000000002</v>
      </c>
      <c r="G1781" s="36">
        <v>0.4</v>
      </c>
      <c r="H1781" s="35">
        <f t="shared" si="56"/>
        <v>8006.2000000000007</v>
      </c>
      <c r="I1781" s="37">
        <v>45774</v>
      </c>
      <c r="J1781" s="33" t="s">
        <v>43</v>
      </c>
      <c r="K1781" s="33" t="s">
        <v>23</v>
      </c>
      <c r="L1781" s="38">
        <f t="shared" si="57"/>
        <v>4803.72</v>
      </c>
      <c r="M1781" s="38">
        <v>2573.85</v>
      </c>
      <c r="N1781" s="24">
        <f>_xlfn.XLOOKUP(Snitch_Fashion_Sales_cleaned!$J1781,Table2[City],Table2[City_Key],"not found")</f>
        <v>6</v>
      </c>
      <c r="O1781" s="23">
        <f>_xlfn.XLOOKUP(Snitch_Fashion_Sales_cleaned!$D1781,Table4[Product_Name],Table4[Product_Key],"not found")</f>
        <v>5</v>
      </c>
      <c r="P1781" s="32">
        <f>_xlfn.XLOOKUP(Snitch_Fashion_Sales_cleaned!$I1781,Table3[Order_Date],Table3[Date_Key])</f>
        <v>267</v>
      </c>
    </row>
    <row r="1782" spans="1:16" x14ac:dyDescent="0.3">
      <c r="A1782" s="27">
        <v>2780</v>
      </c>
      <c r="B1782" s="25" t="s">
        <v>1810</v>
      </c>
      <c r="C1782" s="25" t="s">
        <v>36</v>
      </c>
      <c r="D1782" s="26" t="s">
        <v>37</v>
      </c>
      <c r="E1782" s="27">
        <v>4</v>
      </c>
      <c r="F1782" s="28">
        <v>2534.9</v>
      </c>
      <c r="G1782" s="29">
        <v>0.51</v>
      </c>
      <c r="H1782" s="28">
        <f t="shared" si="56"/>
        <v>10139.6</v>
      </c>
      <c r="I1782" s="30">
        <v>45781</v>
      </c>
      <c r="J1782" s="26" t="s">
        <v>18</v>
      </c>
      <c r="K1782" s="26" t="s">
        <v>23</v>
      </c>
      <c r="L1782" s="31">
        <f t="shared" si="57"/>
        <v>4968.4040000000005</v>
      </c>
      <c r="M1782" s="31">
        <v>1529.17</v>
      </c>
      <c r="N1782" s="22">
        <f>_xlfn.XLOOKUP(Snitch_Fashion_Sales_cleaned!$J1782,Table2[City],Table2[City_Key],"not found")</f>
        <v>2</v>
      </c>
      <c r="O1782" s="21">
        <f>_xlfn.XLOOKUP(Snitch_Fashion_Sales_cleaned!$D1782,Table4[Product_Name],Table4[Product_Key],"not found")</f>
        <v>7</v>
      </c>
      <c r="P1782" s="25">
        <f>_xlfn.XLOOKUP(Snitch_Fashion_Sales_cleaned!$I1782,Table3[Order_Date],Table3[Date_Key])</f>
        <v>277</v>
      </c>
    </row>
    <row r="1783" spans="1:16" x14ac:dyDescent="0.3">
      <c r="A1783" s="34">
        <v>2781</v>
      </c>
      <c r="B1783" s="32" t="s">
        <v>1811</v>
      </c>
      <c r="C1783" s="32" t="s">
        <v>13</v>
      </c>
      <c r="D1783" s="33" t="s">
        <v>46</v>
      </c>
      <c r="E1783" s="34">
        <v>4</v>
      </c>
      <c r="F1783" s="35">
        <v>2891.64</v>
      </c>
      <c r="G1783" s="36">
        <v>0.51</v>
      </c>
      <c r="H1783" s="35">
        <f t="shared" si="56"/>
        <v>11566.56</v>
      </c>
      <c r="I1783" s="37">
        <v>45780</v>
      </c>
      <c r="J1783" s="33" t="s">
        <v>18</v>
      </c>
      <c r="K1783" s="33" t="s">
        <v>16</v>
      </c>
      <c r="L1783" s="38">
        <f t="shared" si="57"/>
        <v>5667.6143999999995</v>
      </c>
      <c r="M1783" s="38">
        <v>1947.29</v>
      </c>
      <c r="N1783" s="24">
        <f>_xlfn.XLOOKUP(Snitch_Fashion_Sales_cleaned!$J1783,Table2[City],Table2[City_Key],"not found")</f>
        <v>2</v>
      </c>
      <c r="O1783" s="23">
        <f>_xlfn.XLOOKUP(Snitch_Fashion_Sales_cleaned!$D1783,Table4[Product_Name],Table4[Product_Key],"not found")</f>
        <v>10</v>
      </c>
      <c r="P1783" s="32">
        <f>_xlfn.XLOOKUP(Snitch_Fashion_Sales_cleaned!$I1783,Table3[Order_Date],Table3[Date_Key])</f>
        <v>305</v>
      </c>
    </row>
    <row r="1784" spans="1:16" x14ac:dyDescent="0.3">
      <c r="A1784" s="27">
        <v>2782</v>
      </c>
      <c r="B1784" s="25" t="s">
        <v>1812</v>
      </c>
      <c r="C1784" s="25" t="s">
        <v>13</v>
      </c>
      <c r="D1784" s="26" t="s">
        <v>98</v>
      </c>
      <c r="E1784" s="27">
        <v>5</v>
      </c>
      <c r="F1784" s="28">
        <v>449.09</v>
      </c>
      <c r="G1784" s="29">
        <v>0.51</v>
      </c>
      <c r="H1784" s="28">
        <f t="shared" si="56"/>
        <v>2245.4499999999998</v>
      </c>
      <c r="I1784" s="30">
        <v>45647</v>
      </c>
      <c r="J1784" s="26" t="s">
        <v>22</v>
      </c>
      <c r="K1784" s="26" t="s">
        <v>23</v>
      </c>
      <c r="L1784" s="31">
        <f t="shared" si="57"/>
        <v>1100.2704999999999</v>
      </c>
      <c r="M1784" s="31">
        <v>275.06762499999996</v>
      </c>
      <c r="N1784" s="22">
        <f>_xlfn.XLOOKUP(Snitch_Fashion_Sales_cleaned!$J1784,Table2[City],Table2[City_Key],"not found")</f>
        <v>3</v>
      </c>
      <c r="O1784" s="21">
        <f>_xlfn.XLOOKUP(Snitch_Fashion_Sales_cleaned!$D1784,Table4[Product_Name],Table4[Product_Key],"not found")</f>
        <v>21</v>
      </c>
      <c r="P1784" s="25">
        <f>_xlfn.XLOOKUP(Snitch_Fashion_Sales_cleaned!$I1784,Table3[Order_Date],Table3[Date_Key])</f>
        <v>5</v>
      </c>
    </row>
    <row r="1785" spans="1:16" x14ac:dyDescent="0.3">
      <c r="A1785" s="34">
        <v>2783</v>
      </c>
      <c r="B1785" s="32" t="s">
        <v>1813</v>
      </c>
      <c r="C1785" s="32" t="s">
        <v>28</v>
      </c>
      <c r="D1785" s="33" t="s">
        <v>29</v>
      </c>
      <c r="E1785" s="34">
        <v>3</v>
      </c>
      <c r="F1785" s="35">
        <v>2515.415</v>
      </c>
      <c r="G1785" s="36">
        <v>0.51</v>
      </c>
      <c r="H1785" s="35">
        <f t="shared" si="56"/>
        <v>7546.2449999999999</v>
      </c>
      <c r="I1785" s="37">
        <v>45547</v>
      </c>
      <c r="J1785" s="33" t="s">
        <v>22</v>
      </c>
      <c r="K1785" s="33" t="s">
        <v>16</v>
      </c>
      <c r="L1785" s="38">
        <f t="shared" si="57"/>
        <v>3697.66005</v>
      </c>
      <c r="M1785" s="38">
        <v>45.06</v>
      </c>
      <c r="N1785" s="24">
        <f>_xlfn.XLOOKUP(Snitch_Fashion_Sales_cleaned!$J1785,Table2[City],Table2[City_Key],"not found")</f>
        <v>3</v>
      </c>
      <c r="O1785" s="23">
        <f>_xlfn.XLOOKUP(Snitch_Fashion_Sales_cleaned!$D1785,Table4[Product_Name],Table4[Product_Key],"not found")</f>
        <v>4</v>
      </c>
      <c r="P1785" s="32">
        <f>_xlfn.XLOOKUP(Snitch_Fashion_Sales_cleaned!$I1785,Table3[Order_Date],Table3[Date_Key])</f>
        <v>31</v>
      </c>
    </row>
    <row r="1786" spans="1:16" x14ac:dyDescent="0.3">
      <c r="A1786" s="27">
        <v>2784</v>
      </c>
      <c r="B1786" s="25" t="s">
        <v>1814</v>
      </c>
      <c r="C1786" s="25" t="s">
        <v>20</v>
      </c>
      <c r="D1786" s="26" t="s">
        <v>76</v>
      </c>
      <c r="E1786" s="27">
        <v>3</v>
      </c>
      <c r="F1786" s="28">
        <v>2229.4899999999998</v>
      </c>
      <c r="G1786" s="29">
        <v>0.51</v>
      </c>
      <c r="H1786" s="28">
        <f t="shared" si="56"/>
        <v>6688.4699999999993</v>
      </c>
      <c r="I1786" s="30">
        <v>45660</v>
      </c>
      <c r="J1786" s="26" t="s">
        <v>43</v>
      </c>
      <c r="K1786" s="26" t="s">
        <v>16</v>
      </c>
      <c r="L1786" s="31">
        <f t="shared" si="57"/>
        <v>3277.3502999999996</v>
      </c>
      <c r="M1786" s="31">
        <v>2921.6</v>
      </c>
      <c r="N1786" s="22">
        <f>_xlfn.XLOOKUP(Snitch_Fashion_Sales_cleaned!$J1786,Table2[City],Table2[City_Key],"not found")</f>
        <v>6</v>
      </c>
      <c r="O1786" s="21">
        <f>_xlfn.XLOOKUP(Snitch_Fashion_Sales_cleaned!$D1786,Table4[Product_Name],Table4[Product_Key],"not found")</f>
        <v>16</v>
      </c>
      <c r="P1786" s="25">
        <f>_xlfn.XLOOKUP(Snitch_Fashion_Sales_cleaned!$I1786,Table3[Order_Date],Table3[Date_Key])</f>
        <v>210</v>
      </c>
    </row>
    <row r="1787" spans="1:16" x14ac:dyDescent="0.3">
      <c r="A1787" s="34">
        <v>2785</v>
      </c>
      <c r="B1787" s="32" t="s">
        <v>1815</v>
      </c>
      <c r="C1787" s="32" t="s">
        <v>25</v>
      </c>
      <c r="D1787" s="33" t="s">
        <v>50</v>
      </c>
      <c r="E1787" s="34">
        <v>4</v>
      </c>
      <c r="F1787" s="35">
        <v>2666.2200000000003</v>
      </c>
      <c r="G1787" s="36">
        <v>0.51</v>
      </c>
      <c r="H1787" s="35">
        <f t="shared" si="56"/>
        <v>10664.880000000001</v>
      </c>
      <c r="I1787" s="37">
        <v>45569</v>
      </c>
      <c r="J1787" s="33" t="s">
        <v>22</v>
      </c>
      <c r="K1787" s="33" t="s">
        <v>23</v>
      </c>
      <c r="L1787" s="38">
        <f t="shared" si="57"/>
        <v>5225.7912000000006</v>
      </c>
      <c r="M1787" s="38">
        <v>385.61</v>
      </c>
      <c r="N1787" s="24">
        <f>_xlfn.XLOOKUP(Snitch_Fashion_Sales_cleaned!$J1787,Table2[City],Table2[City_Key],"not found")</f>
        <v>3</v>
      </c>
      <c r="O1787" s="23">
        <f>_xlfn.XLOOKUP(Snitch_Fashion_Sales_cleaned!$D1787,Table4[Product_Name],Table4[Product_Key],"not found")</f>
        <v>11</v>
      </c>
      <c r="P1787" s="32">
        <f>_xlfn.XLOOKUP(Snitch_Fashion_Sales_cleaned!$I1787,Table3[Order_Date],Table3[Date_Key])</f>
        <v>108</v>
      </c>
    </row>
    <row r="1788" spans="1:16" x14ac:dyDescent="0.3">
      <c r="A1788" s="27">
        <v>1026</v>
      </c>
      <c r="B1788" s="25" t="s">
        <v>1816</v>
      </c>
      <c r="C1788" s="25" t="s">
        <v>20</v>
      </c>
      <c r="D1788" s="26" t="s">
        <v>84</v>
      </c>
      <c r="E1788" s="27">
        <v>3</v>
      </c>
      <c r="F1788" s="28">
        <v>2537.59</v>
      </c>
      <c r="G1788" s="29">
        <v>0.03</v>
      </c>
      <c r="H1788" s="28">
        <f t="shared" si="56"/>
        <v>7612.77</v>
      </c>
      <c r="I1788" s="30">
        <v>45561</v>
      </c>
      <c r="J1788" s="26" t="s">
        <v>15</v>
      </c>
      <c r="K1788" s="26" t="s">
        <v>23</v>
      </c>
      <c r="L1788" s="31">
        <f t="shared" si="57"/>
        <v>7384.3869000000004</v>
      </c>
      <c r="M1788" s="31">
        <v>688.48</v>
      </c>
      <c r="N1788" s="22">
        <f>_xlfn.XLOOKUP(Snitch_Fashion_Sales_cleaned!$J1788,Table2[City],Table2[City_Key],"not found")</f>
        <v>1</v>
      </c>
      <c r="O1788" s="21">
        <f>_xlfn.XLOOKUP(Snitch_Fashion_Sales_cleaned!$D1788,Table4[Product_Name],Table4[Product_Key],"not found")</f>
        <v>19</v>
      </c>
      <c r="P1788" s="25">
        <f>_xlfn.XLOOKUP(Snitch_Fashion_Sales_cleaned!$I1788,Table3[Order_Date],Table3[Date_Key])</f>
        <v>190</v>
      </c>
    </row>
    <row r="1789" spans="1:16" x14ac:dyDescent="0.3">
      <c r="A1789" s="34">
        <v>2787</v>
      </c>
      <c r="B1789" s="32" t="s">
        <v>1817</v>
      </c>
      <c r="C1789" s="32" t="s">
        <v>28</v>
      </c>
      <c r="D1789" s="33" t="s">
        <v>137</v>
      </c>
      <c r="E1789" s="34">
        <v>3.5</v>
      </c>
      <c r="F1789" s="35">
        <v>2338.04</v>
      </c>
      <c r="G1789" s="36">
        <v>0.51</v>
      </c>
      <c r="H1789" s="35">
        <f t="shared" si="56"/>
        <v>8183.1399999999994</v>
      </c>
      <c r="I1789" s="37">
        <v>45647</v>
      </c>
      <c r="J1789" s="33" t="s">
        <v>52</v>
      </c>
      <c r="K1789" s="33" t="s">
        <v>23</v>
      </c>
      <c r="L1789" s="38">
        <f t="shared" si="57"/>
        <v>4009.7385999999997</v>
      </c>
      <c r="M1789" s="38">
        <v>1459.62</v>
      </c>
      <c r="N1789" s="24">
        <f>_xlfn.XLOOKUP(Snitch_Fashion_Sales_cleaned!$J1789,Table2[City],Table2[City_Key],"not found")</f>
        <v>5</v>
      </c>
      <c r="O1789" s="23">
        <f>_xlfn.XLOOKUP(Snitch_Fashion_Sales_cleaned!$D1789,Table4[Product_Name],Table4[Product_Key],"not found")</f>
        <v>24</v>
      </c>
      <c r="P1789" s="32">
        <f>_xlfn.XLOOKUP(Snitch_Fashion_Sales_cleaned!$I1789,Table3[Order_Date],Table3[Date_Key])</f>
        <v>5</v>
      </c>
    </row>
    <row r="1790" spans="1:16" x14ac:dyDescent="0.3">
      <c r="A1790" s="27">
        <v>2788</v>
      </c>
      <c r="B1790" s="25" t="s">
        <v>1818</v>
      </c>
      <c r="C1790" s="25" t="s">
        <v>28</v>
      </c>
      <c r="D1790" s="26" t="s">
        <v>39</v>
      </c>
      <c r="E1790" s="27">
        <v>3</v>
      </c>
      <c r="F1790" s="28">
        <v>3267.28</v>
      </c>
      <c r="G1790" s="29">
        <v>0.51</v>
      </c>
      <c r="H1790" s="28">
        <f t="shared" si="56"/>
        <v>9801.84</v>
      </c>
      <c r="I1790" s="30">
        <v>45742</v>
      </c>
      <c r="J1790" s="26" t="s">
        <v>2540</v>
      </c>
      <c r="K1790" s="26" t="s">
        <v>23</v>
      </c>
      <c r="L1790" s="31">
        <f t="shared" si="57"/>
        <v>4802.9016000000001</v>
      </c>
      <c r="M1790" s="31">
        <v>81.99</v>
      </c>
      <c r="N1790" s="22">
        <f>_xlfn.XLOOKUP(Snitch_Fashion_Sales_cleaned!$J1790,Table2[City],Table2[City_Key],"not found")</f>
        <v>4</v>
      </c>
      <c r="O1790" s="21">
        <f>_xlfn.XLOOKUP(Snitch_Fashion_Sales_cleaned!$D1790,Table4[Product_Name],Table4[Product_Key],"not found")</f>
        <v>8</v>
      </c>
      <c r="P1790" s="25">
        <f>_xlfn.XLOOKUP(Snitch_Fashion_Sales_cleaned!$I1790,Table3[Order_Date],Table3[Date_Key])</f>
        <v>177</v>
      </c>
    </row>
    <row r="1791" spans="1:16" x14ac:dyDescent="0.3">
      <c r="A1791" s="34">
        <v>2789</v>
      </c>
      <c r="B1791" s="32" t="s">
        <v>1819</v>
      </c>
      <c r="C1791" s="32" t="s">
        <v>28</v>
      </c>
      <c r="D1791" s="33" t="s">
        <v>29</v>
      </c>
      <c r="E1791" s="34">
        <v>3</v>
      </c>
      <c r="F1791" s="35">
        <v>3735.56</v>
      </c>
      <c r="G1791" s="36">
        <v>0.51</v>
      </c>
      <c r="H1791" s="35">
        <f t="shared" si="56"/>
        <v>11206.68</v>
      </c>
      <c r="I1791" s="37">
        <v>45647</v>
      </c>
      <c r="J1791" s="33" t="s">
        <v>43</v>
      </c>
      <c r="K1791" s="33" t="s">
        <v>16</v>
      </c>
      <c r="L1791" s="38">
        <f t="shared" si="57"/>
        <v>5491.2731999999996</v>
      </c>
      <c r="M1791" s="38">
        <v>-690.11</v>
      </c>
      <c r="N1791" s="24">
        <f>_xlfn.XLOOKUP(Snitch_Fashion_Sales_cleaned!$J1791,Table2[City],Table2[City_Key],"not found")</f>
        <v>6</v>
      </c>
      <c r="O1791" s="23">
        <f>_xlfn.XLOOKUP(Snitch_Fashion_Sales_cleaned!$D1791,Table4[Product_Name],Table4[Product_Key],"not found")</f>
        <v>4</v>
      </c>
      <c r="P1791" s="32">
        <f>_xlfn.XLOOKUP(Snitch_Fashion_Sales_cleaned!$I1791,Table3[Order_Date],Table3[Date_Key])</f>
        <v>5</v>
      </c>
    </row>
    <row r="1792" spans="1:16" x14ac:dyDescent="0.3">
      <c r="A1792" s="27">
        <v>2790</v>
      </c>
      <c r="B1792" s="25" t="s">
        <v>1820</v>
      </c>
      <c r="C1792" s="25" t="s">
        <v>13</v>
      </c>
      <c r="D1792" s="26" t="s">
        <v>34</v>
      </c>
      <c r="E1792" s="27">
        <v>3</v>
      </c>
      <c r="F1792" s="28">
        <v>2675.27</v>
      </c>
      <c r="G1792" s="29">
        <v>0.41</v>
      </c>
      <c r="H1792" s="28">
        <f t="shared" si="56"/>
        <v>8025.8099999999995</v>
      </c>
      <c r="I1792" s="30">
        <v>45605</v>
      </c>
      <c r="J1792" s="26" t="s">
        <v>15</v>
      </c>
      <c r="K1792" s="26" t="s">
        <v>23</v>
      </c>
      <c r="L1792" s="31">
        <f t="shared" si="57"/>
        <v>4735.2279000000008</v>
      </c>
      <c r="M1792" s="31">
        <v>1960.51</v>
      </c>
      <c r="N1792" s="22">
        <f>_xlfn.XLOOKUP(Snitch_Fashion_Sales_cleaned!$J1792,Table2[City],Table2[City_Key],"not found")</f>
        <v>1</v>
      </c>
      <c r="O1792" s="21">
        <f>_xlfn.XLOOKUP(Snitch_Fashion_Sales_cleaned!$D1792,Table4[Product_Name],Table4[Product_Key],"not found")</f>
        <v>6</v>
      </c>
      <c r="P1792" s="25">
        <f>_xlfn.XLOOKUP(Snitch_Fashion_Sales_cleaned!$I1792,Table3[Order_Date],Table3[Date_Key])</f>
        <v>60</v>
      </c>
    </row>
    <row r="1793" spans="1:16" x14ac:dyDescent="0.3">
      <c r="A1793" s="34">
        <v>2791</v>
      </c>
      <c r="B1793" s="32" t="s">
        <v>1821</v>
      </c>
      <c r="C1793" s="32" t="s">
        <v>31</v>
      </c>
      <c r="D1793" s="33" t="s">
        <v>68</v>
      </c>
      <c r="E1793" s="34">
        <v>3</v>
      </c>
      <c r="F1793" s="35">
        <v>2765.79</v>
      </c>
      <c r="G1793" s="36">
        <v>0.51</v>
      </c>
      <c r="H1793" s="35">
        <f t="shared" si="56"/>
        <v>8297.369999999999</v>
      </c>
      <c r="I1793" s="37">
        <v>45604</v>
      </c>
      <c r="J1793" s="33" t="s">
        <v>43</v>
      </c>
      <c r="K1793" s="33" t="s">
        <v>23</v>
      </c>
      <c r="L1793" s="38">
        <f t="shared" si="57"/>
        <v>4065.7112999999995</v>
      </c>
      <c r="M1793" s="38">
        <v>-166.3</v>
      </c>
      <c r="N1793" s="24">
        <f>_xlfn.XLOOKUP(Snitch_Fashion_Sales_cleaned!$J1793,Table2[City],Table2[City_Key],"not found")</f>
        <v>6</v>
      </c>
      <c r="O1793" s="23">
        <f>_xlfn.XLOOKUP(Snitch_Fashion_Sales_cleaned!$D1793,Table4[Product_Name],Table4[Product_Key],"not found")</f>
        <v>15</v>
      </c>
      <c r="P1793" s="32">
        <f>_xlfn.XLOOKUP(Snitch_Fashion_Sales_cleaned!$I1793,Table3[Order_Date],Table3[Date_Key])</f>
        <v>101</v>
      </c>
    </row>
    <row r="1794" spans="1:16" x14ac:dyDescent="0.3">
      <c r="A1794" s="27">
        <v>2792</v>
      </c>
      <c r="B1794" s="25" t="s">
        <v>1822</v>
      </c>
      <c r="C1794" s="25" t="s">
        <v>31</v>
      </c>
      <c r="D1794" s="26" t="s">
        <v>78</v>
      </c>
      <c r="E1794" s="27">
        <v>4</v>
      </c>
      <c r="F1794" s="28">
        <v>1039.1500000000001</v>
      </c>
      <c r="G1794" s="29">
        <v>0.51</v>
      </c>
      <c r="H1794" s="28">
        <f t="shared" si="56"/>
        <v>4156.6000000000004</v>
      </c>
      <c r="I1794" s="30">
        <v>45647</v>
      </c>
      <c r="J1794" s="26" t="s">
        <v>43</v>
      </c>
      <c r="K1794" s="26" t="s">
        <v>16</v>
      </c>
      <c r="L1794" s="31">
        <f t="shared" si="57"/>
        <v>2036.7340000000002</v>
      </c>
      <c r="M1794" s="31">
        <v>509.18350000000004</v>
      </c>
      <c r="N1794" s="22">
        <f>_xlfn.XLOOKUP(Snitch_Fashion_Sales_cleaned!$J1794,Table2[City],Table2[City_Key],"not found")</f>
        <v>6</v>
      </c>
      <c r="O1794" s="21">
        <f>_xlfn.XLOOKUP(Snitch_Fashion_Sales_cleaned!$D1794,Table4[Product_Name],Table4[Product_Key],"not found")</f>
        <v>17</v>
      </c>
      <c r="P1794" s="25">
        <f>_xlfn.XLOOKUP(Snitch_Fashion_Sales_cleaned!$I1794,Table3[Order_Date],Table3[Date_Key])</f>
        <v>5</v>
      </c>
    </row>
    <row r="1795" spans="1:16" x14ac:dyDescent="0.3">
      <c r="A1795" s="34">
        <v>2793</v>
      </c>
      <c r="B1795" s="32" t="s">
        <v>1823</v>
      </c>
      <c r="C1795" s="32" t="s">
        <v>28</v>
      </c>
      <c r="D1795" s="33" t="s">
        <v>29</v>
      </c>
      <c r="E1795" s="34">
        <v>3</v>
      </c>
      <c r="F1795" s="35">
        <v>4836.47</v>
      </c>
      <c r="G1795" s="36">
        <v>0.51</v>
      </c>
      <c r="H1795" s="35">
        <f t="shared" si="56"/>
        <v>14509.41</v>
      </c>
      <c r="I1795" s="37">
        <v>45735</v>
      </c>
      <c r="J1795" s="33" t="s">
        <v>18</v>
      </c>
      <c r="K1795" s="33" t="s">
        <v>16</v>
      </c>
      <c r="L1795" s="38">
        <f t="shared" si="57"/>
        <v>7109.6108999999997</v>
      </c>
      <c r="M1795" s="38">
        <v>-608.29999999999995</v>
      </c>
      <c r="N1795" s="24">
        <f>_xlfn.XLOOKUP(Snitch_Fashion_Sales_cleaned!$J1795,Table2[City],Table2[City_Key],"not found")</f>
        <v>2</v>
      </c>
      <c r="O1795" s="23">
        <f>_xlfn.XLOOKUP(Snitch_Fashion_Sales_cleaned!$D1795,Table4[Product_Name],Table4[Product_Key],"not found")</f>
        <v>4</v>
      </c>
      <c r="P1795" s="32">
        <f>_xlfn.XLOOKUP(Snitch_Fashion_Sales_cleaned!$I1795,Table3[Order_Date],Table3[Date_Key])</f>
        <v>15</v>
      </c>
    </row>
    <row r="1796" spans="1:16" x14ac:dyDescent="0.3">
      <c r="A1796" s="27">
        <v>2794</v>
      </c>
      <c r="B1796" s="25" t="s">
        <v>1824</v>
      </c>
      <c r="C1796" s="25" t="s">
        <v>36</v>
      </c>
      <c r="D1796" s="26" t="s">
        <v>87</v>
      </c>
      <c r="E1796" s="27">
        <v>4</v>
      </c>
      <c r="F1796" s="28">
        <v>2889.5349999999999</v>
      </c>
      <c r="G1796" s="29">
        <v>0.51</v>
      </c>
      <c r="H1796" s="28">
        <f t="shared" si="56"/>
        <v>11558.14</v>
      </c>
      <c r="I1796" s="30">
        <v>45685</v>
      </c>
      <c r="J1796" s="26" t="s">
        <v>2540</v>
      </c>
      <c r="K1796" s="26" t="s">
        <v>16</v>
      </c>
      <c r="L1796" s="31">
        <f t="shared" si="57"/>
        <v>5663.4885999999997</v>
      </c>
      <c r="M1796" s="31">
        <v>2860.66</v>
      </c>
      <c r="N1796" s="22">
        <f>_xlfn.XLOOKUP(Snitch_Fashion_Sales_cleaned!$J1796,Table2[City],Table2[City_Key],"not found")</f>
        <v>4</v>
      </c>
      <c r="O1796" s="21">
        <f>_xlfn.XLOOKUP(Snitch_Fashion_Sales_cleaned!$D1796,Table4[Product_Name],Table4[Product_Key],"not found")</f>
        <v>20</v>
      </c>
      <c r="P1796" s="25">
        <f>_xlfn.XLOOKUP(Snitch_Fashion_Sales_cleaned!$I1796,Table3[Order_Date],Table3[Date_Key])</f>
        <v>118</v>
      </c>
    </row>
    <row r="1797" spans="1:16" x14ac:dyDescent="0.3">
      <c r="A1797" s="34">
        <v>2795</v>
      </c>
      <c r="B1797" s="32" t="s">
        <v>1825</v>
      </c>
      <c r="C1797" s="32" t="s">
        <v>13</v>
      </c>
      <c r="D1797" s="33" t="s">
        <v>34</v>
      </c>
      <c r="E1797" s="34">
        <v>3</v>
      </c>
      <c r="F1797" s="35">
        <v>3008.6549999999997</v>
      </c>
      <c r="G1797" s="36">
        <v>0.51</v>
      </c>
      <c r="H1797" s="35">
        <f t="shared" si="56"/>
        <v>9025.9650000000001</v>
      </c>
      <c r="I1797" s="37">
        <v>45647</v>
      </c>
      <c r="J1797" s="33" t="s">
        <v>22</v>
      </c>
      <c r="K1797" s="33" t="s">
        <v>16</v>
      </c>
      <c r="L1797" s="38">
        <f t="shared" si="57"/>
        <v>4422.7228500000001</v>
      </c>
      <c r="M1797" s="38">
        <v>984.22</v>
      </c>
      <c r="N1797" s="24">
        <f>_xlfn.XLOOKUP(Snitch_Fashion_Sales_cleaned!$J1797,Table2[City],Table2[City_Key],"not found")</f>
        <v>3</v>
      </c>
      <c r="O1797" s="23">
        <f>_xlfn.XLOOKUP(Snitch_Fashion_Sales_cleaned!$D1797,Table4[Product_Name],Table4[Product_Key],"not found")</f>
        <v>6</v>
      </c>
      <c r="P1797" s="32">
        <f>_xlfn.XLOOKUP(Snitch_Fashion_Sales_cleaned!$I1797,Table3[Order_Date],Table3[Date_Key])</f>
        <v>5</v>
      </c>
    </row>
    <row r="1798" spans="1:16" x14ac:dyDescent="0.3">
      <c r="A1798" s="27">
        <v>2796</v>
      </c>
      <c r="B1798" s="25" t="s">
        <v>1826</v>
      </c>
      <c r="C1798" s="25" t="s">
        <v>20</v>
      </c>
      <c r="D1798" s="26" t="s">
        <v>21</v>
      </c>
      <c r="E1798" s="27">
        <v>3</v>
      </c>
      <c r="F1798" s="28">
        <v>2579.8000000000002</v>
      </c>
      <c r="G1798" s="29">
        <v>0.51</v>
      </c>
      <c r="H1798" s="28">
        <f t="shared" ref="H1798:H1861" si="58">E1798*F1798</f>
        <v>7739.4000000000005</v>
      </c>
      <c r="I1798" s="30">
        <v>45647</v>
      </c>
      <c r="J1798" s="26" t="s">
        <v>15</v>
      </c>
      <c r="K1798" s="26" t="s">
        <v>23</v>
      </c>
      <c r="L1798" s="31">
        <f t="shared" ref="L1798:L1861" si="59">H1798*(1-G1798)</f>
        <v>3792.306</v>
      </c>
      <c r="M1798" s="31">
        <v>2.81</v>
      </c>
      <c r="N1798" s="22">
        <f>_xlfn.XLOOKUP(Snitch_Fashion_Sales_cleaned!$J1798,Table2[City],Table2[City_Key],"not found")</f>
        <v>1</v>
      </c>
      <c r="O1798" s="21">
        <f>_xlfn.XLOOKUP(Snitch_Fashion_Sales_cleaned!$D1798,Table4[Product_Name],Table4[Product_Key],"not found")</f>
        <v>2</v>
      </c>
      <c r="P1798" s="25">
        <f>_xlfn.XLOOKUP(Snitch_Fashion_Sales_cleaned!$I1798,Table3[Order_Date],Table3[Date_Key])</f>
        <v>5</v>
      </c>
    </row>
    <row r="1799" spans="1:16" x14ac:dyDescent="0.3">
      <c r="A1799" s="34">
        <v>2797</v>
      </c>
      <c r="B1799" s="32" t="s">
        <v>1827</v>
      </c>
      <c r="C1799" s="32" t="s">
        <v>28</v>
      </c>
      <c r="D1799" s="33" t="s">
        <v>29</v>
      </c>
      <c r="E1799" s="34">
        <v>3</v>
      </c>
      <c r="F1799" s="35">
        <v>1257.81</v>
      </c>
      <c r="G1799" s="36">
        <v>0.51</v>
      </c>
      <c r="H1799" s="35">
        <f t="shared" si="58"/>
        <v>3773.43</v>
      </c>
      <c r="I1799" s="37">
        <v>45796</v>
      </c>
      <c r="J1799" s="33" t="s">
        <v>18</v>
      </c>
      <c r="K1799" s="33" t="s">
        <v>16</v>
      </c>
      <c r="L1799" s="38">
        <f t="shared" si="59"/>
        <v>1848.9806999999998</v>
      </c>
      <c r="M1799" s="38">
        <v>462.24517499999996</v>
      </c>
      <c r="N1799" s="24">
        <f>_xlfn.XLOOKUP(Snitch_Fashion_Sales_cleaned!$J1799,Table2[City],Table2[City_Key],"not found")</f>
        <v>2</v>
      </c>
      <c r="O1799" s="23">
        <f>_xlfn.XLOOKUP(Snitch_Fashion_Sales_cleaned!$D1799,Table4[Product_Name],Table4[Product_Key],"not found")</f>
        <v>4</v>
      </c>
      <c r="P1799" s="32">
        <f>_xlfn.XLOOKUP(Snitch_Fashion_Sales_cleaned!$I1799,Table3[Order_Date],Table3[Date_Key])</f>
        <v>343</v>
      </c>
    </row>
    <row r="1800" spans="1:16" x14ac:dyDescent="0.3">
      <c r="A1800" s="27">
        <v>2798</v>
      </c>
      <c r="B1800" s="25" t="s">
        <v>1828</v>
      </c>
      <c r="C1800" s="25" t="s">
        <v>36</v>
      </c>
      <c r="D1800" s="26" t="s">
        <v>59</v>
      </c>
      <c r="E1800" s="27">
        <v>3</v>
      </c>
      <c r="F1800" s="28">
        <v>2765.26</v>
      </c>
      <c r="G1800" s="29">
        <v>0.51</v>
      </c>
      <c r="H1800" s="28">
        <f t="shared" si="58"/>
        <v>8295.7800000000007</v>
      </c>
      <c r="I1800" s="30">
        <v>45731</v>
      </c>
      <c r="J1800" s="26" t="s">
        <v>43</v>
      </c>
      <c r="K1800" s="26" t="s">
        <v>16</v>
      </c>
      <c r="L1800" s="31">
        <f t="shared" si="59"/>
        <v>4064.9322000000002</v>
      </c>
      <c r="M1800" s="31">
        <v>386.97</v>
      </c>
      <c r="N1800" s="22">
        <f>_xlfn.XLOOKUP(Snitch_Fashion_Sales_cleaned!$J1800,Table2[City],Table2[City_Key],"not found")</f>
        <v>6</v>
      </c>
      <c r="O1800" s="21">
        <f>_xlfn.XLOOKUP(Snitch_Fashion_Sales_cleaned!$D1800,Table4[Product_Name],Table4[Product_Key],"not found")</f>
        <v>13</v>
      </c>
      <c r="P1800" s="25">
        <f>_xlfn.XLOOKUP(Snitch_Fashion_Sales_cleaned!$I1800,Table3[Order_Date],Table3[Date_Key])</f>
        <v>346</v>
      </c>
    </row>
    <row r="1801" spans="1:16" x14ac:dyDescent="0.3">
      <c r="A1801" s="34">
        <v>2799</v>
      </c>
      <c r="B1801" s="32" t="s">
        <v>1829</v>
      </c>
      <c r="C1801" s="32" t="s">
        <v>31</v>
      </c>
      <c r="D1801" s="33" t="s">
        <v>68</v>
      </c>
      <c r="E1801" s="34">
        <v>4</v>
      </c>
      <c r="F1801" s="35">
        <v>2765.79</v>
      </c>
      <c r="G1801" s="36">
        <v>0.51</v>
      </c>
      <c r="H1801" s="35">
        <f t="shared" si="58"/>
        <v>11063.16</v>
      </c>
      <c r="I1801" s="37">
        <v>45735</v>
      </c>
      <c r="J1801" s="33" t="s">
        <v>43</v>
      </c>
      <c r="K1801" s="33" t="s">
        <v>23</v>
      </c>
      <c r="L1801" s="38">
        <f t="shared" si="59"/>
        <v>5420.9484000000002</v>
      </c>
      <c r="M1801" s="38">
        <v>683.04</v>
      </c>
      <c r="N1801" s="24">
        <f>_xlfn.XLOOKUP(Snitch_Fashion_Sales_cleaned!$J1801,Table2[City],Table2[City_Key],"not found")</f>
        <v>6</v>
      </c>
      <c r="O1801" s="23">
        <f>_xlfn.XLOOKUP(Snitch_Fashion_Sales_cleaned!$D1801,Table4[Product_Name],Table4[Product_Key],"not found")</f>
        <v>15</v>
      </c>
      <c r="P1801" s="32">
        <f>_xlfn.XLOOKUP(Snitch_Fashion_Sales_cleaned!$I1801,Table3[Order_Date],Table3[Date_Key])</f>
        <v>15</v>
      </c>
    </row>
    <row r="1802" spans="1:16" x14ac:dyDescent="0.3">
      <c r="A1802" s="27">
        <v>2800</v>
      </c>
      <c r="B1802" s="25" t="s">
        <v>1830</v>
      </c>
      <c r="C1802" s="25" t="s">
        <v>13</v>
      </c>
      <c r="D1802" s="26" t="s">
        <v>34</v>
      </c>
      <c r="E1802" s="27">
        <v>3</v>
      </c>
      <c r="F1802" s="28">
        <v>3410.38</v>
      </c>
      <c r="G1802" s="29">
        <v>0.51</v>
      </c>
      <c r="H1802" s="28">
        <f t="shared" si="58"/>
        <v>10231.14</v>
      </c>
      <c r="I1802" s="30">
        <v>45539</v>
      </c>
      <c r="J1802" s="26" t="s">
        <v>52</v>
      </c>
      <c r="K1802" s="26" t="s">
        <v>23</v>
      </c>
      <c r="L1802" s="31">
        <f t="shared" si="59"/>
        <v>5013.2585999999992</v>
      </c>
      <c r="M1802" s="31">
        <v>1733.81</v>
      </c>
      <c r="N1802" s="22">
        <f>_xlfn.XLOOKUP(Snitch_Fashion_Sales_cleaned!$J1802,Table2[City],Table2[City_Key],"not found")</f>
        <v>5</v>
      </c>
      <c r="O1802" s="21">
        <f>_xlfn.XLOOKUP(Snitch_Fashion_Sales_cleaned!$D1802,Table4[Product_Name],Table4[Product_Key],"not found")</f>
        <v>6</v>
      </c>
      <c r="P1802" s="25">
        <f>_xlfn.XLOOKUP(Snitch_Fashion_Sales_cleaned!$I1802,Table3[Order_Date],Table3[Date_Key])</f>
        <v>231</v>
      </c>
    </row>
    <row r="1803" spans="1:16" x14ac:dyDescent="0.3">
      <c r="A1803" s="34">
        <v>2801</v>
      </c>
      <c r="B1803" s="32" t="s">
        <v>1831</v>
      </c>
      <c r="C1803" s="32" t="s">
        <v>28</v>
      </c>
      <c r="D1803" s="33" t="s">
        <v>116</v>
      </c>
      <c r="E1803" s="34">
        <v>4</v>
      </c>
      <c r="F1803" s="35">
        <v>1870.82</v>
      </c>
      <c r="G1803" s="36">
        <v>0.51</v>
      </c>
      <c r="H1803" s="35">
        <f t="shared" si="58"/>
        <v>7483.28</v>
      </c>
      <c r="I1803" s="37">
        <v>45647</v>
      </c>
      <c r="J1803" s="33" t="s">
        <v>18</v>
      </c>
      <c r="K1803" s="33" t="s">
        <v>23</v>
      </c>
      <c r="L1803" s="38">
        <f t="shared" si="59"/>
        <v>3666.8071999999997</v>
      </c>
      <c r="M1803" s="38">
        <v>-45.08</v>
      </c>
      <c r="N1803" s="24">
        <f>_xlfn.XLOOKUP(Snitch_Fashion_Sales_cleaned!$J1803,Table2[City],Table2[City_Key],"not found")</f>
        <v>2</v>
      </c>
      <c r="O1803" s="23">
        <f>_xlfn.XLOOKUP(Snitch_Fashion_Sales_cleaned!$D1803,Table4[Product_Name],Table4[Product_Key],"not found")</f>
        <v>22</v>
      </c>
      <c r="P1803" s="32">
        <f>_xlfn.XLOOKUP(Snitch_Fashion_Sales_cleaned!$I1803,Table3[Order_Date],Table3[Date_Key])</f>
        <v>5</v>
      </c>
    </row>
    <row r="1804" spans="1:16" x14ac:dyDescent="0.3">
      <c r="A1804" s="27">
        <v>2802</v>
      </c>
      <c r="B1804" s="25" t="s">
        <v>1832</v>
      </c>
      <c r="C1804" s="25" t="s">
        <v>25</v>
      </c>
      <c r="D1804" s="26" t="s">
        <v>50</v>
      </c>
      <c r="E1804" s="27">
        <v>4</v>
      </c>
      <c r="F1804" s="28">
        <v>2666.2200000000003</v>
      </c>
      <c r="G1804" s="29">
        <v>0.51</v>
      </c>
      <c r="H1804" s="28">
        <f t="shared" si="58"/>
        <v>10664.880000000001</v>
      </c>
      <c r="I1804" s="30">
        <v>45647</v>
      </c>
      <c r="J1804" s="26" t="s">
        <v>2540</v>
      </c>
      <c r="K1804" s="26" t="s">
        <v>23</v>
      </c>
      <c r="L1804" s="31">
        <f t="shared" si="59"/>
        <v>5225.7912000000006</v>
      </c>
      <c r="M1804" s="31">
        <v>365.63</v>
      </c>
      <c r="N1804" s="22">
        <f>_xlfn.XLOOKUP(Snitch_Fashion_Sales_cleaned!$J1804,Table2[City],Table2[City_Key],"not found")</f>
        <v>4</v>
      </c>
      <c r="O1804" s="21">
        <f>_xlfn.XLOOKUP(Snitch_Fashion_Sales_cleaned!$D1804,Table4[Product_Name],Table4[Product_Key],"not found")</f>
        <v>11</v>
      </c>
      <c r="P1804" s="25">
        <f>_xlfn.XLOOKUP(Snitch_Fashion_Sales_cleaned!$I1804,Table3[Order_Date],Table3[Date_Key])</f>
        <v>5</v>
      </c>
    </row>
    <row r="1805" spans="1:16" x14ac:dyDescent="0.3">
      <c r="A1805" s="34">
        <v>2803</v>
      </c>
      <c r="B1805" s="32" t="s">
        <v>1833</v>
      </c>
      <c r="C1805" s="32" t="s">
        <v>31</v>
      </c>
      <c r="D1805" s="33" t="s">
        <v>32</v>
      </c>
      <c r="E1805" s="34">
        <v>5</v>
      </c>
      <c r="F1805" s="35">
        <v>4418.75</v>
      </c>
      <c r="G1805" s="36">
        <v>0.51</v>
      </c>
      <c r="H1805" s="35">
        <f t="shared" si="58"/>
        <v>22093.75</v>
      </c>
      <c r="I1805" s="37">
        <v>45151</v>
      </c>
      <c r="J1805" s="33" t="s">
        <v>2540</v>
      </c>
      <c r="K1805" s="33" t="s">
        <v>23</v>
      </c>
      <c r="L1805" s="38">
        <f t="shared" si="59"/>
        <v>10825.9375</v>
      </c>
      <c r="M1805" s="38">
        <v>693.65</v>
      </c>
      <c r="N1805" s="24">
        <f>_xlfn.XLOOKUP(Snitch_Fashion_Sales_cleaned!$J1805,Table2[City],Table2[City_Key],"not found")</f>
        <v>4</v>
      </c>
      <c r="O1805" s="23">
        <f>_xlfn.XLOOKUP(Snitch_Fashion_Sales_cleaned!$D1805,Table4[Product_Name],Table4[Product_Key],"not found")</f>
        <v>5</v>
      </c>
      <c r="P1805" s="32">
        <f>_xlfn.XLOOKUP(Snitch_Fashion_Sales_cleaned!$I1805,Table3[Order_Date],Table3[Date_Key])</f>
        <v>272</v>
      </c>
    </row>
    <row r="1806" spans="1:16" x14ac:dyDescent="0.3">
      <c r="A1806" s="27">
        <v>2804</v>
      </c>
      <c r="B1806" s="25" t="s">
        <v>1834</v>
      </c>
      <c r="C1806" s="25" t="s">
        <v>28</v>
      </c>
      <c r="D1806" s="26" t="s">
        <v>39</v>
      </c>
      <c r="E1806" s="27">
        <v>6</v>
      </c>
      <c r="F1806" s="28">
        <v>4784</v>
      </c>
      <c r="G1806" s="29">
        <v>0.51</v>
      </c>
      <c r="H1806" s="28">
        <f t="shared" si="58"/>
        <v>28704</v>
      </c>
      <c r="I1806" s="30">
        <v>45732</v>
      </c>
      <c r="J1806" s="26" t="s">
        <v>22</v>
      </c>
      <c r="K1806" s="26" t="s">
        <v>23</v>
      </c>
      <c r="L1806" s="31">
        <f t="shared" si="59"/>
        <v>14064.96</v>
      </c>
      <c r="M1806" s="31">
        <v>2969.42</v>
      </c>
      <c r="N1806" s="22">
        <f>_xlfn.XLOOKUP(Snitch_Fashion_Sales_cleaned!$J1806,Table2[City],Table2[City_Key],"not found")</f>
        <v>3</v>
      </c>
      <c r="O1806" s="21">
        <f>_xlfn.XLOOKUP(Snitch_Fashion_Sales_cleaned!$D1806,Table4[Product_Name],Table4[Product_Key],"not found")</f>
        <v>8</v>
      </c>
      <c r="P1806" s="25">
        <f>_xlfn.XLOOKUP(Snitch_Fashion_Sales_cleaned!$I1806,Table3[Order_Date],Table3[Date_Key])</f>
        <v>57</v>
      </c>
    </row>
    <row r="1807" spans="1:16" x14ac:dyDescent="0.3">
      <c r="A1807" s="34">
        <v>2805</v>
      </c>
      <c r="B1807" s="32" t="s">
        <v>1835</v>
      </c>
      <c r="C1807" s="32" t="s">
        <v>25</v>
      </c>
      <c r="D1807" s="33" t="s">
        <v>62</v>
      </c>
      <c r="E1807" s="34">
        <v>4</v>
      </c>
      <c r="F1807" s="35">
        <v>4930.08</v>
      </c>
      <c r="G1807" s="36">
        <v>0.92</v>
      </c>
      <c r="H1807" s="35">
        <f t="shared" si="58"/>
        <v>19720.32</v>
      </c>
      <c r="I1807" s="37">
        <v>45801</v>
      </c>
      <c r="J1807" s="33" t="s">
        <v>2540</v>
      </c>
      <c r="K1807" s="33" t="s">
        <v>23</v>
      </c>
      <c r="L1807" s="38">
        <f t="shared" si="59"/>
        <v>1577.6255999999992</v>
      </c>
      <c r="M1807" s="38">
        <v>623.04999999999995</v>
      </c>
      <c r="N1807" s="24">
        <f>_xlfn.XLOOKUP(Snitch_Fashion_Sales_cleaned!$J1807,Table2[City],Table2[City_Key],"not found")</f>
        <v>4</v>
      </c>
      <c r="O1807" s="23">
        <f>_xlfn.XLOOKUP(Snitch_Fashion_Sales_cleaned!$D1807,Table4[Product_Name],Table4[Product_Key],"not found")</f>
        <v>14</v>
      </c>
      <c r="P1807" s="32">
        <f>_xlfn.XLOOKUP(Snitch_Fashion_Sales_cleaned!$I1807,Table3[Order_Date],Table3[Date_Key])</f>
        <v>252</v>
      </c>
    </row>
    <row r="1808" spans="1:16" x14ac:dyDescent="0.3">
      <c r="A1808" s="27">
        <v>2806</v>
      </c>
      <c r="B1808" s="25" t="s">
        <v>1836</v>
      </c>
      <c r="C1808" s="25" t="s">
        <v>13</v>
      </c>
      <c r="D1808" s="26" t="s">
        <v>34</v>
      </c>
      <c r="E1808" s="27">
        <v>3</v>
      </c>
      <c r="F1808" s="28">
        <v>3008.6549999999997</v>
      </c>
      <c r="G1808" s="29">
        <v>0.51</v>
      </c>
      <c r="H1808" s="28">
        <f t="shared" si="58"/>
        <v>9025.9650000000001</v>
      </c>
      <c r="I1808" s="30">
        <v>45569</v>
      </c>
      <c r="J1808" s="26" t="s">
        <v>2540</v>
      </c>
      <c r="K1808" s="26" t="s">
        <v>23</v>
      </c>
      <c r="L1808" s="31">
        <f t="shared" si="59"/>
        <v>4422.7228500000001</v>
      </c>
      <c r="M1808" s="31">
        <v>2658.95</v>
      </c>
      <c r="N1808" s="22">
        <f>_xlfn.XLOOKUP(Snitch_Fashion_Sales_cleaned!$J1808,Table2[City],Table2[City_Key],"not found")</f>
        <v>4</v>
      </c>
      <c r="O1808" s="21">
        <f>_xlfn.XLOOKUP(Snitch_Fashion_Sales_cleaned!$D1808,Table4[Product_Name],Table4[Product_Key],"not found")</f>
        <v>6</v>
      </c>
      <c r="P1808" s="25">
        <f>_xlfn.XLOOKUP(Snitch_Fashion_Sales_cleaned!$I1808,Table3[Order_Date],Table3[Date_Key])</f>
        <v>108</v>
      </c>
    </row>
    <row r="1809" spans="1:16" x14ac:dyDescent="0.3">
      <c r="A1809" s="34">
        <v>2807</v>
      </c>
      <c r="B1809" s="32" t="s">
        <v>1837</v>
      </c>
      <c r="C1809" s="32" t="s">
        <v>13</v>
      </c>
      <c r="D1809" s="33" t="s">
        <v>14</v>
      </c>
      <c r="E1809" s="34">
        <v>4</v>
      </c>
      <c r="F1809" s="35">
        <v>3064.28</v>
      </c>
      <c r="G1809" s="36">
        <v>0.51</v>
      </c>
      <c r="H1809" s="35">
        <f t="shared" si="58"/>
        <v>12257.12</v>
      </c>
      <c r="I1809" s="37">
        <v>45516</v>
      </c>
      <c r="J1809" s="33" t="s">
        <v>52</v>
      </c>
      <c r="K1809" s="33" t="s">
        <v>23</v>
      </c>
      <c r="L1809" s="38">
        <f t="shared" si="59"/>
        <v>6005.9888000000001</v>
      </c>
      <c r="M1809" s="38">
        <v>2540.5300000000002</v>
      </c>
      <c r="N1809" s="24">
        <f>_xlfn.XLOOKUP(Snitch_Fashion_Sales_cleaned!$J1809,Table2[City],Table2[City_Key],"not found")</f>
        <v>5</v>
      </c>
      <c r="O1809" s="23">
        <f>_xlfn.XLOOKUP(Snitch_Fashion_Sales_cleaned!$D1809,Table4[Product_Name],Table4[Product_Key],"not found")</f>
        <v>1</v>
      </c>
      <c r="P1809" s="32">
        <f>_xlfn.XLOOKUP(Snitch_Fashion_Sales_cleaned!$I1809,Table3[Order_Date],Table3[Date_Key])</f>
        <v>299</v>
      </c>
    </row>
    <row r="1810" spans="1:16" x14ac:dyDescent="0.3">
      <c r="A1810" s="27">
        <v>2808</v>
      </c>
      <c r="B1810" s="25" t="s">
        <v>1838</v>
      </c>
      <c r="C1810" s="25" t="s">
        <v>25</v>
      </c>
      <c r="D1810" s="26" t="s">
        <v>62</v>
      </c>
      <c r="E1810" s="27">
        <v>4</v>
      </c>
      <c r="F1810" s="28">
        <v>4234.7700000000004</v>
      </c>
      <c r="G1810" s="29">
        <v>0.51</v>
      </c>
      <c r="H1810" s="28">
        <f t="shared" si="58"/>
        <v>16939.080000000002</v>
      </c>
      <c r="I1810" s="30">
        <v>45647</v>
      </c>
      <c r="J1810" s="26" t="s">
        <v>15</v>
      </c>
      <c r="K1810" s="26" t="s">
        <v>16</v>
      </c>
      <c r="L1810" s="31">
        <f t="shared" si="59"/>
        <v>8300.1491999999998</v>
      </c>
      <c r="M1810" s="31">
        <v>-664.44</v>
      </c>
      <c r="N1810" s="22">
        <f>_xlfn.XLOOKUP(Snitch_Fashion_Sales_cleaned!$J1810,Table2[City],Table2[City_Key],"not found")</f>
        <v>1</v>
      </c>
      <c r="O1810" s="21">
        <f>_xlfn.XLOOKUP(Snitch_Fashion_Sales_cleaned!$D1810,Table4[Product_Name],Table4[Product_Key],"not found")</f>
        <v>14</v>
      </c>
      <c r="P1810" s="25">
        <f>_xlfn.XLOOKUP(Snitch_Fashion_Sales_cleaned!$I1810,Table3[Order_Date],Table3[Date_Key])</f>
        <v>5</v>
      </c>
    </row>
    <row r="1811" spans="1:16" x14ac:dyDescent="0.3">
      <c r="A1811" s="34">
        <v>1026</v>
      </c>
      <c r="B1811" s="32" t="s">
        <v>1839</v>
      </c>
      <c r="C1811" s="32" t="s">
        <v>25</v>
      </c>
      <c r="D1811" s="33" t="s">
        <v>82</v>
      </c>
      <c r="E1811" s="34">
        <v>3</v>
      </c>
      <c r="F1811" s="35">
        <v>2385.5749999999998</v>
      </c>
      <c r="G1811" s="36">
        <v>0.51</v>
      </c>
      <c r="H1811" s="35">
        <f t="shared" si="58"/>
        <v>7156.7249999999995</v>
      </c>
      <c r="I1811" s="37">
        <v>45647</v>
      </c>
      <c r="J1811" s="33" t="s">
        <v>22</v>
      </c>
      <c r="K1811" s="33" t="s">
        <v>16</v>
      </c>
      <c r="L1811" s="38">
        <f t="shared" si="59"/>
        <v>3506.7952499999997</v>
      </c>
      <c r="M1811" s="38">
        <v>1975.98</v>
      </c>
      <c r="N1811" s="24">
        <f>_xlfn.XLOOKUP(Snitch_Fashion_Sales_cleaned!$J1811,Table2[City],Table2[City_Key],"not found")</f>
        <v>3</v>
      </c>
      <c r="O1811" s="23">
        <f>_xlfn.XLOOKUP(Snitch_Fashion_Sales_cleaned!$D1811,Table4[Product_Name],Table4[Product_Key],"not found")</f>
        <v>18</v>
      </c>
      <c r="P1811" s="32">
        <f>_xlfn.XLOOKUP(Snitch_Fashion_Sales_cleaned!$I1811,Table3[Order_Date],Table3[Date_Key])</f>
        <v>5</v>
      </c>
    </row>
    <row r="1812" spans="1:16" x14ac:dyDescent="0.3">
      <c r="A1812" s="27">
        <v>2810</v>
      </c>
      <c r="B1812" s="25" t="s">
        <v>1840</v>
      </c>
      <c r="C1812" s="25" t="s">
        <v>13</v>
      </c>
      <c r="D1812" s="26" t="s">
        <v>34</v>
      </c>
      <c r="E1812" s="27">
        <v>3</v>
      </c>
      <c r="F1812" s="28">
        <v>2038.37</v>
      </c>
      <c r="G1812" s="29">
        <v>0.51</v>
      </c>
      <c r="H1812" s="28">
        <f t="shared" si="58"/>
        <v>6115.11</v>
      </c>
      <c r="I1812" s="30">
        <v>45647</v>
      </c>
      <c r="J1812" s="26" t="s">
        <v>22</v>
      </c>
      <c r="K1812" s="26" t="s">
        <v>23</v>
      </c>
      <c r="L1812" s="31">
        <f t="shared" si="59"/>
        <v>2996.4038999999998</v>
      </c>
      <c r="M1812" s="31">
        <v>1762.96</v>
      </c>
      <c r="N1812" s="22">
        <f>_xlfn.XLOOKUP(Snitch_Fashion_Sales_cleaned!$J1812,Table2[City],Table2[City_Key],"not found")</f>
        <v>3</v>
      </c>
      <c r="O1812" s="21">
        <f>_xlfn.XLOOKUP(Snitch_Fashion_Sales_cleaned!$D1812,Table4[Product_Name],Table4[Product_Key],"not found")</f>
        <v>6</v>
      </c>
      <c r="P1812" s="25">
        <f>_xlfn.XLOOKUP(Snitch_Fashion_Sales_cleaned!$I1812,Table3[Order_Date],Table3[Date_Key])</f>
        <v>5</v>
      </c>
    </row>
    <row r="1813" spans="1:16" x14ac:dyDescent="0.3">
      <c r="A1813" s="34">
        <v>2811</v>
      </c>
      <c r="B1813" s="32" t="s">
        <v>1841</v>
      </c>
      <c r="C1813" s="32" t="s">
        <v>36</v>
      </c>
      <c r="D1813" s="33" t="s">
        <v>87</v>
      </c>
      <c r="E1813" s="34">
        <v>4</v>
      </c>
      <c r="F1813" s="35">
        <v>4426.1499999999996</v>
      </c>
      <c r="G1813" s="36">
        <v>0.51</v>
      </c>
      <c r="H1813" s="35">
        <f t="shared" si="58"/>
        <v>17704.599999999999</v>
      </c>
      <c r="I1813" s="37">
        <v>45657</v>
      </c>
      <c r="J1813" s="33" t="s">
        <v>15</v>
      </c>
      <c r="K1813" s="33" t="s">
        <v>23</v>
      </c>
      <c r="L1813" s="38">
        <f t="shared" si="59"/>
        <v>8675.253999999999</v>
      </c>
      <c r="M1813" s="38">
        <v>1639.67</v>
      </c>
      <c r="N1813" s="24">
        <f>_xlfn.XLOOKUP(Snitch_Fashion_Sales_cleaned!$J1813,Table2[City],Table2[City_Key],"not found")</f>
        <v>1</v>
      </c>
      <c r="O1813" s="23">
        <f>_xlfn.XLOOKUP(Snitch_Fashion_Sales_cleaned!$D1813,Table4[Product_Name],Table4[Product_Key],"not found")</f>
        <v>20</v>
      </c>
      <c r="P1813" s="32">
        <f>_xlfn.XLOOKUP(Snitch_Fashion_Sales_cleaned!$I1813,Table3[Order_Date],Table3[Date_Key])</f>
        <v>82</v>
      </c>
    </row>
    <row r="1814" spans="1:16" x14ac:dyDescent="0.3">
      <c r="A1814" s="27">
        <v>2812</v>
      </c>
      <c r="B1814" s="25" t="s">
        <v>1842</v>
      </c>
      <c r="C1814" s="25" t="s">
        <v>31</v>
      </c>
      <c r="D1814" s="26" t="s">
        <v>78</v>
      </c>
      <c r="E1814" s="27">
        <v>4</v>
      </c>
      <c r="F1814" s="28">
        <v>2599.75</v>
      </c>
      <c r="G1814" s="29">
        <v>0.51</v>
      </c>
      <c r="H1814" s="28">
        <f t="shared" si="58"/>
        <v>10399</v>
      </c>
      <c r="I1814" s="30">
        <v>45727</v>
      </c>
      <c r="J1814" s="26" t="s">
        <v>43</v>
      </c>
      <c r="K1814" s="26" t="s">
        <v>23</v>
      </c>
      <c r="L1814" s="31">
        <f t="shared" si="59"/>
        <v>5095.51</v>
      </c>
      <c r="M1814" s="31">
        <v>-662.74</v>
      </c>
      <c r="N1814" s="22">
        <f>_xlfn.XLOOKUP(Snitch_Fashion_Sales_cleaned!$J1814,Table2[City],Table2[City_Key],"not found")</f>
        <v>6</v>
      </c>
      <c r="O1814" s="21">
        <f>_xlfn.XLOOKUP(Snitch_Fashion_Sales_cleaned!$D1814,Table4[Product_Name],Table4[Product_Key],"not found")</f>
        <v>17</v>
      </c>
      <c r="P1814" s="25">
        <f>_xlfn.XLOOKUP(Snitch_Fashion_Sales_cleaned!$I1814,Table3[Order_Date],Table3[Date_Key])</f>
        <v>357</v>
      </c>
    </row>
    <row r="1815" spans="1:16" x14ac:dyDescent="0.3">
      <c r="A1815" s="34">
        <v>2813</v>
      </c>
      <c r="B1815" s="32" t="s">
        <v>1843</v>
      </c>
      <c r="C1815" s="32" t="s">
        <v>28</v>
      </c>
      <c r="D1815" s="33" t="s">
        <v>29</v>
      </c>
      <c r="E1815" s="34">
        <v>3</v>
      </c>
      <c r="F1815" s="35">
        <v>2515.415</v>
      </c>
      <c r="G1815" s="36">
        <v>0.41</v>
      </c>
      <c r="H1815" s="35">
        <f t="shared" si="58"/>
        <v>7546.2449999999999</v>
      </c>
      <c r="I1815" s="37">
        <v>45565</v>
      </c>
      <c r="J1815" s="33" t="s">
        <v>18</v>
      </c>
      <c r="K1815" s="33" t="s">
        <v>23</v>
      </c>
      <c r="L1815" s="38">
        <f t="shared" si="59"/>
        <v>4452.2845500000003</v>
      </c>
      <c r="M1815" s="38">
        <v>-756.66</v>
      </c>
      <c r="N1815" s="24">
        <f>_xlfn.XLOOKUP(Snitch_Fashion_Sales_cleaned!$J1815,Table2[City],Table2[City_Key],"not found")</f>
        <v>2</v>
      </c>
      <c r="O1815" s="23">
        <f>_xlfn.XLOOKUP(Snitch_Fashion_Sales_cleaned!$D1815,Table4[Product_Name],Table4[Product_Key],"not found")</f>
        <v>4</v>
      </c>
      <c r="P1815" s="32">
        <f>_xlfn.XLOOKUP(Snitch_Fashion_Sales_cleaned!$I1815,Table3[Order_Date],Table3[Date_Key])</f>
        <v>287</v>
      </c>
    </row>
    <row r="1816" spans="1:16" x14ac:dyDescent="0.3">
      <c r="A1816" s="27">
        <v>2814</v>
      </c>
      <c r="B1816" s="25" t="s">
        <v>1844</v>
      </c>
      <c r="C1816" s="25" t="s">
        <v>13</v>
      </c>
      <c r="D1816" s="26" t="s">
        <v>34</v>
      </c>
      <c r="E1816" s="27">
        <v>3</v>
      </c>
      <c r="F1816" s="28">
        <v>1888.27</v>
      </c>
      <c r="G1816" s="29">
        <v>0.51</v>
      </c>
      <c r="H1816" s="28">
        <f t="shared" si="58"/>
        <v>5664.8099999999995</v>
      </c>
      <c r="I1816" s="30">
        <v>45682</v>
      </c>
      <c r="J1816" s="26" t="s">
        <v>22</v>
      </c>
      <c r="K1816" s="26" t="s">
        <v>23</v>
      </c>
      <c r="L1816" s="31">
        <f t="shared" si="59"/>
        <v>2775.7568999999999</v>
      </c>
      <c r="M1816" s="31">
        <v>2441.5100000000002</v>
      </c>
      <c r="N1816" s="22">
        <f>_xlfn.XLOOKUP(Snitch_Fashion_Sales_cleaned!$J1816,Table2[City],Table2[City_Key],"not found")</f>
        <v>3</v>
      </c>
      <c r="O1816" s="21">
        <f>_xlfn.XLOOKUP(Snitch_Fashion_Sales_cleaned!$D1816,Table4[Product_Name],Table4[Product_Key],"not found")</f>
        <v>6</v>
      </c>
      <c r="P1816" s="25">
        <f>_xlfn.XLOOKUP(Snitch_Fashion_Sales_cleaned!$I1816,Table3[Order_Date],Table3[Date_Key])</f>
        <v>21</v>
      </c>
    </row>
    <row r="1817" spans="1:16" x14ac:dyDescent="0.3">
      <c r="A1817" s="34">
        <v>1042</v>
      </c>
      <c r="B1817" s="32" t="s">
        <v>1845</v>
      </c>
      <c r="C1817" s="32" t="s">
        <v>13</v>
      </c>
      <c r="D1817" s="33" t="s">
        <v>34</v>
      </c>
      <c r="E1817" s="34">
        <v>6</v>
      </c>
      <c r="F1817" s="35">
        <v>2422.0100000000002</v>
      </c>
      <c r="G1817" s="36">
        <v>0.51</v>
      </c>
      <c r="H1817" s="35">
        <f t="shared" si="58"/>
        <v>14532.060000000001</v>
      </c>
      <c r="I1817" s="37">
        <v>45647</v>
      </c>
      <c r="J1817" s="33" t="s">
        <v>43</v>
      </c>
      <c r="K1817" s="33" t="s">
        <v>23</v>
      </c>
      <c r="L1817" s="38">
        <f t="shared" si="59"/>
        <v>7120.7094000000006</v>
      </c>
      <c r="M1817" s="38">
        <v>339.16</v>
      </c>
      <c r="N1817" s="24">
        <f>_xlfn.XLOOKUP(Snitch_Fashion_Sales_cleaned!$J1817,Table2[City],Table2[City_Key],"not found")</f>
        <v>6</v>
      </c>
      <c r="O1817" s="23">
        <f>_xlfn.XLOOKUP(Snitch_Fashion_Sales_cleaned!$D1817,Table4[Product_Name],Table4[Product_Key],"not found")</f>
        <v>6</v>
      </c>
      <c r="P1817" s="32">
        <f>_xlfn.XLOOKUP(Snitch_Fashion_Sales_cleaned!$I1817,Table3[Order_Date],Table3[Date_Key])</f>
        <v>5</v>
      </c>
    </row>
    <row r="1818" spans="1:16" x14ac:dyDescent="0.3">
      <c r="A1818" s="27">
        <v>2816</v>
      </c>
      <c r="B1818" s="25" t="s">
        <v>1846</v>
      </c>
      <c r="C1818" s="25" t="s">
        <v>20</v>
      </c>
      <c r="D1818" s="26" t="s">
        <v>84</v>
      </c>
      <c r="E1818" s="27">
        <v>3</v>
      </c>
      <c r="F1818" s="28">
        <v>3817.72</v>
      </c>
      <c r="G1818" s="29">
        <v>0.34</v>
      </c>
      <c r="H1818" s="28">
        <f t="shared" si="58"/>
        <v>11453.16</v>
      </c>
      <c r="I1818" s="30">
        <v>45628</v>
      </c>
      <c r="J1818" s="26" t="s">
        <v>18</v>
      </c>
      <c r="K1818" s="26" t="s">
        <v>23</v>
      </c>
      <c r="L1818" s="31">
        <f t="shared" si="59"/>
        <v>7559.0855999999994</v>
      </c>
      <c r="M1818" s="31">
        <v>-69.09</v>
      </c>
      <c r="N1818" s="22">
        <f>_xlfn.XLOOKUP(Snitch_Fashion_Sales_cleaned!$J1818,Table2[City],Table2[City_Key],"not found")</f>
        <v>2</v>
      </c>
      <c r="O1818" s="21">
        <f>_xlfn.XLOOKUP(Snitch_Fashion_Sales_cleaned!$D1818,Table4[Product_Name],Table4[Product_Key],"not found")</f>
        <v>19</v>
      </c>
      <c r="P1818" s="25">
        <f>_xlfn.XLOOKUP(Snitch_Fashion_Sales_cleaned!$I1818,Table3[Order_Date],Table3[Date_Key])</f>
        <v>147</v>
      </c>
    </row>
    <row r="1819" spans="1:16" x14ac:dyDescent="0.3">
      <c r="A1819" s="34">
        <v>2817</v>
      </c>
      <c r="B1819" s="32" t="s">
        <v>1847</v>
      </c>
      <c r="C1819" s="32" t="s">
        <v>36</v>
      </c>
      <c r="D1819" s="33" t="s">
        <v>37</v>
      </c>
      <c r="E1819" s="34">
        <v>4</v>
      </c>
      <c r="F1819" s="35">
        <v>2975.64</v>
      </c>
      <c r="G1819" s="36">
        <v>0.36</v>
      </c>
      <c r="H1819" s="35">
        <f t="shared" si="58"/>
        <v>11902.56</v>
      </c>
      <c r="I1819" s="37">
        <v>45770</v>
      </c>
      <c r="J1819" s="33" t="s">
        <v>22</v>
      </c>
      <c r="K1819" s="33" t="s">
        <v>16</v>
      </c>
      <c r="L1819" s="38">
        <f t="shared" si="59"/>
        <v>7617.6383999999998</v>
      </c>
      <c r="M1819" s="38">
        <v>495.32</v>
      </c>
      <c r="N1819" s="24">
        <f>_xlfn.XLOOKUP(Snitch_Fashion_Sales_cleaned!$J1819,Table2[City],Table2[City_Key],"not found")</f>
        <v>3</v>
      </c>
      <c r="O1819" s="23">
        <f>_xlfn.XLOOKUP(Snitch_Fashion_Sales_cleaned!$D1819,Table4[Product_Name],Table4[Product_Key],"not found")</f>
        <v>7</v>
      </c>
      <c r="P1819" s="32">
        <f>_xlfn.XLOOKUP(Snitch_Fashion_Sales_cleaned!$I1819,Table3[Order_Date],Table3[Date_Key])</f>
        <v>87</v>
      </c>
    </row>
    <row r="1820" spans="1:16" x14ac:dyDescent="0.3">
      <c r="A1820" s="27">
        <v>2818</v>
      </c>
      <c r="B1820" s="25" t="s">
        <v>1848</v>
      </c>
      <c r="C1820" s="25" t="s">
        <v>36</v>
      </c>
      <c r="D1820" s="26" t="s">
        <v>59</v>
      </c>
      <c r="E1820" s="27">
        <v>3</v>
      </c>
      <c r="F1820" s="28">
        <v>739.57</v>
      </c>
      <c r="G1820" s="29">
        <v>0.51</v>
      </c>
      <c r="H1820" s="28">
        <f t="shared" si="58"/>
        <v>2218.71</v>
      </c>
      <c r="I1820" s="30">
        <v>45760</v>
      </c>
      <c r="J1820" s="26" t="s">
        <v>22</v>
      </c>
      <c r="K1820" s="26" t="s">
        <v>16</v>
      </c>
      <c r="L1820" s="31">
        <f t="shared" si="59"/>
        <v>1087.1678999999999</v>
      </c>
      <c r="M1820" s="31">
        <v>271.79197499999998</v>
      </c>
      <c r="N1820" s="22">
        <f>_xlfn.XLOOKUP(Snitch_Fashion_Sales_cleaned!$J1820,Table2[City],Table2[City_Key],"not found")</f>
        <v>3</v>
      </c>
      <c r="O1820" s="21">
        <f>_xlfn.XLOOKUP(Snitch_Fashion_Sales_cleaned!$D1820,Table4[Product_Name],Table4[Product_Key],"not found")</f>
        <v>13</v>
      </c>
      <c r="P1820" s="25">
        <f>_xlfn.XLOOKUP(Snitch_Fashion_Sales_cleaned!$I1820,Table3[Order_Date],Table3[Date_Key])</f>
        <v>458</v>
      </c>
    </row>
    <row r="1821" spans="1:16" x14ac:dyDescent="0.3">
      <c r="A1821" s="34">
        <v>2819</v>
      </c>
      <c r="B1821" s="32" t="s">
        <v>1849</v>
      </c>
      <c r="C1821" s="32" t="s">
        <v>28</v>
      </c>
      <c r="D1821" s="33" t="s">
        <v>116</v>
      </c>
      <c r="E1821" s="34">
        <v>4</v>
      </c>
      <c r="F1821" s="35">
        <v>2785.79</v>
      </c>
      <c r="G1821" s="36">
        <v>0.51</v>
      </c>
      <c r="H1821" s="35">
        <f t="shared" si="58"/>
        <v>11143.16</v>
      </c>
      <c r="I1821" s="37">
        <v>45647</v>
      </c>
      <c r="J1821" s="33" t="s">
        <v>18</v>
      </c>
      <c r="K1821" s="33" t="s">
        <v>16</v>
      </c>
      <c r="L1821" s="38">
        <f t="shared" si="59"/>
        <v>5460.1484</v>
      </c>
      <c r="M1821" s="38">
        <v>526.19000000000005</v>
      </c>
      <c r="N1821" s="24">
        <f>_xlfn.XLOOKUP(Snitch_Fashion_Sales_cleaned!$J1821,Table2[City],Table2[City_Key],"not found")</f>
        <v>2</v>
      </c>
      <c r="O1821" s="23">
        <f>_xlfn.XLOOKUP(Snitch_Fashion_Sales_cleaned!$D1821,Table4[Product_Name],Table4[Product_Key],"not found")</f>
        <v>22</v>
      </c>
      <c r="P1821" s="32">
        <f>_xlfn.XLOOKUP(Snitch_Fashion_Sales_cleaned!$I1821,Table3[Order_Date],Table3[Date_Key])</f>
        <v>5</v>
      </c>
    </row>
    <row r="1822" spans="1:16" x14ac:dyDescent="0.3">
      <c r="A1822" s="27">
        <v>2820</v>
      </c>
      <c r="B1822" s="25" t="s">
        <v>1850</v>
      </c>
      <c r="C1822" s="25" t="s">
        <v>28</v>
      </c>
      <c r="D1822" s="26" t="s">
        <v>137</v>
      </c>
      <c r="E1822" s="27">
        <v>1</v>
      </c>
      <c r="F1822" s="28">
        <v>2454.71</v>
      </c>
      <c r="G1822" s="29">
        <v>0.1</v>
      </c>
      <c r="H1822" s="28">
        <f t="shared" si="58"/>
        <v>2454.71</v>
      </c>
      <c r="I1822" s="30">
        <v>45294</v>
      </c>
      <c r="J1822" s="26" t="s">
        <v>22</v>
      </c>
      <c r="K1822" s="26" t="s">
        <v>23</v>
      </c>
      <c r="L1822" s="31">
        <f t="shared" si="59"/>
        <v>2209.239</v>
      </c>
      <c r="M1822" s="31">
        <v>552.30975000000001</v>
      </c>
      <c r="N1822" s="22">
        <f>_xlfn.XLOOKUP(Snitch_Fashion_Sales_cleaned!$J1822,Table2[City],Table2[City_Key],"not found")</f>
        <v>3</v>
      </c>
      <c r="O1822" s="21">
        <f>_xlfn.XLOOKUP(Snitch_Fashion_Sales_cleaned!$D1822,Table4[Product_Name],Table4[Product_Key],"not found")</f>
        <v>24</v>
      </c>
      <c r="P1822" s="25">
        <f>_xlfn.XLOOKUP(Snitch_Fashion_Sales_cleaned!$I1822,Table3[Order_Date],Table3[Date_Key])</f>
        <v>516</v>
      </c>
    </row>
    <row r="1823" spans="1:16" x14ac:dyDescent="0.3">
      <c r="A1823" s="34">
        <v>2821</v>
      </c>
      <c r="B1823" s="32" t="s">
        <v>1851</v>
      </c>
      <c r="C1823" s="32" t="s">
        <v>36</v>
      </c>
      <c r="D1823" s="33" t="s">
        <v>59</v>
      </c>
      <c r="E1823" s="34">
        <v>3</v>
      </c>
      <c r="F1823" s="35">
        <v>2765.26</v>
      </c>
      <c r="G1823" s="36">
        <v>0.51</v>
      </c>
      <c r="H1823" s="35">
        <f t="shared" si="58"/>
        <v>8295.7800000000007</v>
      </c>
      <c r="I1823" s="37">
        <v>45644</v>
      </c>
      <c r="J1823" s="33" t="s">
        <v>18</v>
      </c>
      <c r="K1823" s="33" t="s">
        <v>16</v>
      </c>
      <c r="L1823" s="38">
        <f t="shared" si="59"/>
        <v>4064.9322000000002</v>
      </c>
      <c r="M1823" s="38">
        <v>412.63</v>
      </c>
      <c r="N1823" s="24">
        <f>_xlfn.XLOOKUP(Snitch_Fashion_Sales_cleaned!$J1823,Table2[City],Table2[City_Key],"not found")</f>
        <v>2</v>
      </c>
      <c r="O1823" s="23">
        <f>_xlfn.XLOOKUP(Snitch_Fashion_Sales_cleaned!$D1823,Table4[Product_Name],Table4[Product_Key],"not found")</f>
        <v>13</v>
      </c>
      <c r="P1823" s="32">
        <f>_xlfn.XLOOKUP(Snitch_Fashion_Sales_cleaned!$I1823,Table3[Order_Date],Table3[Date_Key])</f>
        <v>489</v>
      </c>
    </row>
    <row r="1824" spans="1:16" x14ac:dyDescent="0.3">
      <c r="A1824" s="27">
        <v>2822</v>
      </c>
      <c r="B1824" s="25" t="s">
        <v>1852</v>
      </c>
      <c r="C1824" s="25" t="s">
        <v>31</v>
      </c>
      <c r="D1824" s="26" t="s">
        <v>68</v>
      </c>
      <c r="E1824" s="27">
        <v>4</v>
      </c>
      <c r="F1824" s="28">
        <v>3864.37</v>
      </c>
      <c r="G1824" s="29">
        <v>0.51</v>
      </c>
      <c r="H1824" s="28">
        <f t="shared" si="58"/>
        <v>15457.48</v>
      </c>
      <c r="I1824" s="30">
        <v>45725</v>
      </c>
      <c r="J1824" s="26" t="s">
        <v>2540</v>
      </c>
      <c r="K1824" s="26" t="s">
        <v>23</v>
      </c>
      <c r="L1824" s="31">
        <f t="shared" si="59"/>
        <v>7574.1651999999995</v>
      </c>
      <c r="M1824" s="31">
        <v>957.65</v>
      </c>
      <c r="N1824" s="22">
        <f>_xlfn.XLOOKUP(Snitch_Fashion_Sales_cleaned!$J1824,Table2[City],Table2[City_Key],"not found")</f>
        <v>4</v>
      </c>
      <c r="O1824" s="21">
        <f>_xlfn.XLOOKUP(Snitch_Fashion_Sales_cleaned!$D1824,Table4[Product_Name],Table4[Product_Key],"not found")</f>
        <v>15</v>
      </c>
      <c r="P1824" s="25">
        <f>_xlfn.XLOOKUP(Snitch_Fashion_Sales_cleaned!$I1824,Table3[Order_Date],Table3[Date_Key])</f>
        <v>255</v>
      </c>
    </row>
    <row r="1825" spans="1:16" x14ac:dyDescent="0.3">
      <c r="A1825" s="34">
        <v>2823</v>
      </c>
      <c r="B1825" s="32" t="s">
        <v>1853</v>
      </c>
      <c r="C1825" s="32" t="s">
        <v>20</v>
      </c>
      <c r="D1825" s="33" t="s">
        <v>76</v>
      </c>
      <c r="E1825" s="34">
        <v>3</v>
      </c>
      <c r="F1825" s="35">
        <v>2229.4899999999998</v>
      </c>
      <c r="G1825" s="36">
        <v>0.51</v>
      </c>
      <c r="H1825" s="35">
        <f t="shared" si="58"/>
        <v>6688.4699999999993</v>
      </c>
      <c r="I1825" s="37">
        <v>45542</v>
      </c>
      <c r="J1825" s="33" t="s">
        <v>18</v>
      </c>
      <c r="K1825" s="33" t="s">
        <v>16</v>
      </c>
      <c r="L1825" s="38">
        <f t="shared" si="59"/>
        <v>3277.3502999999996</v>
      </c>
      <c r="M1825" s="38">
        <v>-724.81</v>
      </c>
      <c r="N1825" s="24">
        <f>_xlfn.XLOOKUP(Snitch_Fashion_Sales_cleaned!$J1825,Table2[City],Table2[City_Key],"not found")</f>
        <v>2</v>
      </c>
      <c r="O1825" s="23">
        <f>_xlfn.XLOOKUP(Snitch_Fashion_Sales_cleaned!$D1825,Table4[Product_Name],Table4[Product_Key],"not found")</f>
        <v>16</v>
      </c>
      <c r="P1825" s="32">
        <f>_xlfn.XLOOKUP(Snitch_Fashion_Sales_cleaned!$I1825,Table3[Order_Date],Table3[Date_Key])</f>
        <v>495</v>
      </c>
    </row>
    <row r="1826" spans="1:16" x14ac:dyDescent="0.3">
      <c r="A1826" s="27">
        <v>2824</v>
      </c>
      <c r="B1826" s="25" t="s">
        <v>1854</v>
      </c>
      <c r="C1826" s="25" t="s">
        <v>25</v>
      </c>
      <c r="D1826" s="26" t="s">
        <v>82</v>
      </c>
      <c r="E1826" s="27">
        <v>3</v>
      </c>
      <c r="F1826" s="28">
        <v>2385.5749999999998</v>
      </c>
      <c r="G1826" s="29">
        <v>0.51</v>
      </c>
      <c r="H1826" s="28">
        <f t="shared" si="58"/>
        <v>7156.7249999999995</v>
      </c>
      <c r="I1826" s="30">
        <v>45618</v>
      </c>
      <c r="J1826" s="26" t="s">
        <v>15</v>
      </c>
      <c r="K1826" s="26" t="s">
        <v>16</v>
      </c>
      <c r="L1826" s="31">
        <f t="shared" si="59"/>
        <v>3506.7952499999997</v>
      </c>
      <c r="M1826" s="31">
        <v>1113.29</v>
      </c>
      <c r="N1826" s="22">
        <f>_xlfn.XLOOKUP(Snitch_Fashion_Sales_cleaned!$J1826,Table2[City],Table2[City_Key],"not found")</f>
        <v>1</v>
      </c>
      <c r="O1826" s="21">
        <f>_xlfn.XLOOKUP(Snitch_Fashion_Sales_cleaned!$D1826,Table4[Product_Name],Table4[Product_Key],"not found")</f>
        <v>18</v>
      </c>
      <c r="P1826" s="25">
        <f>_xlfn.XLOOKUP(Snitch_Fashion_Sales_cleaned!$I1826,Table3[Order_Date],Table3[Date_Key])</f>
        <v>447</v>
      </c>
    </row>
    <row r="1827" spans="1:16" x14ac:dyDescent="0.3">
      <c r="A1827" s="34">
        <v>2825</v>
      </c>
      <c r="B1827" s="32" t="s">
        <v>1855</v>
      </c>
      <c r="C1827" s="32" t="s">
        <v>28</v>
      </c>
      <c r="D1827" s="33" t="s">
        <v>29</v>
      </c>
      <c r="E1827" s="34">
        <v>3</v>
      </c>
      <c r="F1827" s="35">
        <v>2515.415</v>
      </c>
      <c r="G1827" s="36">
        <v>0.51</v>
      </c>
      <c r="H1827" s="35">
        <f t="shared" si="58"/>
        <v>7546.2449999999999</v>
      </c>
      <c r="I1827" s="37">
        <v>45647</v>
      </c>
      <c r="J1827" s="33" t="s">
        <v>18</v>
      </c>
      <c r="K1827" s="33" t="s">
        <v>23</v>
      </c>
      <c r="L1827" s="38">
        <f t="shared" si="59"/>
        <v>3697.66005</v>
      </c>
      <c r="M1827" s="38">
        <v>2935.9</v>
      </c>
      <c r="N1827" s="24">
        <f>_xlfn.XLOOKUP(Snitch_Fashion_Sales_cleaned!$J1827,Table2[City],Table2[City_Key],"not found")</f>
        <v>2</v>
      </c>
      <c r="O1827" s="23">
        <f>_xlfn.XLOOKUP(Snitch_Fashion_Sales_cleaned!$D1827,Table4[Product_Name],Table4[Product_Key],"not found")</f>
        <v>4</v>
      </c>
      <c r="P1827" s="32">
        <f>_xlfn.XLOOKUP(Snitch_Fashion_Sales_cleaned!$I1827,Table3[Order_Date],Table3[Date_Key])</f>
        <v>5</v>
      </c>
    </row>
    <row r="1828" spans="1:16" x14ac:dyDescent="0.3">
      <c r="A1828" s="27">
        <v>2826</v>
      </c>
      <c r="B1828" s="25" t="s">
        <v>1856</v>
      </c>
      <c r="C1828" s="25" t="s">
        <v>31</v>
      </c>
      <c r="D1828" s="26" t="s">
        <v>68</v>
      </c>
      <c r="E1828" s="27">
        <v>4</v>
      </c>
      <c r="F1828" s="28">
        <v>2765.79</v>
      </c>
      <c r="G1828" s="29">
        <v>0.51</v>
      </c>
      <c r="H1828" s="28">
        <f t="shared" si="58"/>
        <v>11063.16</v>
      </c>
      <c r="I1828" s="30">
        <v>45647</v>
      </c>
      <c r="J1828" s="26" t="s">
        <v>22</v>
      </c>
      <c r="K1828" s="26" t="s">
        <v>16</v>
      </c>
      <c r="L1828" s="31">
        <f t="shared" si="59"/>
        <v>5420.9484000000002</v>
      </c>
      <c r="M1828" s="31">
        <v>2275.7399999999998</v>
      </c>
      <c r="N1828" s="22">
        <f>_xlfn.XLOOKUP(Snitch_Fashion_Sales_cleaned!$J1828,Table2[City],Table2[City_Key],"not found")</f>
        <v>3</v>
      </c>
      <c r="O1828" s="21">
        <f>_xlfn.XLOOKUP(Snitch_Fashion_Sales_cleaned!$D1828,Table4[Product_Name],Table4[Product_Key],"not found")</f>
        <v>15</v>
      </c>
      <c r="P1828" s="25">
        <f>_xlfn.XLOOKUP(Snitch_Fashion_Sales_cleaned!$I1828,Table3[Order_Date],Table3[Date_Key])</f>
        <v>5</v>
      </c>
    </row>
    <row r="1829" spans="1:16" x14ac:dyDescent="0.3">
      <c r="A1829" s="34">
        <v>2827</v>
      </c>
      <c r="B1829" s="32" t="s">
        <v>1857</v>
      </c>
      <c r="C1829" s="32" t="s">
        <v>13</v>
      </c>
      <c r="D1829" s="33" t="s">
        <v>14</v>
      </c>
      <c r="E1829" s="34">
        <v>4</v>
      </c>
      <c r="F1829" s="35">
        <v>3996.87</v>
      </c>
      <c r="G1829" s="36">
        <v>0.51</v>
      </c>
      <c r="H1829" s="35">
        <f t="shared" si="58"/>
        <v>15987.48</v>
      </c>
      <c r="I1829" s="37">
        <v>45538</v>
      </c>
      <c r="J1829" s="33" t="s">
        <v>22</v>
      </c>
      <c r="K1829" s="33" t="s">
        <v>23</v>
      </c>
      <c r="L1829" s="38">
        <f t="shared" si="59"/>
        <v>7833.8651999999993</v>
      </c>
      <c r="M1829" s="38">
        <v>496.23</v>
      </c>
      <c r="N1829" s="24">
        <f>_xlfn.XLOOKUP(Snitch_Fashion_Sales_cleaned!$J1829,Table2[City],Table2[City_Key],"not found")</f>
        <v>3</v>
      </c>
      <c r="O1829" s="23">
        <f>_xlfn.XLOOKUP(Snitch_Fashion_Sales_cleaned!$D1829,Table4[Product_Name],Table4[Product_Key],"not found")</f>
        <v>1</v>
      </c>
      <c r="P1829" s="32">
        <f>_xlfn.XLOOKUP(Snitch_Fashion_Sales_cleaned!$I1829,Table3[Order_Date],Table3[Date_Key])</f>
        <v>294</v>
      </c>
    </row>
    <row r="1830" spans="1:16" x14ac:dyDescent="0.3">
      <c r="A1830" s="27">
        <v>2828</v>
      </c>
      <c r="B1830" s="25" t="s">
        <v>1858</v>
      </c>
      <c r="C1830" s="25" t="s">
        <v>25</v>
      </c>
      <c r="D1830" s="26" t="s">
        <v>26</v>
      </c>
      <c r="E1830" s="27">
        <v>4</v>
      </c>
      <c r="F1830" s="28">
        <v>2963.02</v>
      </c>
      <c r="G1830" s="29">
        <v>0.51</v>
      </c>
      <c r="H1830" s="28">
        <f t="shared" si="58"/>
        <v>11852.08</v>
      </c>
      <c r="I1830" s="30">
        <v>45825</v>
      </c>
      <c r="J1830" s="26" t="s">
        <v>2540</v>
      </c>
      <c r="K1830" s="26" t="s">
        <v>23</v>
      </c>
      <c r="L1830" s="31">
        <f t="shared" si="59"/>
        <v>5807.5191999999997</v>
      </c>
      <c r="M1830" s="31">
        <v>180.31</v>
      </c>
      <c r="N1830" s="22">
        <f>_xlfn.XLOOKUP(Snitch_Fashion_Sales_cleaned!$J1830,Table2[City],Table2[City_Key],"not found")</f>
        <v>4</v>
      </c>
      <c r="O1830" s="21">
        <f>_xlfn.XLOOKUP(Snitch_Fashion_Sales_cleaned!$D1830,Table4[Product_Name],Table4[Product_Key],"not found")</f>
        <v>3</v>
      </c>
      <c r="P1830" s="25">
        <f>_xlfn.XLOOKUP(Snitch_Fashion_Sales_cleaned!$I1830,Table3[Order_Date],Table3[Date_Key])</f>
        <v>256</v>
      </c>
    </row>
    <row r="1831" spans="1:16" x14ac:dyDescent="0.3">
      <c r="A1831" s="34">
        <v>2829</v>
      </c>
      <c r="B1831" s="32" t="s">
        <v>1859</v>
      </c>
      <c r="C1831" s="32" t="s">
        <v>20</v>
      </c>
      <c r="D1831" s="33" t="s">
        <v>84</v>
      </c>
      <c r="E1831" s="34">
        <v>3</v>
      </c>
      <c r="F1831" s="35">
        <v>4817.45</v>
      </c>
      <c r="G1831" s="36">
        <v>0.51</v>
      </c>
      <c r="H1831" s="35">
        <f t="shared" si="58"/>
        <v>14452.349999999999</v>
      </c>
      <c r="I1831" s="37">
        <v>45647</v>
      </c>
      <c r="J1831" s="33" t="s">
        <v>43</v>
      </c>
      <c r="K1831" s="33" t="s">
        <v>23</v>
      </c>
      <c r="L1831" s="38">
        <f t="shared" si="59"/>
        <v>7081.651499999999</v>
      </c>
      <c r="M1831" s="38">
        <v>2048.06</v>
      </c>
      <c r="N1831" s="24">
        <f>_xlfn.XLOOKUP(Snitch_Fashion_Sales_cleaned!$J1831,Table2[City],Table2[City_Key],"not found")</f>
        <v>6</v>
      </c>
      <c r="O1831" s="23">
        <f>_xlfn.XLOOKUP(Snitch_Fashion_Sales_cleaned!$D1831,Table4[Product_Name],Table4[Product_Key],"not found")</f>
        <v>19</v>
      </c>
      <c r="P1831" s="32">
        <f>_xlfn.XLOOKUP(Snitch_Fashion_Sales_cleaned!$I1831,Table3[Order_Date],Table3[Date_Key])</f>
        <v>5</v>
      </c>
    </row>
    <row r="1832" spans="1:16" x14ac:dyDescent="0.3">
      <c r="A1832" s="27">
        <v>2830</v>
      </c>
      <c r="B1832" s="25" t="s">
        <v>1860</v>
      </c>
      <c r="C1832" s="25" t="s">
        <v>31</v>
      </c>
      <c r="D1832" s="26" t="s">
        <v>32</v>
      </c>
      <c r="E1832" s="27">
        <v>4</v>
      </c>
      <c r="F1832" s="28">
        <v>3588.42</v>
      </c>
      <c r="G1832" s="29">
        <v>0.04</v>
      </c>
      <c r="H1832" s="28">
        <f t="shared" si="58"/>
        <v>14353.68</v>
      </c>
      <c r="I1832" s="30">
        <v>45820</v>
      </c>
      <c r="J1832" s="26" t="s">
        <v>15</v>
      </c>
      <c r="K1832" s="26" t="s">
        <v>23</v>
      </c>
      <c r="L1832" s="31">
        <f t="shared" si="59"/>
        <v>13779.532799999999</v>
      </c>
      <c r="M1832" s="31">
        <v>1952.28</v>
      </c>
      <c r="N1832" s="22">
        <f>_xlfn.XLOOKUP(Snitch_Fashion_Sales_cleaned!$J1832,Table2[City],Table2[City_Key],"not found")</f>
        <v>1</v>
      </c>
      <c r="O1832" s="21">
        <f>_xlfn.XLOOKUP(Snitch_Fashion_Sales_cleaned!$D1832,Table4[Product_Name],Table4[Product_Key],"not found")</f>
        <v>5</v>
      </c>
      <c r="P1832" s="25">
        <f>_xlfn.XLOOKUP(Snitch_Fashion_Sales_cleaned!$I1832,Table3[Order_Date],Table3[Date_Key])</f>
        <v>33</v>
      </c>
    </row>
    <row r="1833" spans="1:16" x14ac:dyDescent="0.3">
      <c r="A1833" s="34">
        <v>2831</v>
      </c>
      <c r="B1833" s="32" t="s">
        <v>846</v>
      </c>
      <c r="C1833" s="32" t="s">
        <v>36</v>
      </c>
      <c r="D1833" s="33" t="s">
        <v>37</v>
      </c>
      <c r="E1833" s="34">
        <v>4</v>
      </c>
      <c r="F1833" s="35">
        <v>2975.64</v>
      </c>
      <c r="G1833" s="36">
        <v>0.51</v>
      </c>
      <c r="H1833" s="35">
        <f t="shared" si="58"/>
        <v>11902.56</v>
      </c>
      <c r="I1833" s="37">
        <v>45495</v>
      </c>
      <c r="J1833" s="33" t="s">
        <v>18</v>
      </c>
      <c r="K1833" s="33" t="s">
        <v>23</v>
      </c>
      <c r="L1833" s="38">
        <f t="shared" si="59"/>
        <v>5832.2543999999998</v>
      </c>
      <c r="M1833" s="38">
        <v>2091.3000000000002</v>
      </c>
      <c r="N1833" s="24">
        <f>_xlfn.XLOOKUP(Snitch_Fashion_Sales_cleaned!$J1833,Table2[City],Table2[City_Key],"not found")</f>
        <v>2</v>
      </c>
      <c r="O1833" s="23">
        <f>_xlfn.XLOOKUP(Snitch_Fashion_Sales_cleaned!$D1833,Table4[Product_Name],Table4[Product_Key],"not found")</f>
        <v>7</v>
      </c>
      <c r="P1833" s="32">
        <f>_xlfn.XLOOKUP(Snitch_Fashion_Sales_cleaned!$I1833,Table3[Order_Date],Table3[Date_Key])</f>
        <v>132</v>
      </c>
    </row>
    <row r="1834" spans="1:16" x14ac:dyDescent="0.3">
      <c r="A1834" s="27">
        <v>2832</v>
      </c>
      <c r="B1834" s="25" t="s">
        <v>1861</v>
      </c>
      <c r="C1834" s="25" t="s">
        <v>25</v>
      </c>
      <c r="D1834" s="26" t="s">
        <v>82</v>
      </c>
      <c r="E1834" s="27">
        <v>3</v>
      </c>
      <c r="F1834" s="28">
        <v>2385.5749999999998</v>
      </c>
      <c r="G1834" s="29">
        <v>0.56000000000000005</v>
      </c>
      <c r="H1834" s="28">
        <f t="shared" si="58"/>
        <v>7156.7249999999995</v>
      </c>
      <c r="I1834" s="30">
        <v>45572</v>
      </c>
      <c r="J1834" s="26" t="s">
        <v>22</v>
      </c>
      <c r="K1834" s="26" t="s">
        <v>23</v>
      </c>
      <c r="L1834" s="31">
        <f t="shared" si="59"/>
        <v>3148.9589999999994</v>
      </c>
      <c r="M1834" s="31">
        <v>-402.75</v>
      </c>
      <c r="N1834" s="22">
        <f>_xlfn.XLOOKUP(Snitch_Fashion_Sales_cleaned!$J1834,Table2[City],Table2[City_Key],"not found")</f>
        <v>3</v>
      </c>
      <c r="O1834" s="21">
        <f>_xlfn.XLOOKUP(Snitch_Fashion_Sales_cleaned!$D1834,Table4[Product_Name],Table4[Product_Key],"not found")</f>
        <v>18</v>
      </c>
      <c r="P1834" s="25">
        <f>_xlfn.XLOOKUP(Snitch_Fashion_Sales_cleaned!$I1834,Table3[Order_Date],Table3[Date_Key])</f>
        <v>425</v>
      </c>
    </row>
    <row r="1835" spans="1:16" x14ac:dyDescent="0.3">
      <c r="A1835" s="34">
        <v>2833</v>
      </c>
      <c r="B1835" s="32" t="s">
        <v>1862</v>
      </c>
      <c r="C1835" s="32" t="s">
        <v>13</v>
      </c>
      <c r="D1835" s="33" t="s">
        <v>98</v>
      </c>
      <c r="E1835" s="34">
        <v>5</v>
      </c>
      <c r="F1835" s="35">
        <v>4273.33</v>
      </c>
      <c r="G1835" s="36">
        <v>0.51</v>
      </c>
      <c r="H1835" s="35">
        <f t="shared" si="58"/>
        <v>21366.65</v>
      </c>
      <c r="I1835" s="37">
        <v>45647</v>
      </c>
      <c r="J1835" s="33" t="s">
        <v>2540</v>
      </c>
      <c r="K1835" s="33" t="s">
        <v>16</v>
      </c>
      <c r="L1835" s="38">
        <f t="shared" si="59"/>
        <v>10469.658500000001</v>
      </c>
      <c r="M1835" s="38">
        <v>900.12</v>
      </c>
      <c r="N1835" s="24">
        <f>_xlfn.XLOOKUP(Snitch_Fashion_Sales_cleaned!$J1835,Table2[City],Table2[City_Key],"not found")</f>
        <v>4</v>
      </c>
      <c r="O1835" s="23">
        <f>_xlfn.XLOOKUP(Snitch_Fashion_Sales_cleaned!$D1835,Table4[Product_Name],Table4[Product_Key],"not found")</f>
        <v>21</v>
      </c>
      <c r="P1835" s="32">
        <f>_xlfn.XLOOKUP(Snitch_Fashion_Sales_cleaned!$I1835,Table3[Order_Date],Table3[Date_Key])</f>
        <v>5</v>
      </c>
    </row>
    <row r="1836" spans="1:16" x14ac:dyDescent="0.3">
      <c r="A1836" s="27">
        <v>2834</v>
      </c>
      <c r="B1836" s="25" t="s">
        <v>1863</v>
      </c>
      <c r="C1836" s="25" t="s">
        <v>20</v>
      </c>
      <c r="D1836" s="26" t="s">
        <v>118</v>
      </c>
      <c r="E1836" s="27">
        <v>3.5</v>
      </c>
      <c r="F1836" s="28">
        <v>3522.98</v>
      </c>
      <c r="G1836" s="29">
        <v>0.51</v>
      </c>
      <c r="H1836" s="28">
        <f t="shared" si="58"/>
        <v>12330.43</v>
      </c>
      <c r="I1836" s="30">
        <v>45597</v>
      </c>
      <c r="J1836" s="26" t="s">
        <v>15</v>
      </c>
      <c r="K1836" s="26" t="s">
        <v>16</v>
      </c>
      <c r="L1836" s="31">
        <f t="shared" si="59"/>
        <v>6041.9107000000004</v>
      </c>
      <c r="M1836" s="31">
        <v>2242.67</v>
      </c>
      <c r="N1836" s="22">
        <f>_xlfn.XLOOKUP(Snitch_Fashion_Sales_cleaned!$J1836,Table2[City],Table2[City_Key],"not found")</f>
        <v>1</v>
      </c>
      <c r="O1836" s="21">
        <f>_xlfn.XLOOKUP(Snitch_Fashion_Sales_cleaned!$D1836,Table4[Product_Name],Table4[Product_Key],"not found")</f>
        <v>23</v>
      </c>
      <c r="P1836" s="25">
        <f>_xlfn.XLOOKUP(Snitch_Fashion_Sales_cleaned!$I1836,Table3[Order_Date],Table3[Date_Key])</f>
        <v>342</v>
      </c>
    </row>
    <row r="1837" spans="1:16" x14ac:dyDescent="0.3">
      <c r="A1837" s="34">
        <v>2835</v>
      </c>
      <c r="B1837" s="32" t="s">
        <v>1864</v>
      </c>
      <c r="C1837" s="32" t="s">
        <v>36</v>
      </c>
      <c r="D1837" s="33" t="s">
        <v>55</v>
      </c>
      <c r="E1837" s="34">
        <v>5</v>
      </c>
      <c r="F1837" s="35">
        <v>2731.6350000000002</v>
      </c>
      <c r="G1837" s="36">
        <v>0.98</v>
      </c>
      <c r="H1837" s="35">
        <f t="shared" si="58"/>
        <v>13658.175000000001</v>
      </c>
      <c r="I1837" s="37">
        <v>45839</v>
      </c>
      <c r="J1837" s="33" t="s">
        <v>52</v>
      </c>
      <c r="K1837" s="33" t="s">
        <v>23</v>
      </c>
      <c r="L1837" s="38">
        <f t="shared" si="59"/>
        <v>273.16350000000028</v>
      </c>
      <c r="M1837" s="38">
        <v>-618.55999999999995</v>
      </c>
      <c r="N1837" s="24">
        <f>_xlfn.XLOOKUP(Snitch_Fashion_Sales_cleaned!$J1837,Table2[City],Table2[City_Key],"not found")</f>
        <v>5</v>
      </c>
      <c r="O1837" s="23">
        <f>_xlfn.XLOOKUP(Snitch_Fashion_Sales_cleaned!$D1837,Table4[Product_Name],Table4[Product_Key],"not found")</f>
        <v>12</v>
      </c>
      <c r="P1837" s="32">
        <f>_xlfn.XLOOKUP(Snitch_Fashion_Sales_cleaned!$I1837,Table3[Order_Date],Table3[Date_Key])</f>
        <v>200</v>
      </c>
    </row>
    <row r="1838" spans="1:16" x14ac:dyDescent="0.3">
      <c r="A1838" s="27">
        <v>2836</v>
      </c>
      <c r="B1838" s="25" t="s">
        <v>1865</v>
      </c>
      <c r="C1838" s="25" t="s">
        <v>36</v>
      </c>
      <c r="D1838" s="26" t="s">
        <v>87</v>
      </c>
      <c r="E1838" s="27">
        <v>4</v>
      </c>
      <c r="F1838" s="28">
        <v>4609.95</v>
      </c>
      <c r="G1838" s="29">
        <v>0.51</v>
      </c>
      <c r="H1838" s="28">
        <f t="shared" si="58"/>
        <v>18439.8</v>
      </c>
      <c r="I1838" s="30">
        <v>45448</v>
      </c>
      <c r="J1838" s="26" t="s">
        <v>2540</v>
      </c>
      <c r="K1838" s="26" t="s">
        <v>23</v>
      </c>
      <c r="L1838" s="31">
        <f t="shared" si="59"/>
        <v>9035.5019999999986</v>
      </c>
      <c r="M1838" s="31">
        <v>-154.75</v>
      </c>
      <c r="N1838" s="22">
        <f>_xlfn.XLOOKUP(Snitch_Fashion_Sales_cleaned!$J1838,Table2[City],Table2[City_Key],"not found")</f>
        <v>4</v>
      </c>
      <c r="O1838" s="21">
        <f>_xlfn.XLOOKUP(Snitch_Fashion_Sales_cleaned!$D1838,Table4[Product_Name],Table4[Product_Key],"not found")</f>
        <v>20</v>
      </c>
      <c r="P1838" s="25">
        <f>_xlfn.XLOOKUP(Snitch_Fashion_Sales_cleaned!$I1838,Table3[Order_Date],Table3[Date_Key])</f>
        <v>517</v>
      </c>
    </row>
    <row r="1839" spans="1:16" x14ac:dyDescent="0.3">
      <c r="A1839" s="34">
        <v>2837</v>
      </c>
      <c r="B1839" s="32" t="s">
        <v>1866</v>
      </c>
      <c r="C1839" s="32" t="s">
        <v>13</v>
      </c>
      <c r="D1839" s="33" t="s">
        <v>14</v>
      </c>
      <c r="E1839" s="34">
        <v>4</v>
      </c>
      <c r="F1839" s="35">
        <v>4443.01</v>
      </c>
      <c r="G1839" s="36">
        <v>0.51</v>
      </c>
      <c r="H1839" s="35">
        <f t="shared" si="58"/>
        <v>17772.04</v>
      </c>
      <c r="I1839" s="37">
        <v>45743</v>
      </c>
      <c r="J1839" s="33" t="s">
        <v>2540</v>
      </c>
      <c r="K1839" s="33" t="s">
        <v>23</v>
      </c>
      <c r="L1839" s="38">
        <f t="shared" si="59"/>
        <v>8708.2996000000003</v>
      </c>
      <c r="M1839" s="38">
        <v>-919.16</v>
      </c>
      <c r="N1839" s="24">
        <f>_xlfn.XLOOKUP(Snitch_Fashion_Sales_cleaned!$J1839,Table2[City],Table2[City_Key],"not found")</f>
        <v>4</v>
      </c>
      <c r="O1839" s="23">
        <f>_xlfn.XLOOKUP(Snitch_Fashion_Sales_cleaned!$D1839,Table4[Product_Name],Table4[Product_Key],"not found")</f>
        <v>1</v>
      </c>
      <c r="P1839" s="32">
        <f>_xlfn.XLOOKUP(Snitch_Fashion_Sales_cleaned!$I1839,Table3[Order_Date],Table3[Date_Key])</f>
        <v>138</v>
      </c>
    </row>
    <row r="1840" spans="1:16" x14ac:dyDescent="0.3">
      <c r="A1840" s="27">
        <v>2838</v>
      </c>
      <c r="B1840" s="25" t="s">
        <v>1867</v>
      </c>
      <c r="C1840" s="25" t="s">
        <v>36</v>
      </c>
      <c r="D1840" s="26" t="s">
        <v>87</v>
      </c>
      <c r="E1840" s="27">
        <v>4</v>
      </c>
      <c r="F1840" s="28">
        <v>2889.5349999999999</v>
      </c>
      <c r="G1840" s="29">
        <v>0.97</v>
      </c>
      <c r="H1840" s="28">
        <f t="shared" si="58"/>
        <v>11558.14</v>
      </c>
      <c r="I1840" s="30">
        <v>45647</v>
      </c>
      <c r="J1840" s="26" t="s">
        <v>22</v>
      </c>
      <c r="K1840" s="26" t="s">
        <v>23</v>
      </c>
      <c r="L1840" s="31">
        <f t="shared" si="59"/>
        <v>346.74420000000026</v>
      </c>
      <c r="M1840" s="31">
        <v>182.38</v>
      </c>
      <c r="N1840" s="22">
        <f>_xlfn.XLOOKUP(Snitch_Fashion_Sales_cleaned!$J1840,Table2[City],Table2[City_Key],"not found")</f>
        <v>3</v>
      </c>
      <c r="O1840" s="21">
        <f>_xlfn.XLOOKUP(Snitch_Fashion_Sales_cleaned!$D1840,Table4[Product_Name],Table4[Product_Key],"not found")</f>
        <v>20</v>
      </c>
      <c r="P1840" s="25">
        <f>_xlfn.XLOOKUP(Snitch_Fashion_Sales_cleaned!$I1840,Table3[Order_Date],Table3[Date_Key])</f>
        <v>5</v>
      </c>
    </row>
    <row r="1841" spans="1:16" x14ac:dyDescent="0.3">
      <c r="A1841" s="34">
        <v>2839</v>
      </c>
      <c r="B1841" s="32" t="s">
        <v>1868</v>
      </c>
      <c r="C1841" s="32" t="s">
        <v>25</v>
      </c>
      <c r="D1841" s="33" t="s">
        <v>82</v>
      </c>
      <c r="E1841" s="34">
        <v>3</v>
      </c>
      <c r="F1841" s="35">
        <v>561.24</v>
      </c>
      <c r="G1841" s="36">
        <v>0.51</v>
      </c>
      <c r="H1841" s="35">
        <f t="shared" si="58"/>
        <v>1683.72</v>
      </c>
      <c r="I1841" s="37">
        <v>45589</v>
      </c>
      <c r="J1841" s="33" t="s">
        <v>52</v>
      </c>
      <c r="K1841" s="33" t="s">
        <v>23</v>
      </c>
      <c r="L1841" s="38">
        <f t="shared" si="59"/>
        <v>825.02279999999996</v>
      </c>
      <c r="M1841" s="38">
        <v>206.25569999999999</v>
      </c>
      <c r="N1841" s="24">
        <f>_xlfn.XLOOKUP(Snitch_Fashion_Sales_cleaned!$J1841,Table2[City],Table2[City_Key],"not found")</f>
        <v>5</v>
      </c>
      <c r="O1841" s="23">
        <f>_xlfn.XLOOKUP(Snitch_Fashion_Sales_cleaned!$D1841,Table4[Product_Name],Table4[Product_Key],"not found")</f>
        <v>18</v>
      </c>
      <c r="P1841" s="32">
        <f>_xlfn.XLOOKUP(Snitch_Fashion_Sales_cleaned!$I1841,Table3[Order_Date],Table3[Date_Key])</f>
        <v>518</v>
      </c>
    </row>
    <row r="1842" spans="1:16" x14ac:dyDescent="0.3">
      <c r="A1842" s="27">
        <v>2840</v>
      </c>
      <c r="B1842" s="25" t="s">
        <v>1869</v>
      </c>
      <c r="C1842" s="25" t="s">
        <v>20</v>
      </c>
      <c r="D1842" s="26" t="s">
        <v>76</v>
      </c>
      <c r="E1842" s="27">
        <v>3</v>
      </c>
      <c r="F1842" s="28">
        <v>2297.54</v>
      </c>
      <c r="G1842" s="29">
        <v>0.51</v>
      </c>
      <c r="H1842" s="28">
        <f t="shared" si="58"/>
        <v>6892.62</v>
      </c>
      <c r="I1842" s="30">
        <v>45739</v>
      </c>
      <c r="J1842" s="26" t="s">
        <v>52</v>
      </c>
      <c r="K1842" s="26" t="s">
        <v>23</v>
      </c>
      <c r="L1842" s="31">
        <f t="shared" si="59"/>
        <v>3377.3838000000001</v>
      </c>
      <c r="M1842" s="31">
        <v>490.32</v>
      </c>
      <c r="N1842" s="22">
        <f>_xlfn.XLOOKUP(Snitch_Fashion_Sales_cleaned!$J1842,Table2[City],Table2[City_Key],"not found")</f>
        <v>5</v>
      </c>
      <c r="O1842" s="21">
        <f>_xlfn.XLOOKUP(Snitch_Fashion_Sales_cleaned!$D1842,Table4[Product_Name],Table4[Product_Key],"not found")</f>
        <v>16</v>
      </c>
      <c r="P1842" s="25">
        <f>_xlfn.XLOOKUP(Snitch_Fashion_Sales_cleaned!$I1842,Table3[Order_Date],Table3[Date_Key])</f>
        <v>124</v>
      </c>
    </row>
    <row r="1843" spans="1:16" x14ac:dyDescent="0.3">
      <c r="A1843" s="34">
        <v>2841</v>
      </c>
      <c r="B1843" s="32" t="s">
        <v>1870</v>
      </c>
      <c r="C1843" s="32" t="s">
        <v>13</v>
      </c>
      <c r="D1843" s="33" t="s">
        <v>98</v>
      </c>
      <c r="E1843" s="34">
        <v>5</v>
      </c>
      <c r="F1843" s="35">
        <v>4154.05</v>
      </c>
      <c r="G1843" s="36">
        <v>0.51</v>
      </c>
      <c r="H1843" s="35">
        <f t="shared" si="58"/>
        <v>20770.25</v>
      </c>
      <c r="I1843" s="37">
        <v>45665</v>
      </c>
      <c r="J1843" s="33" t="s">
        <v>22</v>
      </c>
      <c r="K1843" s="33" t="s">
        <v>23</v>
      </c>
      <c r="L1843" s="38">
        <f t="shared" si="59"/>
        <v>10177.422500000001</v>
      </c>
      <c r="M1843" s="38">
        <v>265</v>
      </c>
      <c r="N1843" s="24">
        <f>_xlfn.XLOOKUP(Snitch_Fashion_Sales_cleaned!$J1843,Table2[City],Table2[City_Key],"not found")</f>
        <v>3</v>
      </c>
      <c r="O1843" s="23">
        <f>_xlfn.XLOOKUP(Snitch_Fashion_Sales_cleaned!$D1843,Table4[Product_Name],Table4[Product_Key],"not found")</f>
        <v>21</v>
      </c>
      <c r="P1843" s="32">
        <f>_xlfn.XLOOKUP(Snitch_Fashion_Sales_cleaned!$I1843,Table3[Order_Date],Table3[Date_Key])</f>
        <v>313</v>
      </c>
    </row>
    <row r="1844" spans="1:16" x14ac:dyDescent="0.3">
      <c r="A1844" s="27">
        <v>2842</v>
      </c>
      <c r="B1844" s="25" t="s">
        <v>1871</v>
      </c>
      <c r="C1844" s="25" t="s">
        <v>28</v>
      </c>
      <c r="D1844" s="26" t="s">
        <v>39</v>
      </c>
      <c r="E1844" s="27">
        <v>3</v>
      </c>
      <c r="F1844" s="28">
        <v>1812.58</v>
      </c>
      <c r="G1844" s="29">
        <v>0.51</v>
      </c>
      <c r="H1844" s="28">
        <f t="shared" si="58"/>
        <v>5437.74</v>
      </c>
      <c r="I1844" s="30">
        <v>45560</v>
      </c>
      <c r="J1844" s="26" t="s">
        <v>15</v>
      </c>
      <c r="K1844" s="26" t="s">
        <v>23</v>
      </c>
      <c r="L1844" s="31">
        <f t="shared" si="59"/>
        <v>2664.4926</v>
      </c>
      <c r="M1844" s="31">
        <v>445.27</v>
      </c>
      <c r="N1844" s="22">
        <f>_xlfn.XLOOKUP(Snitch_Fashion_Sales_cleaned!$J1844,Table2[City],Table2[City_Key],"not found")</f>
        <v>1</v>
      </c>
      <c r="O1844" s="21">
        <f>_xlfn.XLOOKUP(Snitch_Fashion_Sales_cleaned!$D1844,Table4[Product_Name],Table4[Product_Key],"not found")</f>
        <v>8</v>
      </c>
      <c r="P1844" s="25">
        <f>_xlfn.XLOOKUP(Snitch_Fashion_Sales_cleaned!$I1844,Table3[Order_Date],Table3[Date_Key])</f>
        <v>274</v>
      </c>
    </row>
    <row r="1845" spans="1:16" x14ac:dyDescent="0.3">
      <c r="A1845" s="34">
        <v>2843</v>
      </c>
      <c r="B1845" s="32" t="s">
        <v>1872</v>
      </c>
      <c r="C1845" s="32" t="s">
        <v>31</v>
      </c>
      <c r="D1845" s="33" t="s">
        <v>78</v>
      </c>
      <c r="E1845" s="34">
        <v>4</v>
      </c>
      <c r="F1845" s="35">
        <v>1110.1099999999999</v>
      </c>
      <c r="G1845" s="36">
        <v>0.51</v>
      </c>
      <c r="H1845" s="35">
        <f t="shared" si="58"/>
        <v>4440.4399999999996</v>
      </c>
      <c r="I1845" s="37">
        <v>45679</v>
      </c>
      <c r="J1845" s="33" t="s">
        <v>22</v>
      </c>
      <c r="K1845" s="33" t="s">
        <v>23</v>
      </c>
      <c r="L1845" s="38">
        <f t="shared" si="59"/>
        <v>2175.8155999999999</v>
      </c>
      <c r="M1845" s="38">
        <v>543.95389999999998</v>
      </c>
      <c r="N1845" s="24">
        <f>_xlfn.XLOOKUP(Snitch_Fashion_Sales_cleaned!$J1845,Table2[City],Table2[City_Key],"not found")</f>
        <v>3</v>
      </c>
      <c r="O1845" s="23">
        <f>_xlfn.XLOOKUP(Snitch_Fashion_Sales_cleaned!$D1845,Table4[Product_Name],Table4[Product_Key],"not found")</f>
        <v>17</v>
      </c>
      <c r="P1845" s="32">
        <f>_xlfn.XLOOKUP(Snitch_Fashion_Sales_cleaned!$I1845,Table3[Order_Date],Table3[Date_Key])</f>
        <v>217</v>
      </c>
    </row>
    <row r="1846" spans="1:16" x14ac:dyDescent="0.3">
      <c r="A1846" s="27">
        <v>2844</v>
      </c>
      <c r="B1846" s="25" t="s">
        <v>1873</v>
      </c>
      <c r="C1846" s="25" t="s">
        <v>13</v>
      </c>
      <c r="D1846" s="26" t="s">
        <v>46</v>
      </c>
      <c r="E1846" s="27">
        <v>4</v>
      </c>
      <c r="F1846" s="28">
        <v>2549.59</v>
      </c>
      <c r="G1846" s="29">
        <v>0.51</v>
      </c>
      <c r="H1846" s="28">
        <f t="shared" si="58"/>
        <v>10198.36</v>
      </c>
      <c r="I1846" s="30">
        <v>45431</v>
      </c>
      <c r="J1846" s="26" t="s">
        <v>15</v>
      </c>
      <c r="K1846" s="26" t="s">
        <v>23</v>
      </c>
      <c r="L1846" s="31">
        <f t="shared" si="59"/>
        <v>4997.1963999999998</v>
      </c>
      <c r="M1846" s="31">
        <v>2612.63</v>
      </c>
      <c r="N1846" s="22">
        <f>_xlfn.XLOOKUP(Snitch_Fashion_Sales_cleaned!$J1846,Table2[City],Table2[City_Key],"not found")</f>
        <v>1</v>
      </c>
      <c r="O1846" s="21">
        <f>_xlfn.XLOOKUP(Snitch_Fashion_Sales_cleaned!$D1846,Table4[Product_Name],Table4[Product_Key],"not found")</f>
        <v>10</v>
      </c>
      <c r="P1846" s="25">
        <f>_xlfn.XLOOKUP(Snitch_Fashion_Sales_cleaned!$I1846,Table3[Order_Date],Table3[Date_Key])</f>
        <v>519</v>
      </c>
    </row>
    <row r="1847" spans="1:16" x14ac:dyDescent="0.3">
      <c r="A1847" s="34">
        <v>2845</v>
      </c>
      <c r="B1847" s="32" t="s">
        <v>1874</v>
      </c>
      <c r="C1847" s="32" t="s">
        <v>20</v>
      </c>
      <c r="D1847" s="33" t="s">
        <v>84</v>
      </c>
      <c r="E1847" s="34">
        <v>3</v>
      </c>
      <c r="F1847" s="35">
        <v>2537.59</v>
      </c>
      <c r="G1847" s="36">
        <v>0.51</v>
      </c>
      <c r="H1847" s="35">
        <f t="shared" si="58"/>
        <v>7612.77</v>
      </c>
      <c r="I1847" s="37">
        <v>45751</v>
      </c>
      <c r="J1847" s="33" t="s">
        <v>15</v>
      </c>
      <c r="K1847" s="33" t="s">
        <v>23</v>
      </c>
      <c r="L1847" s="38">
        <f t="shared" si="59"/>
        <v>3730.2573000000002</v>
      </c>
      <c r="M1847" s="38">
        <v>-693.63</v>
      </c>
      <c r="N1847" s="24">
        <f>_xlfn.XLOOKUP(Snitch_Fashion_Sales_cleaned!$J1847,Table2[City],Table2[City_Key],"not found")</f>
        <v>1</v>
      </c>
      <c r="O1847" s="23">
        <f>_xlfn.XLOOKUP(Snitch_Fashion_Sales_cleaned!$D1847,Table4[Product_Name],Table4[Product_Key],"not found")</f>
        <v>19</v>
      </c>
      <c r="P1847" s="32">
        <f>_xlfn.XLOOKUP(Snitch_Fashion_Sales_cleaned!$I1847,Table3[Order_Date],Table3[Date_Key])</f>
        <v>113</v>
      </c>
    </row>
    <row r="1848" spans="1:16" x14ac:dyDescent="0.3">
      <c r="A1848" s="27">
        <v>2846</v>
      </c>
      <c r="B1848" s="25" t="s">
        <v>1875</v>
      </c>
      <c r="C1848" s="25" t="s">
        <v>25</v>
      </c>
      <c r="D1848" s="26" t="s">
        <v>62</v>
      </c>
      <c r="E1848" s="27">
        <v>4</v>
      </c>
      <c r="F1848" s="28">
        <v>2525.04</v>
      </c>
      <c r="G1848" s="29">
        <v>0.3</v>
      </c>
      <c r="H1848" s="28">
        <f t="shared" si="58"/>
        <v>10100.16</v>
      </c>
      <c r="I1848" s="30">
        <v>45560</v>
      </c>
      <c r="J1848" s="26" t="s">
        <v>52</v>
      </c>
      <c r="K1848" s="26" t="s">
        <v>23</v>
      </c>
      <c r="L1848" s="31">
        <f t="shared" si="59"/>
        <v>7070.1119999999992</v>
      </c>
      <c r="M1848" s="31">
        <v>1003.34</v>
      </c>
      <c r="N1848" s="22">
        <f>_xlfn.XLOOKUP(Snitch_Fashion_Sales_cleaned!$J1848,Table2[City],Table2[City_Key],"not found")</f>
        <v>5</v>
      </c>
      <c r="O1848" s="21">
        <f>_xlfn.XLOOKUP(Snitch_Fashion_Sales_cleaned!$D1848,Table4[Product_Name],Table4[Product_Key],"not found")</f>
        <v>14</v>
      </c>
      <c r="P1848" s="25">
        <f>_xlfn.XLOOKUP(Snitch_Fashion_Sales_cleaned!$I1848,Table3[Order_Date],Table3[Date_Key])</f>
        <v>274</v>
      </c>
    </row>
    <row r="1849" spans="1:16" x14ac:dyDescent="0.3">
      <c r="A1849" s="34">
        <v>2847</v>
      </c>
      <c r="B1849" s="32" t="s">
        <v>1876</v>
      </c>
      <c r="C1849" s="32" t="s">
        <v>25</v>
      </c>
      <c r="D1849" s="33" t="s">
        <v>82</v>
      </c>
      <c r="E1849" s="34">
        <v>3</v>
      </c>
      <c r="F1849" s="35">
        <v>3424.29</v>
      </c>
      <c r="G1849" s="36">
        <v>0.51</v>
      </c>
      <c r="H1849" s="35">
        <f t="shared" si="58"/>
        <v>10272.869999999999</v>
      </c>
      <c r="I1849" s="37">
        <v>45516</v>
      </c>
      <c r="J1849" s="33" t="s">
        <v>43</v>
      </c>
      <c r="K1849" s="33" t="s">
        <v>23</v>
      </c>
      <c r="L1849" s="38">
        <f t="shared" si="59"/>
        <v>5033.7062999999998</v>
      </c>
      <c r="M1849" s="38">
        <v>2560.3200000000002</v>
      </c>
      <c r="N1849" s="24">
        <f>_xlfn.XLOOKUP(Snitch_Fashion_Sales_cleaned!$J1849,Table2[City],Table2[City_Key],"not found")</f>
        <v>6</v>
      </c>
      <c r="O1849" s="23">
        <f>_xlfn.XLOOKUP(Snitch_Fashion_Sales_cleaned!$D1849,Table4[Product_Name],Table4[Product_Key],"not found")</f>
        <v>18</v>
      </c>
      <c r="P1849" s="32">
        <f>_xlfn.XLOOKUP(Snitch_Fashion_Sales_cleaned!$I1849,Table3[Order_Date],Table3[Date_Key])</f>
        <v>299</v>
      </c>
    </row>
    <row r="1850" spans="1:16" x14ac:dyDescent="0.3">
      <c r="A1850" s="27">
        <v>2848</v>
      </c>
      <c r="B1850" s="25" t="s">
        <v>1877</v>
      </c>
      <c r="C1850" s="25" t="s">
        <v>20</v>
      </c>
      <c r="D1850" s="26" t="s">
        <v>118</v>
      </c>
      <c r="E1850" s="27">
        <v>2</v>
      </c>
      <c r="F1850" s="28">
        <v>2752.99</v>
      </c>
      <c r="G1850" s="29">
        <v>0.51</v>
      </c>
      <c r="H1850" s="28">
        <f t="shared" si="58"/>
        <v>5505.98</v>
      </c>
      <c r="I1850" s="30">
        <v>45535</v>
      </c>
      <c r="J1850" s="26" t="s">
        <v>18</v>
      </c>
      <c r="K1850" s="26" t="s">
        <v>16</v>
      </c>
      <c r="L1850" s="31">
        <f t="shared" si="59"/>
        <v>2697.9301999999998</v>
      </c>
      <c r="M1850" s="31">
        <v>2638.28</v>
      </c>
      <c r="N1850" s="22">
        <f>_xlfn.XLOOKUP(Snitch_Fashion_Sales_cleaned!$J1850,Table2[City],Table2[City_Key],"not found")</f>
        <v>2</v>
      </c>
      <c r="O1850" s="21">
        <f>_xlfn.XLOOKUP(Snitch_Fashion_Sales_cleaned!$D1850,Table4[Product_Name],Table4[Product_Key],"not found")</f>
        <v>23</v>
      </c>
      <c r="P1850" s="25">
        <f>_xlfn.XLOOKUP(Snitch_Fashion_Sales_cleaned!$I1850,Table3[Order_Date],Table3[Date_Key])</f>
        <v>476</v>
      </c>
    </row>
    <row r="1851" spans="1:16" x14ac:dyDescent="0.3">
      <c r="A1851" s="34">
        <v>2849</v>
      </c>
      <c r="B1851" s="32" t="s">
        <v>1878</v>
      </c>
      <c r="C1851" s="32" t="s">
        <v>28</v>
      </c>
      <c r="D1851" s="33" t="s">
        <v>39</v>
      </c>
      <c r="E1851" s="34">
        <v>3</v>
      </c>
      <c r="F1851" s="35">
        <v>2577.6350000000002</v>
      </c>
      <c r="G1851" s="36">
        <v>0.35</v>
      </c>
      <c r="H1851" s="35">
        <f t="shared" si="58"/>
        <v>7732.9050000000007</v>
      </c>
      <c r="I1851" s="37">
        <v>45647</v>
      </c>
      <c r="J1851" s="33" t="s">
        <v>22</v>
      </c>
      <c r="K1851" s="33" t="s">
        <v>23</v>
      </c>
      <c r="L1851" s="38">
        <f t="shared" si="59"/>
        <v>5026.3882500000009</v>
      </c>
      <c r="M1851" s="38">
        <v>1750.23</v>
      </c>
      <c r="N1851" s="24">
        <f>_xlfn.XLOOKUP(Snitch_Fashion_Sales_cleaned!$J1851,Table2[City],Table2[City_Key],"not found")</f>
        <v>3</v>
      </c>
      <c r="O1851" s="23">
        <f>_xlfn.XLOOKUP(Snitch_Fashion_Sales_cleaned!$D1851,Table4[Product_Name],Table4[Product_Key],"not found")</f>
        <v>8</v>
      </c>
      <c r="P1851" s="32">
        <f>_xlfn.XLOOKUP(Snitch_Fashion_Sales_cleaned!$I1851,Table3[Order_Date],Table3[Date_Key])</f>
        <v>5</v>
      </c>
    </row>
    <row r="1852" spans="1:16" x14ac:dyDescent="0.3">
      <c r="A1852" s="27">
        <v>2850</v>
      </c>
      <c r="B1852" s="25" t="s">
        <v>1879</v>
      </c>
      <c r="C1852" s="25" t="s">
        <v>13</v>
      </c>
      <c r="D1852" s="26" t="s">
        <v>14</v>
      </c>
      <c r="E1852" s="27">
        <v>4</v>
      </c>
      <c r="F1852" s="28">
        <v>2687.96</v>
      </c>
      <c r="G1852" s="29">
        <v>0.51</v>
      </c>
      <c r="H1852" s="28">
        <f t="shared" si="58"/>
        <v>10751.84</v>
      </c>
      <c r="I1852" s="30">
        <v>45559</v>
      </c>
      <c r="J1852" s="26" t="s">
        <v>15</v>
      </c>
      <c r="K1852" s="26" t="s">
        <v>23</v>
      </c>
      <c r="L1852" s="31">
        <f t="shared" si="59"/>
        <v>5268.4016000000001</v>
      </c>
      <c r="M1852" s="31">
        <v>2288</v>
      </c>
      <c r="N1852" s="22">
        <f>_xlfn.XLOOKUP(Snitch_Fashion_Sales_cleaned!$J1852,Table2[City],Table2[City_Key],"not found")</f>
        <v>1</v>
      </c>
      <c r="O1852" s="21">
        <f>_xlfn.XLOOKUP(Snitch_Fashion_Sales_cleaned!$D1852,Table4[Product_Name],Table4[Product_Key],"not found")</f>
        <v>1</v>
      </c>
      <c r="P1852" s="25">
        <f>_xlfn.XLOOKUP(Snitch_Fashion_Sales_cleaned!$I1852,Table3[Order_Date],Table3[Date_Key])</f>
        <v>323</v>
      </c>
    </row>
    <row r="1853" spans="1:16" x14ac:dyDescent="0.3">
      <c r="A1853" s="34">
        <v>2851</v>
      </c>
      <c r="B1853" s="32" t="s">
        <v>1880</v>
      </c>
      <c r="C1853" s="32" t="s">
        <v>36</v>
      </c>
      <c r="D1853" s="33" t="s">
        <v>37</v>
      </c>
      <c r="E1853" s="34">
        <v>4</v>
      </c>
      <c r="F1853" s="35">
        <v>1525.28</v>
      </c>
      <c r="G1853" s="36">
        <v>0.51</v>
      </c>
      <c r="H1853" s="35">
        <f t="shared" si="58"/>
        <v>6101.12</v>
      </c>
      <c r="I1853" s="37">
        <v>45543</v>
      </c>
      <c r="J1853" s="33" t="s">
        <v>52</v>
      </c>
      <c r="K1853" s="33" t="s">
        <v>16</v>
      </c>
      <c r="L1853" s="38">
        <f t="shared" si="59"/>
        <v>2989.5488</v>
      </c>
      <c r="M1853" s="38">
        <v>-560.49</v>
      </c>
      <c r="N1853" s="24">
        <f>_xlfn.XLOOKUP(Snitch_Fashion_Sales_cleaned!$J1853,Table2[City],Table2[City_Key],"not found")</f>
        <v>5</v>
      </c>
      <c r="O1853" s="23">
        <f>_xlfn.XLOOKUP(Snitch_Fashion_Sales_cleaned!$D1853,Table4[Product_Name],Table4[Product_Key],"not found")</f>
        <v>7</v>
      </c>
      <c r="P1853" s="32">
        <f>_xlfn.XLOOKUP(Snitch_Fashion_Sales_cleaned!$I1853,Table3[Order_Date],Table3[Date_Key])</f>
        <v>65</v>
      </c>
    </row>
    <row r="1854" spans="1:16" x14ac:dyDescent="0.3">
      <c r="A1854" s="27">
        <v>2852</v>
      </c>
      <c r="B1854" s="25" t="s">
        <v>1881</v>
      </c>
      <c r="C1854" s="25" t="s">
        <v>25</v>
      </c>
      <c r="D1854" s="26" t="s">
        <v>82</v>
      </c>
      <c r="E1854" s="27">
        <v>3</v>
      </c>
      <c r="F1854" s="28">
        <v>1816.76</v>
      </c>
      <c r="G1854" s="29">
        <v>0.51</v>
      </c>
      <c r="H1854" s="28">
        <f t="shared" si="58"/>
        <v>5450.28</v>
      </c>
      <c r="I1854" s="30">
        <v>45647</v>
      </c>
      <c r="J1854" s="26" t="s">
        <v>22</v>
      </c>
      <c r="K1854" s="26" t="s">
        <v>23</v>
      </c>
      <c r="L1854" s="31">
        <f t="shared" si="59"/>
        <v>2670.6371999999997</v>
      </c>
      <c r="M1854" s="31">
        <v>630.13</v>
      </c>
      <c r="N1854" s="22">
        <f>_xlfn.XLOOKUP(Snitch_Fashion_Sales_cleaned!$J1854,Table2[City],Table2[City_Key],"not found")</f>
        <v>3</v>
      </c>
      <c r="O1854" s="21">
        <f>_xlfn.XLOOKUP(Snitch_Fashion_Sales_cleaned!$D1854,Table4[Product_Name],Table4[Product_Key],"not found")</f>
        <v>18</v>
      </c>
      <c r="P1854" s="25">
        <f>_xlfn.XLOOKUP(Snitch_Fashion_Sales_cleaned!$I1854,Table3[Order_Date],Table3[Date_Key])</f>
        <v>5</v>
      </c>
    </row>
    <row r="1855" spans="1:16" x14ac:dyDescent="0.3">
      <c r="A1855" s="34">
        <v>2853</v>
      </c>
      <c r="B1855" s="32" t="s">
        <v>1882</v>
      </c>
      <c r="C1855" s="32" t="s">
        <v>31</v>
      </c>
      <c r="D1855" s="33" t="s">
        <v>78</v>
      </c>
      <c r="E1855" s="34">
        <v>4</v>
      </c>
      <c r="F1855" s="35">
        <v>1212.44</v>
      </c>
      <c r="G1855" s="36">
        <v>0.89</v>
      </c>
      <c r="H1855" s="35">
        <f t="shared" si="58"/>
        <v>4849.76</v>
      </c>
      <c r="I1855" s="37">
        <v>45860</v>
      </c>
      <c r="J1855" s="33" t="s">
        <v>22</v>
      </c>
      <c r="K1855" s="33" t="s">
        <v>16</v>
      </c>
      <c r="L1855" s="38">
        <f t="shared" si="59"/>
        <v>533.47359999999992</v>
      </c>
      <c r="M1855" s="38">
        <v>175.39</v>
      </c>
      <c r="N1855" s="24">
        <f>_xlfn.XLOOKUP(Snitch_Fashion_Sales_cleaned!$J1855,Table2[City],Table2[City_Key],"not found")</f>
        <v>3</v>
      </c>
      <c r="O1855" s="23">
        <f>_xlfn.XLOOKUP(Snitch_Fashion_Sales_cleaned!$D1855,Table4[Product_Name],Table4[Product_Key],"not found")</f>
        <v>17</v>
      </c>
      <c r="P1855" s="32">
        <f>_xlfn.XLOOKUP(Snitch_Fashion_Sales_cleaned!$I1855,Table3[Order_Date],Table3[Date_Key])</f>
        <v>244</v>
      </c>
    </row>
    <row r="1856" spans="1:16" x14ac:dyDescent="0.3">
      <c r="A1856" s="27">
        <v>2854</v>
      </c>
      <c r="B1856" s="25" t="s">
        <v>1883</v>
      </c>
      <c r="C1856" s="25" t="s">
        <v>13</v>
      </c>
      <c r="D1856" s="26" t="s">
        <v>14</v>
      </c>
      <c r="E1856" s="27">
        <v>4</v>
      </c>
      <c r="F1856" s="28">
        <v>3303.02</v>
      </c>
      <c r="G1856" s="29">
        <v>0.7</v>
      </c>
      <c r="H1856" s="28">
        <f t="shared" si="58"/>
        <v>13212.08</v>
      </c>
      <c r="I1856" s="30">
        <v>45647</v>
      </c>
      <c r="J1856" s="26" t="s">
        <v>22</v>
      </c>
      <c r="K1856" s="26" t="s">
        <v>23</v>
      </c>
      <c r="L1856" s="31">
        <f t="shared" si="59"/>
        <v>3963.6240000000007</v>
      </c>
      <c r="M1856" s="31">
        <v>276.29000000000002</v>
      </c>
      <c r="N1856" s="22">
        <f>_xlfn.XLOOKUP(Snitch_Fashion_Sales_cleaned!$J1856,Table2[City],Table2[City_Key],"not found")</f>
        <v>3</v>
      </c>
      <c r="O1856" s="21">
        <f>_xlfn.XLOOKUP(Snitch_Fashion_Sales_cleaned!$D1856,Table4[Product_Name],Table4[Product_Key],"not found")</f>
        <v>1</v>
      </c>
      <c r="P1856" s="25">
        <f>_xlfn.XLOOKUP(Snitch_Fashion_Sales_cleaned!$I1856,Table3[Order_Date],Table3[Date_Key])</f>
        <v>5</v>
      </c>
    </row>
    <row r="1857" spans="1:16" x14ac:dyDescent="0.3">
      <c r="A1857" s="34">
        <v>2855</v>
      </c>
      <c r="B1857" s="32" t="s">
        <v>1884</v>
      </c>
      <c r="C1857" s="32" t="s">
        <v>13</v>
      </c>
      <c r="D1857" s="33" t="s">
        <v>14</v>
      </c>
      <c r="E1857" s="34">
        <v>4</v>
      </c>
      <c r="F1857" s="35">
        <v>1831.4</v>
      </c>
      <c r="G1857" s="36">
        <v>0.51</v>
      </c>
      <c r="H1857" s="35">
        <f t="shared" si="58"/>
        <v>7325.6</v>
      </c>
      <c r="I1857" s="37">
        <v>45584</v>
      </c>
      <c r="J1857" s="33" t="s">
        <v>52</v>
      </c>
      <c r="K1857" s="33" t="s">
        <v>23</v>
      </c>
      <c r="L1857" s="38">
        <f t="shared" si="59"/>
        <v>3589.5440000000003</v>
      </c>
      <c r="M1857" s="38">
        <v>719.33</v>
      </c>
      <c r="N1857" s="24">
        <f>_xlfn.XLOOKUP(Snitch_Fashion_Sales_cleaned!$J1857,Table2[City],Table2[City_Key],"not found")</f>
        <v>5</v>
      </c>
      <c r="O1857" s="23">
        <f>_xlfn.XLOOKUP(Snitch_Fashion_Sales_cleaned!$D1857,Table4[Product_Name],Table4[Product_Key],"not found")</f>
        <v>1</v>
      </c>
      <c r="P1857" s="32">
        <f>_xlfn.XLOOKUP(Snitch_Fashion_Sales_cleaned!$I1857,Table3[Order_Date],Table3[Date_Key])</f>
        <v>276</v>
      </c>
    </row>
    <row r="1858" spans="1:16" x14ac:dyDescent="0.3">
      <c r="A1858" s="27">
        <v>2856</v>
      </c>
      <c r="B1858" s="25" t="s">
        <v>1885</v>
      </c>
      <c r="C1858" s="25" t="s">
        <v>36</v>
      </c>
      <c r="D1858" s="26" t="s">
        <v>59</v>
      </c>
      <c r="E1858" s="27">
        <v>3</v>
      </c>
      <c r="F1858" s="28">
        <v>2765.26</v>
      </c>
      <c r="G1858" s="29">
        <v>0.51</v>
      </c>
      <c r="H1858" s="28">
        <f t="shared" si="58"/>
        <v>8295.7800000000007</v>
      </c>
      <c r="I1858" s="30">
        <v>45647</v>
      </c>
      <c r="J1858" s="26" t="s">
        <v>52</v>
      </c>
      <c r="K1858" s="26" t="s">
        <v>23</v>
      </c>
      <c r="L1858" s="31">
        <f t="shared" si="59"/>
        <v>4064.9322000000002</v>
      </c>
      <c r="M1858" s="31">
        <v>1448.8</v>
      </c>
      <c r="N1858" s="22">
        <f>_xlfn.XLOOKUP(Snitch_Fashion_Sales_cleaned!$J1858,Table2[City],Table2[City_Key],"not found")</f>
        <v>5</v>
      </c>
      <c r="O1858" s="21">
        <f>_xlfn.XLOOKUP(Snitch_Fashion_Sales_cleaned!$D1858,Table4[Product_Name],Table4[Product_Key],"not found")</f>
        <v>13</v>
      </c>
      <c r="P1858" s="25">
        <f>_xlfn.XLOOKUP(Snitch_Fashion_Sales_cleaned!$I1858,Table3[Order_Date],Table3[Date_Key])</f>
        <v>5</v>
      </c>
    </row>
    <row r="1859" spans="1:16" x14ac:dyDescent="0.3">
      <c r="A1859" s="34">
        <v>2857</v>
      </c>
      <c r="B1859" s="32" t="s">
        <v>1886</v>
      </c>
      <c r="C1859" s="32" t="s">
        <v>13</v>
      </c>
      <c r="D1859" s="33" t="s">
        <v>46</v>
      </c>
      <c r="E1859" s="34">
        <v>5</v>
      </c>
      <c r="F1859" s="35">
        <v>2891.64</v>
      </c>
      <c r="G1859" s="36">
        <v>0.51</v>
      </c>
      <c r="H1859" s="35">
        <f t="shared" si="58"/>
        <v>14458.199999999999</v>
      </c>
      <c r="I1859" s="37">
        <v>45777</v>
      </c>
      <c r="J1859" s="33" t="s">
        <v>22</v>
      </c>
      <c r="K1859" s="33" t="s">
        <v>23</v>
      </c>
      <c r="L1859" s="38">
        <f t="shared" si="59"/>
        <v>7084.5179999999991</v>
      </c>
      <c r="M1859" s="38">
        <v>-625.91999999999996</v>
      </c>
      <c r="N1859" s="24">
        <f>_xlfn.XLOOKUP(Snitch_Fashion_Sales_cleaned!$J1859,Table2[City],Table2[City_Key],"not found")</f>
        <v>3</v>
      </c>
      <c r="O1859" s="23">
        <f>_xlfn.XLOOKUP(Snitch_Fashion_Sales_cleaned!$D1859,Table4[Product_Name],Table4[Product_Key],"not found")</f>
        <v>10</v>
      </c>
      <c r="P1859" s="32">
        <f>_xlfn.XLOOKUP(Snitch_Fashion_Sales_cleaned!$I1859,Table3[Order_Date],Table3[Date_Key])</f>
        <v>282</v>
      </c>
    </row>
    <row r="1860" spans="1:16" x14ac:dyDescent="0.3">
      <c r="A1860" s="27">
        <v>2858</v>
      </c>
      <c r="B1860" s="25" t="s">
        <v>1887</v>
      </c>
      <c r="C1860" s="25" t="s">
        <v>13</v>
      </c>
      <c r="D1860" s="26" t="s">
        <v>34</v>
      </c>
      <c r="E1860" s="27">
        <v>3</v>
      </c>
      <c r="F1860" s="28">
        <v>3270.29</v>
      </c>
      <c r="G1860" s="29">
        <v>0.51</v>
      </c>
      <c r="H1860" s="28">
        <f t="shared" si="58"/>
        <v>9810.869999999999</v>
      </c>
      <c r="I1860" s="30">
        <v>45695</v>
      </c>
      <c r="J1860" s="26" t="s">
        <v>43</v>
      </c>
      <c r="K1860" s="26" t="s">
        <v>16</v>
      </c>
      <c r="L1860" s="31">
        <f t="shared" si="59"/>
        <v>4807.3262999999997</v>
      </c>
      <c r="M1860" s="31">
        <v>-539.25</v>
      </c>
      <c r="N1860" s="22">
        <f>_xlfn.XLOOKUP(Snitch_Fashion_Sales_cleaned!$J1860,Table2[City],Table2[City_Key],"not found")</f>
        <v>6</v>
      </c>
      <c r="O1860" s="21">
        <f>_xlfn.XLOOKUP(Snitch_Fashion_Sales_cleaned!$D1860,Table4[Product_Name],Table4[Product_Key],"not found")</f>
        <v>6</v>
      </c>
      <c r="P1860" s="25">
        <f>_xlfn.XLOOKUP(Snitch_Fashion_Sales_cleaned!$I1860,Table3[Order_Date],Table3[Date_Key])</f>
        <v>324</v>
      </c>
    </row>
    <row r="1861" spans="1:16" x14ac:dyDescent="0.3">
      <c r="A1861" s="34">
        <v>2859</v>
      </c>
      <c r="B1861" s="32" t="s">
        <v>1888</v>
      </c>
      <c r="C1861" s="32" t="s">
        <v>28</v>
      </c>
      <c r="D1861" s="33" t="s">
        <v>39</v>
      </c>
      <c r="E1861" s="34">
        <v>3</v>
      </c>
      <c r="F1861" s="35">
        <v>2577.6350000000002</v>
      </c>
      <c r="G1861" s="36">
        <v>0.78</v>
      </c>
      <c r="H1861" s="35">
        <f t="shared" si="58"/>
        <v>7732.9050000000007</v>
      </c>
      <c r="I1861" s="37">
        <v>45451</v>
      </c>
      <c r="J1861" s="33" t="s">
        <v>2540</v>
      </c>
      <c r="K1861" s="33" t="s">
        <v>23</v>
      </c>
      <c r="L1861" s="38">
        <f t="shared" si="59"/>
        <v>1701.2391</v>
      </c>
      <c r="M1861" s="38">
        <v>1686.29</v>
      </c>
      <c r="N1861" s="24">
        <f>_xlfn.XLOOKUP(Snitch_Fashion_Sales_cleaned!$J1861,Table2[City],Table2[City_Key],"not found")</f>
        <v>4</v>
      </c>
      <c r="O1861" s="23">
        <f>_xlfn.XLOOKUP(Snitch_Fashion_Sales_cleaned!$D1861,Table4[Product_Name],Table4[Product_Key],"not found")</f>
        <v>8</v>
      </c>
      <c r="P1861" s="32">
        <f>_xlfn.XLOOKUP(Snitch_Fashion_Sales_cleaned!$I1861,Table3[Order_Date],Table3[Date_Key])</f>
        <v>520</v>
      </c>
    </row>
    <row r="1862" spans="1:16" x14ac:dyDescent="0.3">
      <c r="A1862" s="27">
        <v>2860</v>
      </c>
      <c r="B1862" s="25" t="s">
        <v>1889</v>
      </c>
      <c r="C1862" s="25" t="s">
        <v>13</v>
      </c>
      <c r="D1862" s="26" t="s">
        <v>46</v>
      </c>
      <c r="E1862" s="27">
        <v>4</v>
      </c>
      <c r="F1862" s="28">
        <v>4428.24</v>
      </c>
      <c r="G1862" s="29">
        <v>0.09</v>
      </c>
      <c r="H1862" s="28">
        <f t="shared" ref="H1862:H1925" si="60">E1862*F1862</f>
        <v>17712.96</v>
      </c>
      <c r="I1862" s="30">
        <v>45647</v>
      </c>
      <c r="J1862" s="26" t="s">
        <v>22</v>
      </c>
      <c r="K1862" s="26" t="s">
        <v>23</v>
      </c>
      <c r="L1862" s="31">
        <f t="shared" ref="L1862:L1925" si="61">H1862*(1-G1862)</f>
        <v>16118.793599999999</v>
      </c>
      <c r="M1862" s="31">
        <v>-641.59</v>
      </c>
      <c r="N1862" s="22">
        <f>_xlfn.XLOOKUP(Snitch_Fashion_Sales_cleaned!$J1862,Table2[City],Table2[City_Key],"not found")</f>
        <v>3</v>
      </c>
      <c r="O1862" s="21">
        <f>_xlfn.XLOOKUP(Snitch_Fashion_Sales_cleaned!$D1862,Table4[Product_Name],Table4[Product_Key],"not found")</f>
        <v>10</v>
      </c>
      <c r="P1862" s="25">
        <f>_xlfn.XLOOKUP(Snitch_Fashion_Sales_cleaned!$I1862,Table3[Order_Date],Table3[Date_Key])</f>
        <v>5</v>
      </c>
    </row>
    <row r="1863" spans="1:16" x14ac:dyDescent="0.3">
      <c r="A1863" s="34">
        <v>2861</v>
      </c>
      <c r="B1863" s="32" t="s">
        <v>1890</v>
      </c>
      <c r="C1863" s="32" t="s">
        <v>36</v>
      </c>
      <c r="D1863" s="33" t="s">
        <v>55</v>
      </c>
      <c r="E1863" s="34">
        <v>4</v>
      </c>
      <c r="F1863" s="35">
        <v>2731.6350000000002</v>
      </c>
      <c r="G1863" s="36">
        <v>0.06</v>
      </c>
      <c r="H1863" s="35">
        <f t="shared" si="60"/>
        <v>10926.54</v>
      </c>
      <c r="I1863" s="37">
        <v>45839</v>
      </c>
      <c r="J1863" s="33" t="s">
        <v>15</v>
      </c>
      <c r="K1863" s="33" t="s">
        <v>23</v>
      </c>
      <c r="L1863" s="38">
        <f t="shared" si="61"/>
        <v>10270.9476</v>
      </c>
      <c r="M1863" s="38">
        <v>-936.94</v>
      </c>
      <c r="N1863" s="24">
        <f>_xlfn.XLOOKUP(Snitch_Fashion_Sales_cleaned!$J1863,Table2[City],Table2[City_Key],"not found")</f>
        <v>1</v>
      </c>
      <c r="O1863" s="23">
        <f>_xlfn.XLOOKUP(Snitch_Fashion_Sales_cleaned!$D1863,Table4[Product_Name],Table4[Product_Key],"not found")</f>
        <v>12</v>
      </c>
      <c r="P1863" s="32">
        <f>_xlfn.XLOOKUP(Snitch_Fashion_Sales_cleaned!$I1863,Table3[Order_Date],Table3[Date_Key])</f>
        <v>200</v>
      </c>
    </row>
    <row r="1864" spans="1:16" x14ac:dyDescent="0.3">
      <c r="A1864" s="27">
        <v>2862</v>
      </c>
      <c r="B1864" s="25" t="s">
        <v>1891</v>
      </c>
      <c r="C1864" s="25" t="s">
        <v>13</v>
      </c>
      <c r="D1864" s="26" t="s">
        <v>46</v>
      </c>
      <c r="E1864" s="27">
        <v>4</v>
      </c>
      <c r="F1864" s="28">
        <v>2891.64</v>
      </c>
      <c r="G1864" s="29">
        <v>0.51</v>
      </c>
      <c r="H1864" s="28">
        <f t="shared" si="60"/>
        <v>11566.56</v>
      </c>
      <c r="I1864" s="30">
        <v>45647</v>
      </c>
      <c r="J1864" s="26" t="s">
        <v>43</v>
      </c>
      <c r="K1864" s="26" t="s">
        <v>16</v>
      </c>
      <c r="L1864" s="31">
        <f t="shared" si="61"/>
        <v>5667.6143999999995</v>
      </c>
      <c r="M1864" s="31">
        <v>824.88</v>
      </c>
      <c r="N1864" s="22">
        <f>_xlfn.XLOOKUP(Snitch_Fashion_Sales_cleaned!$J1864,Table2[City],Table2[City_Key],"not found")</f>
        <v>6</v>
      </c>
      <c r="O1864" s="21">
        <f>_xlfn.XLOOKUP(Snitch_Fashion_Sales_cleaned!$D1864,Table4[Product_Name],Table4[Product_Key],"not found")</f>
        <v>10</v>
      </c>
      <c r="P1864" s="25">
        <f>_xlfn.XLOOKUP(Snitch_Fashion_Sales_cleaned!$I1864,Table3[Order_Date],Table3[Date_Key])</f>
        <v>5</v>
      </c>
    </row>
    <row r="1865" spans="1:16" x14ac:dyDescent="0.3">
      <c r="A1865" s="34">
        <v>2863</v>
      </c>
      <c r="B1865" s="32" t="s">
        <v>1892</v>
      </c>
      <c r="C1865" s="32" t="s">
        <v>25</v>
      </c>
      <c r="D1865" s="33" t="s">
        <v>62</v>
      </c>
      <c r="E1865" s="34">
        <v>6</v>
      </c>
      <c r="F1865" s="35">
        <v>1459.76</v>
      </c>
      <c r="G1865" s="36">
        <v>0.51</v>
      </c>
      <c r="H1865" s="35">
        <f t="shared" si="60"/>
        <v>8758.56</v>
      </c>
      <c r="I1865" s="37">
        <v>45425</v>
      </c>
      <c r="J1865" s="33" t="s">
        <v>2540</v>
      </c>
      <c r="K1865" s="33" t="s">
        <v>23</v>
      </c>
      <c r="L1865" s="38">
        <f t="shared" si="61"/>
        <v>4291.6943999999994</v>
      </c>
      <c r="M1865" s="38">
        <v>2541</v>
      </c>
      <c r="N1865" s="24">
        <f>_xlfn.XLOOKUP(Snitch_Fashion_Sales_cleaned!$J1865,Table2[City],Table2[City_Key],"not found")</f>
        <v>4</v>
      </c>
      <c r="O1865" s="23">
        <f>_xlfn.XLOOKUP(Snitch_Fashion_Sales_cleaned!$D1865,Table4[Product_Name],Table4[Product_Key],"not found")</f>
        <v>14</v>
      </c>
      <c r="P1865" s="32">
        <f>_xlfn.XLOOKUP(Snitch_Fashion_Sales_cleaned!$I1865,Table3[Order_Date],Table3[Date_Key])</f>
        <v>164</v>
      </c>
    </row>
    <row r="1866" spans="1:16" x14ac:dyDescent="0.3">
      <c r="A1866" s="27">
        <v>2864</v>
      </c>
      <c r="B1866" s="25" t="s">
        <v>1893</v>
      </c>
      <c r="C1866" s="25" t="s">
        <v>20</v>
      </c>
      <c r="D1866" s="26" t="s">
        <v>118</v>
      </c>
      <c r="E1866" s="27">
        <v>5</v>
      </c>
      <c r="F1866" s="28">
        <v>2535.29</v>
      </c>
      <c r="G1866" s="29">
        <v>0.51</v>
      </c>
      <c r="H1866" s="28">
        <f t="shared" si="60"/>
        <v>12676.45</v>
      </c>
      <c r="I1866" s="30">
        <v>45500</v>
      </c>
      <c r="J1866" s="26" t="s">
        <v>2540</v>
      </c>
      <c r="K1866" s="26" t="s">
        <v>23</v>
      </c>
      <c r="L1866" s="31">
        <f t="shared" si="61"/>
        <v>6211.4605000000001</v>
      </c>
      <c r="M1866" s="31">
        <v>-456.39</v>
      </c>
      <c r="N1866" s="22">
        <f>_xlfn.XLOOKUP(Snitch_Fashion_Sales_cleaned!$J1866,Table2[City],Table2[City_Key],"not found")</f>
        <v>4</v>
      </c>
      <c r="O1866" s="21">
        <f>_xlfn.XLOOKUP(Snitch_Fashion_Sales_cleaned!$D1866,Table4[Product_Name],Table4[Product_Key],"not found")</f>
        <v>23</v>
      </c>
      <c r="P1866" s="25">
        <f>_xlfn.XLOOKUP(Snitch_Fashion_Sales_cleaned!$I1866,Table3[Order_Date],Table3[Date_Key])</f>
        <v>216</v>
      </c>
    </row>
    <row r="1867" spans="1:16" x14ac:dyDescent="0.3">
      <c r="A1867" s="34">
        <v>2865</v>
      </c>
      <c r="B1867" s="32" t="s">
        <v>1618</v>
      </c>
      <c r="C1867" s="32" t="s">
        <v>13</v>
      </c>
      <c r="D1867" s="33" t="s">
        <v>34</v>
      </c>
      <c r="E1867" s="34">
        <v>3</v>
      </c>
      <c r="F1867" s="35">
        <v>2043.3</v>
      </c>
      <c r="G1867" s="36">
        <v>0.33</v>
      </c>
      <c r="H1867" s="35">
        <f t="shared" si="60"/>
        <v>6129.9</v>
      </c>
      <c r="I1867" s="37">
        <v>45647</v>
      </c>
      <c r="J1867" s="33" t="s">
        <v>18</v>
      </c>
      <c r="K1867" s="33" t="s">
        <v>23</v>
      </c>
      <c r="L1867" s="38">
        <f t="shared" si="61"/>
        <v>4107.0329999999994</v>
      </c>
      <c r="M1867" s="38">
        <v>-389.95</v>
      </c>
      <c r="N1867" s="24">
        <f>_xlfn.XLOOKUP(Snitch_Fashion_Sales_cleaned!$J1867,Table2[City],Table2[City_Key],"not found")</f>
        <v>2</v>
      </c>
      <c r="O1867" s="23">
        <f>_xlfn.XLOOKUP(Snitch_Fashion_Sales_cleaned!$D1867,Table4[Product_Name],Table4[Product_Key],"not found")</f>
        <v>6</v>
      </c>
      <c r="P1867" s="32">
        <f>_xlfn.XLOOKUP(Snitch_Fashion_Sales_cleaned!$I1867,Table3[Order_Date],Table3[Date_Key])</f>
        <v>5</v>
      </c>
    </row>
    <row r="1868" spans="1:16" x14ac:dyDescent="0.3">
      <c r="A1868" s="27">
        <v>2866</v>
      </c>
      <c r="B1868" s="25" t="s">
        <v>1894</v>
      </c>
      <c r="C1868" s="25" t="s">
        <v>13</v>
      </c>
      <c r="D1868" s="26" t="s">
        <v>98</v>
      </c>
      <c r="E1868" s="27">
        <v>5</v>
      </c>
      <c r="F1868" s="28">
        <v>2750.33</v>
      </c>
      <c r="G1868" s="29">
        <v>0.51</v>
      </c>
      <c r="H1868" s="28">
        <f t="shared" si="60"/>
        <v>13751.65</v>
      </c>
      <c r="I1868" s="30">
        <v>45730</v>
      </c>
      <c r="J1868" s="26" t="s">
        <v>2540</v>
      </c>
      <c r="K1868" s="26" t="s">
        <v>23</v>
      </c>
      <c r="L1868" s="31">
        <f t="shared" si="61"/>
        <v>6738.3085000000001</v>
      </c>
      <c r="M1868" s="31">
        <v>883.66</v>
      </c>
      <c r="N1868" s="22">
        <f>_xlfn.XLOOKUP(Snitch_Fashion_Sales_cleaned!$J1868,Table2[City],Table2[City_Key],"not found")</f>
        <v>4</v>
      </c>
      <c r="O1868" s="21">
        <f>_xlfn.XLOOKUP(Snitch_Fashion_Sales_cleaned!$D1868,Table4[Product_Name],Table4[Product_Key],"not found")</f>
        <v>21</v>
      </c>
      <c r="P1868" s="25">
        <f>_xlfn.XLOOKUP(Snitch_Fashion_Sales_cleaned!$I1868,Table3[Order_Date],Table3[Date_Key])</f>
        <v>481</v>
      </c>
    </row>
    <row r="1869" spans="1:16" x14ac:dyDescent="0.3">
      <c r="A1869" s="34">
        <v>2867</v>
      </c>
      <c r="B1869" s="32" t="s">
        <v>1895</v>
      </c>
      <c r="C1869" s="32" t="s">
        <v>13</v>
      </c>
      <c r="D1869" s="33" t="s">
        <v>98</v>
      </c>
      <c r="E1869" s="34">
        <v>5</v>
      </c>
      <c r="F1869" s="35">
        <v>2750.33</v>
      </c>
      <c r="G1869" s="36">
        <v>0.51</v>
      </c>
      <c r="H1869" s="35">
        <f t="shared" si="60"/>
        <v>13751.65</v>
      </c>
      <c r="I1869" s="37">
        <v>45647</v>
      </c>
      <c r="J1869" s="33" t="s">
        <v>15</v>
      </c>
      <c r="K1869" s="33" t="s">
        <v>16</v>
      </c>
      <c r="L1869" s="38">
        <f t="shared" si="61"/>
        <v>6738.3085000000001</v>
      </c>
      <c r="M1869" s="38">
        <v>478.82</v>
      </c>
      <c r="N1869" s="24">
        <f>_xlfn.XLOOKUP(Snitch_Fashion_Sales_cleaned!$J1869,Table2[City],Table2[City_Key],"not found")</f>
        <v>1</v>
      </c>
      <c r="O1869" s="23">
        <f>_xlfn.XLOOKUP(Snitch_Fashion_Sales_cleaned!$D1869,Table4[Product_Name],Table4[Product_Key],"not found")</f>
        <v>21</v>
      </c>
      <c r="P1869" s="32">
        <f>_xlfn.XLOOKUP(Snitch_Fashion_Sales_cleaned!$I1869,Table3[Order_Date],Table3[Date_Key])</f>
        <v>5</v>
      </c>
    </row>
    <row r="1870" spans="1:16" x14ac:dyDescent="0.3">
      <c r="A1870" s="27">
        <v>2868</v>
      </c>
      <c r="B1870" s="25" t="s">
        <v>1896</v>
      </c>
      <c r="C1870" s="25" t="s">
        <v>28</v>
      </c>
      <c r="D1870" s="26" t="s">
        <v>39</v>
      </c>
      <c r="E1870" s="27">
        <v>4</v>
      </c>
      <c r="F1870" s="28">
        <v>1392.21</v>
      </c>
      <c r="G1870" s="29">
        <v>0.51</v>
      </c>
      <c r="H1870" s="28">
        <f t="shared" si="60"/>
        <v>5568.84</v>
      </c>
      <c r="I1870" s="30">
        <v>45611</v>
      </c>
      <c r="J1870" s="26" t="s">
        <v>2540</v>
      </c>
      <c r="K1870" s="26" t="s">
        <v>23</v>
      </c>
      <c r="L1870" s="31">
        <f t="shared" si="61"/>
        <v>2728.7316000000001</v>
      </c>
      <c r="M1870" s="31">
        <v>758.3</v>
      </c>
      <c r="N1870" s="22">
        <f>_xlfn.XLOOKUP(Snitch_Fashion_Sales_cleaned!$J1870,Table2[City],Table2[City_Key],"not found")</f>
        <v>4</v>
      </c>
      <c r="O1870" s="21">
        <f>_xlfn.XLOOKUP(Snitch_Fashion_Sales_cleaned!$D1870,Table4[Product_Name],Table4[Product_Key],"not found")</f>
        <v>8</v>
      </c>
      <c r="P1870" s="25">
        <f>_xlfn.XLOOKUP(Snitch_Fashion_Sales_cleaned!$I1870,Table3[Order_Date],Table3[Date_Key])</f>
        <v>27</v>
      </c>
    </row>
    <row r="1871" spans="1:16" x14ac:dyDescent="0.3">
      <c r="A1871" s="34">
        <v>2869</v>
      </c>
      <c r="B1871" s="32" t="s">
        <v>1897</v>
      </c>
      <c r="C1871" s="32" t="s">
        <v>36</v>
      </c>
      <c r="D1871" s="33" t="s">
        <v>37</v>
      </c>
      <c r="E1871" s="34">
        <v>4</v>
      </c>
      <c r="F1871" s="35">
        <v>4238.91</v>
      </c>
      <c r="G1871" s="36">
        <v>0.51</v>
      </c>
      <c r="H1871" s="35">
        <f t="shared" si="60"/>
        <v>16955.64</v>
      </c>
      <c r="I1871" s="37">
        <v>45647</v>
      </c>
      <c r="J1871" s="33" t="s">
        <v>52</v>
      </c>
      <c r="K1871" s="33" t="s">
        <v>23</v>
      </c>
      <c r="L1871" s="38">
        <f t="shared" si="61"/>
        <v>8308.2636000000002</v>
      </c>
      <c r="M1871" s="38">
        <v>-746.44</v>
      </c>
      <c r="N1871" s="24">
        <f>_xlfn.XLOOKUP(Snitch_Fashion_Sales_cleaned!$J1871,Table2[City],Table2[City_Key],"not found")</f>
        <v>5</v>
      </c>
      <c r="O1871" s="23">
        <f>_xlfn.XLOOKUP(Snitch_Fashion_Sales_cleaned!$D1871,Table4[Product_Name],Table4[Product_Key],"not found")</f>
        <v>7</v>
      </c>
      <c r="P1871" s="32">
        <f>_xlfn.XLOOKUP(Snitch_Fashion_Sales_cleaned!$I1871,Table3[Order_Date],Table3[Date_Key])</f>
        <v>5</v>
      </c>
    </row>
    <row r="1872" spans="1:16" x14ac:dyDescent="0.3">
      <c r="A1872" s="27">
        <v>2870</v>
      </c>
      <c r="B1872" s="25" t="s">
        <v>1898</v>
      </c>
      <c r="C1872" s="25" t="s">
        <v>13</v>
      </c>
      <c r="D1872" s="26" t="s">
        <v>98</v>
      </c>
      <c r="E1872" s="27">
        <v>2</v>
      </c>
      <c r="F1872" s="28">
        <v>839.34</v>
      </c>
      <c r="G1872" s="29">
        <v>0.51</v>
      </c>
      <c r="H1872" s="28">
        <f t="shared" si="60"/>
        <v>1678.68</v>
      </c>
      <c r="I1872" s="30">
        <v>45580</v>
      </c>
      <c r="J1872" s="26" t="s">
        <v>43</v>
      </c>
      <c r="K1872" s="26" t="s">
        <v>16</v>
      </c>
      <c r="L1872" s="31">
        <f t="shared" si="61"/>
        <v>822.55320000000006</v>
      </c>
      <c r="M1872" s="31">
        <v>367.87</v>
      </c>
      <c r="N1872" s="22">
        <f>_xlfn.XLOOKUP(Snitch_Fashion_Sales_cleaned!$J1872,Table2[City],Table2[City_Key],"not found")</f>
        <v>6</v>
      </c>
      <c r="O1872" s="21">
        <f>_xlfn.XLOOKUP(Snitch_Fashion_Sales_cleaned!$D1872,Table4[Product_Name],Table4[Product_Key],"not found")</f>
        <v>21</v>
      </c>
      <c r="P1872" s="25">
        <f>_xlfn.XLOOKUP(Snitch_Fashion_Sales_cleaned!$I1872,Table3[Order_Date],Table3[Date_Key])</f>
        <v>236</v>
      </c>
    </row>
    <row r="1873" spans="1:16" x14ac:dyDescent="0.3">
      <c r="A1873" s="34">
        <v>2871</v>
      </c>
      <c r="B1873" s="32" t="s">
        <v>1899</v>
      </c>
      <c r="C1873" s="32" t="s">
        <v>36</v>
      </c>
      <c r="D1873" s="33" t="s">
        <v>59</v>
      </c>
      <c r="E1873" s="34">
        <v>3</v>
      </c>
      <c r="F1873" s="35">
        <v>2765.26</v>
      </c>
      <c r="G1873" s="36">
        <v>0.51</v>
      </c>
      <c r="H1873" s="35">
        <f t="shared" si="60"/>
        <v>8295.7800000000007</v>
      </c>
      <c r="I1873" s="37">
        <v>45751</v>
      </c>
      <c r="J1873" s="33" t="s">
        <v>22</v>
      </c>
      <c r="K1873" s="33" t="s">
        <v>16</v>
      </c>
      <c r="L1873" s="38">
        <f t="shared" si="61"/>
        <v>4064.9322000000002</v>
      </c>
      <c r="M1873" s="38">
        <v>2126.04</v>
      </c>
      <c r="N1873" s="24">
        <f>_xlfn.XLOOKUP(Snitch_Fashion_Sales_cleaned!$J1873,Table2[City],Table2[City_Key],"not found")</f>
        <v>3</v>
      </c>
      <c r="O1873" s="23">
        <f>_xlfn.XLOOKUP(Snitch_Fashion_Sales_cleaned!$D1873,Table4[Product_Name],Table4[Product_Key],"not found")</f>
        <v>13</v>
      </c>
      <c r="P1873" s="32">
        <f>_xlfn.XLOOKUP(Snitch_Fashion_Sales_cleaned!$I1873,Table3[Order_Date],Table3[Date_Key])</f>
        <v>113</v>
      </c>
    </row>
    <row r="1874" spans="1:16" x14ac:dyDescent="0.3">
      <c r="A1874" s="27">
        <v>2872</v>
      </c>
      <c r="B1874" s="25" t="s">
        <v>1900</v>
      </c>
      <c r="C1874" s="25" t="s">
        <v>13</v>
      </c>
      <c r="D1874" s="26" t="s">
        <v>46</v>
      </c>
      <c r="E1874" s="27">
        <v>4</v>
      </c>
      <c r="F1874" s="28">
        <v>2891.64</v>
      </c>
      <c r="G1874" s="29">
        <v>0.51</v>
      </c>
      <c r="H1874" s="28">
        <f t="shared" si="60"/>
        <v>11566.56</v>
      </c>
      <c r="I1874" s="30">
        <v>45593</v>
      </c>
      <c r="J1874" s="26" t="s">
        <v>2540</v>
      </c>
      <c r="K1874" s="26" t="s">
        <v>23</v>
      </c>
      <c r="L1874" s="31">
        <f t="shared" si="61"/>
        <v>5667.6143999999995</v>
      </c>
      <c r="M1874" s="31">
        <v>148.19999999999999</v>
      </c>
      <c r="N1874" s="22">
        <f>_xlfn.XLOOKUP(Snitch_Fashion_Sales_cleaned!$J1874,Table2[City],Table2[City_Key],"not found")</f>
        <v>4</v>
      </c>
      <c r="O1874" s="21">
        <f>_xlfn.XLOOKUP(Snitch_Fashion_Sales_cleaned!$D1874,Table4[Product_Name],Table4[Product_Key],"not found")</f>
        <v>10</v>
      </c>
      <c r="P1874" s="25">
        <f>_xlfn.XLOOKUP(Snitch_Fashion_Sales_cleaned!$I1874,Table3[Order_Date],Table3[Date_Key])</f>
        <v>88</v>
      </c>
    </row>
    <row r="1875" spans="1:16" x14ac:dyDescent="0.3">
      <c r="A1875" s="34">
        <v>2873</v>
      </c>
      <c r="B1875" s="32" t="s">
        <v>1901</v>
      </c>
      <c r="C1875" s="32" t="s">
        <v>25</v>
      </c>
      <c r="D1875" s="33" t="s">
        <v>26</v>
      </c>
      <c r="E1875" s="34">
        <v>5</v>
      </c>
      <c r="F1875" s="35">
        <v>1354.14</v>
      </c>
      <c r="G1875" s="36">
        <v>0.51</v>
      </c>
      <c r="H1875" s="35">
        <f t="shared" si="60"/>
        <v>6770.7000000000007</v>
      </c>
      <c r="I1875" s="37">
        <v>45740</v>
      </c>
      <c r="J1875" s="33" t="s">
        <v>18</v>
      </c>
      <c r="K1875" s="33" t="s">
        <v>23</v>
      </c>
      <c r="L1875" s="38">
        <f t="shared" si="61"/>
        <v>3317.6430000000005</v>
      </c>
      <c r="M1875" s="38">
        <v>2535.62</v>
      </c>
      <c r="N1875" s="24">
        <f>_xlfn.XLOOKUP(Snitch_Fashion_Sales_cleaned!$J1875,Table2[City],Table2[City_Key],"not found")</f>
        <v>2</v>
      </c>
      <c r="O1875" s="23">
        <f>_xlfn.XLOOKUP(Snitch_Fashion_Sales_cleaned!$D1875,Table4[Product_Name],Table4[Product_Key],"not found")</f>
        <v>3</v>
      </c>
      <c r="P1875" s="32">
        <f>_xlfn.XLOOKUP(Snitch_Fashion_Sales_cleaned!$I1875,Table3[Order_Date],Table3[Date_Key])</f>
        <v>160</v>
      </c>
    </row>
    <row r="1876" spans="1:16" x14ac:dyDescent="0.3">
      <c r="A1876" s="27">
        <v>2874</v>
      </c>
      <c r="B1876" s="25" t="s">
        <v>655</v>
      </c>
      <c r="C1876" s="25" t="s">
        <v>13</v>
      </c>
      <c r="D1876" s="26" t="s">
        <v>34</v>
      </c>
      <c r="E1876" s="27">
        <v>3</v>
      </c>
      <c r="F1876" s="28">
        <v>3754.23</v>
      </c>
      <c r="G1876" s="29">
        <v>0.87</v>
      </c>
      <c r="H1876" s="28">
        <f t="shared" si="60"/>
        <v>11262.69</v>
      </c>
      <c r="I1876" s="30">
        <v>45561</v>
      </c>
      <c r="J1876" s="26" t="s">
        <v>22</v>
      </c>
      <c r="K1876" s="26" t="s">
        <v>23</v>
      </c>
      <c r="L1876" s="31">
        <f t="shared" si="61"/>
        <v>1464.1497000000002</v>
      </c>
      <c r="M1876" s="31">
        <v>-153.77000000000001</v>
      </c>
      <c r="N1876" s="22">
        <f>_xlfn.XLOOKUP(Snitch_Fashion_Sales_cleaned!$J1876,Table2[City],Table2[City_Key],"not found")</f>
        <v>3</v>
      </c>
      <c r="O1876" s="21">
        <f>_xlfn.XLOOKUP(Snitch_Fashion_Sales_cleaned!$D1876,Table4[Product_Name],Table4[Product_Key],"not found")</f>
        <v>6</v>
      </c>
      <c r="P1876" s="25">
        <f>_xlfn.XLOOKUP(Snitch_Fashion_Sales_cleaned!$I1876,Table3[Order_Date],Table3[Date_Key])</f>
        <v>190</v>
      </c>
    </row>
    <row r="1877" spans="1:16" x14ac:dyDescent="0.3">
      <c r="A1877" s="34">
        <v>2875</v>
      </c>
      <c r="B1877" s="32" t="s">
        <v>1902</v>
      </c>
      <c r="C1877" s="32" t="s">
        <v>20</v>
      </c>
      <c r="D1877" s="33" t="s">
        <v>21</v>
      </c>
      <c r="E1877" s="34">
        <v>2</v>
      </c>
      <c r="F1877" s="35">
        <v>2579.8000000000002</v>
      </c>
      <c r="G1877" s="36">
        <v>0.51</v>
      </c>
      <c r="H1877" s="35">
        <f t="shared" si="60"/>
        <v>5159.6000000000004</v>
      </c>
      <c r="I1877" s="37">
        <v>45609</v>
      </c>
      <c r="J1877" s="33" t="s">
        <v>15</v>
      </c>
      <c r="K1877" s="33" t="s">
        <v>23</v>
      </c>
      <c r="L1877" s="38">
        <f t="shared" si="61"/>
        <v>2528.2040000000002</v>
      </c>
      <c r="M1877" s="38">
        <v>1291.9000000000001</v>
      </c>
      <c r="N1877" s="24">
        <f>_xlfn.XLOOKUP(Snitch_Fashion_Sales_cleaned!$J1877,Table2[City],Table2[City_Key],"not found")</f>
        <v>1</v>
      </c>
      <c r="O1877" s="23">
        <f>_xlfn.XLOOKUP(Snitch_Fashion_Sales_cleaned!$D1877,Table4[Product_Name],Table4[Product_Key],"not found")</f>
        <v>2</v>
      </c>
      <c r="P1877" s="32">
        <f>_xlfn.XLOOKUP(Snitch_Fashion_Sales_cleaned!$I1877,Table3[Order_Date],Table3[Date_Key])</f>
        <v>22</v>
      </c>
    </row>
    <row r="1878" spans="1:16" x14ac:dyDescent="0.3">
      <c r="A1878" s="27">
        <v>2876</v>
      </c>
      <c r="B1878" s="25" t="s">
        <v>1903</v>
      </c>
      <c r="C1878" s="25" t="s">
        <v>13</v>
      </c>
      <c r="D1878" s="26" t="s">
        <v>46</v>
      </c>
      <c r="E1878" s="27">
        <v>6</v>
      </c>
      <c r="F1878" s="28">
        <v>3824.82</v>
      </c>
      <c r="G1878" s="29">
        <v>0.82</v>
      </c>
      <c r="H1878" s="28">
        <f t="shared" si="60"/>
        <v>22948.920000000002</v>
      </c>
      <c r="I1878" s="30">
        <v>45506</v>
      </c>
      <c r="J1878" s="26" t="s">
        <v>2540</v>
      </c>
      <c r="K1878" s="26" t="s">
        <v>16</v>
      </c>
      <c r="L1878" s="31">
        <f t="shared" si="61"/>
        <v>4130.8056000000015</v>
      </c>
      <c r="M1878" s="31">
        <v>688.53</v>
      </c>
      <c r="N1878" s="22">
        <f>_xlfn.XLOOKUP(Snitch_Fashion_Sales_cleaned!$J1878,Table2[City],Table2[City_Key],"not found")</f>
        <v>4</v>
      </c>
      <c r="O1878" s="21">
        <f>_xlfn.XLOOKUP(Snitch_Fashion_Sales_cleaned!$D1878,Table4[Product_Name],Table4[Product_Key],"not found")</f>
        <v>10</v>
      </c>
      <c r="P1878" s="25">
        <f>_xlfn.XLOOKUP(Snitch_Fashion_Sales_cleaned!$I1878,Table3[Order_Date],Table3[Date_Key])</f>
        <v>178</v>
      </c>
    </row>
    <row r="1879" spans="1:16" x14ac:dyDescent="0.3">
      <c r="A1879" s="34">
        <v>2877</v>
      </c>
      <c r="B1879" s="32" t="s">
        <v>1904</v>
      </c>
      <c r="C1879" s="32" t="s">
        <v>25</v>
      </c>
      <c r="D1879" s="33" t="s">
        <v>82</v>
      </c>
      <c r="E1879" s="34">
        <v>3</v>
      </c>
      <c r="F1879" s="35">
        <v>2385.5749999999998</v>
      </c>
      <c r="G1879" s="36">
        <v>0.28999999999999998</v>
      </c>
      <c r="H1879" s="35">
        <f t="shared" si="60"/>
        <v>7156.7249999999995</v>
      </c>
      <c r="I1879" s="37">
        <v>45647</v>
      </c>
      <c r="J1879" s="33" t="s">
        <v>52</v>
      </c>
      <c r="K1879" s="33" t="s">
        <v>23</v>
      </c>
      <c r="L1879" s="38">
        <f t="shared" si="61"/>
        <v>5081.2747499999996</v>
      </c>
      <c r="M1879" s="38">
        <v>2293.59</v>
      </c>
      <c r="N1879" s="24">
        <f>_xlfn.XLOOKUP(Snitch_Fashion_Sales_cleaned!$J1879,Table2[City],Table2[City_Key],"not found")</f>
        <v>5</v>
      </c>
      <c r="O1879" s="23">
        <f>_xlfn.XLOOKUP(Snitch_Fashion_Sales_cleaned!$D1879,Table4[Product_Name],Table4[Product_Key],"not found")</f>
        <v>18</v>
      </c>
      <c r="P1879" s="32">
        <f>_xlfn.XLOOKUP(Snitch_Fashion_Sales_cleaned!$I1879,Table3[Order_Date],Table3[Date_Key])</f>
        <v>5</v>
      </c>
    </row>
    <row r="1880" spans="1:16" x14ac:dyDescent="0.3">
      <c r="A1880" s="27">
        <v>2878</v>
      </c>
      <c r="B1880" s="25" t="s">
        <v>1905</v>
      </c>
      <c r="C1880" s="25" t="s">
        <v>20</v>
      </c>
      <c r="D1880" s="26" t="s">
        <v>76</v>
      </c>
      <c r="E1880" s="27">
        <v>3</v>
      </c>
      <c r="F1880" s="28">
        <v>2229.4899999999998</v>
      </c>
      <c r="G1880" s="29">
        <v>0.51</v>
      </c>
      <c r="H1880" s="28">
        <f t="shared" si="60"/>
        <v>6688.4699999999993</v>
      </c>
      <c r="I1880" s="30">
        <v>45663</v>
      </c>
      <c r="J1880" s="26" t="s">
        <v>52</v>
      </c>
      <c r="K1880" s="26" t="s">
        <v>16</v>
      </c>
      <c r="L1880" s="31">
        <f t="shared" si="61"/>
        <v>3277.3502999999996</v>
      </c>
      <c r="M1880" s="31">
        <v>2309.5500000000002</v>
      </c>
      <c r="N1880" s="22">
        <f>_xlfn.XLOOKUP(Snitch_Fashion_Sales_cleaned!$J1880,Table2[City],Table2[City_Key],"not found")</f>
        <v>5</v>
      </c>
      <c r="O1880" s="21">
        <f>_xlfn.XLOOKUP(Snitch_Fashion_Sales_cleaned!$D1880,Table4[Product_Name],Table4[Product_Key],"not found")</f>
        <v>16</v>
      </c>
      <c r="P1880" s="25">
        <f>_xlfn.XLOOKUP(Snitch_Fashion_Sales_cleaned!$I1880,Table3[Order_Date],Table3[Date_Key])</f>
        <v>292</v>
      </c>
    </row>
    <row r="1881" spans="1:16" x14ac:dyDescent="0.3">
      <c r="A1881" s="34">
        <v>2879</v>
      </c>
      <c r="B1881" s="32" t="s">
        <v>1906</v>
      </c>
      <c r="C1881" s="32" t="s">
        <v>20</v>
      </c>
      <c r="D1881" s="33" t="s">
        <v>76</v>
      </c>
      <c r="E1881" s="34">
        <v>3</v>
      </c>
      <c r="F1881" s="35">
        <v>2229.4899999999998</v>
      </c>
      <c r="G1881" s="36">
        <v>0.02</v>
      </c>
      <c r="H1881" s="35">
        <f t="shared" si="60"/>
        <v>6688.4699999999993</v>
      </c>
      <c r="I1881" s="37">
        <v>45647</v>
      </c>
      <c r="J1881" s="33" t="s">
        <v>15</v>
      </c>
      <c r="K1881" s="33" t="s">
        <v>23</v>
      </c>
      <c r="L1881" s="38">
        <f t="shared" si="61"/>
        <v>6554.7005999999992</v>
      </c>
      <c r="M1881" s="38">
        <v>1146.23</v>
      </c>
      <c r="N1881" s="24">
        <f>_xlfn.XLOOKUP(Snitch_Fashion_Sales_cleaned!$J1881,Table2[City],Table2[City_Key],"not found")</f>
        <v>1</v>
      </c>
      <c r="O1881" s="23">
        <f>_xlfn.XLOOKUP(Snitch_Fashion_Sales_cleaned!$D1881,Table4[Product_Name],Table4[Product_Key],"not found")</f>
        <v>16</v>
      </c>
      <c r="P1881" s="32">
        <f>_xlfn.XLOOKUP(Snitch_Fashion_Sales_cleaned!$I1881,Table3[Order_Date],Table3[Date_Key])</f>
        <v>5</v>
      </c>
    </row>
    <row r="1882" spans="1:16" x14ac:dyDescent="0.3">
      <c r="A1882" s="27">
        <v>2880</v>
      </c>
      <c r="B1882" s="25" t="s">
        <v>1907</v>
      </c>
      <c r="C1882" s="25" t="s">
        <v>28</v>
      </c>
      <c r="D1882" s="26" t="s">
        <v>29</v>
      </c>
      <c r="E1882" s="27">
        <v>3</v>
      </c>
      <c r="F1882" s="28">
        <v>2515.415</v>
      </c>
      <c r="G1882" s="29">
        <v>0.51</v>
      </c>
      <c r="H1882" s="28">
        <f t="shared" si="60"/>
        <v>7546.2449999999999</v>
      </c>
      <c r="I1882" s="30">
        <v>45823</v>
      </c>
      <c r="J1882" s="26" t="s">
        <v>22</v>
      </c>
      <c r="K1882" s="26" t="s">
        <v>16</v>
      </c>
      <c r="L1882" s="31">
        <f t="shared" si="61"/>
        <v>3697.66005</v>
      </c>
      <c r="M1882" s="31">
        <v>970.22</v>
      </c>
      <c r="N1882" s="22">
        <f>_xlfn.XLOOKUP(Snitch_Fashion_Sales_cleaned!$J1882,Table2[City],Table2[City_Key],"not found")</f>
        <v>3</v>
      </c>
      <c r="O1882" s="21">
        <f>_xlfn.XLOOKUP(Snitch_Fashion_Sales_cleaned!$D1882,Table4[Product_Name],Table4[Product_Key],"not found")</f>
        <v>4</v>
      </c>
      <c r="P1882" s="25">
        <f>_xlfn.XLOOKUP(Snitch_Fashion_Sales_cleaned!$I1882,Table3[Order_Date],Table3[Date_Key])</f>
        <v>230</v>
      </c>
    </row>
    <row r="1883" spans="1:16" x14ac:dyDescent="0.3">
      <c r="A1883" s="34">
        <v>2881</v>
      </c>
      <c r="B1883" s="32" t="s">
        <v>1908</v>
      </c>
      <c r="C1883" s="32" t="s">
        <v>13</v>
      </c>
      <c r="D1883" s="33" t="s">
        <v>34</v>
      </c>
      <c r="E1883" s="34">
        <v>3</v>
      </c>
      <c r="F1883" s="35">
        <v>3008.6549999999997</v>
      </c>
      <c r="G1883" s="36">
        <v>0.51</v>
      </c>
      <c r="H1883" s="35">
        <f t="shared" si="60"/>
        <v>9025.9650000000001</v>
      </c>
      <c r="I1883" s="37">
        <v>45538</v>
      </c>
      <c r="J1883" s="33" t="s">
        <v>52</v>
      </c>
      <c r="K1883" s="33" t="s">
        <v>16</v>
      </c>
      <c r="L1883" s="38">
        <f t="shared" si="61"/>
        <v>4422.7228500000001</v>
      </c>
      <c r="M1883" s="38">
        <v>1850.77</v>
      </c>
      <c r="N1883" s="24">
        <f>_xlfn.XLOOKUP(Snitch_Fashion_Sales_cleaned!$J1883,Table2[City],Table2[City_Key],"not found")</f>
        <v>5</v>
      </c>
      <c r="O1883" s="23">
        <f>_xlfn.XLOOKUP(Snitch_Fashion_Sales_cleaned!$D1883,Table4[Product_Name],Table4[Product_Key],"not found")</f>
        <v>6</v>
      </c>
      <c r="P1883" s="32">
        <f>_xlfn.XLOOKUP(Snitch_Fashion_Sales_cleaned!$I1883,Table3[Order_Date],Table3[Date_Key])</f>
        <v>294</v>
      </c>
    </row>
    <row r="1884" spans="1:16" x14ac:dyDescent="0.3">
      <c r="A1884" s="27">
        <v>2882</v>
      </c>
      <c r="B1884" s="25" t="s">
        <v>1909</v>
      </c>
      <c r="C1884" s="25" t="s">
        <v>28</v>
      </c>
      <c r="D1884" s="26" t="s">
        <v>137</v>
      </c>
      <c r="E1884" s="27">
        <v>3</v>
      </c>
      <c r="F1884" s="28">
        <v>583.53</v>
      </c>
      <c r="G1884" s="29">
        <v>0.51</v>
      </c>
      <c r="H1884" s="28">
        <f t="shared" si="60"/>
        <v>1750.59</v>
      </c>
      <c r="I1884" s="30">
        <v>45701</v>
      </c>
      <c r="J1884" s="26" t="s">
        <v>22</v>
      </c>
      <c r="K1884" s="26" t="s">
        <v>23</v>
      </c>
      <c r="L1884" s="31">
        <f t="shared" si="61"/>
        <v>857.78909999999996</v>
      </c>
      <c r="M1884" s="31">
        <v>214.44727499999999</v>
      </c>
      <c r="N1884" s="22">
        <f>_xlfn.XLOOKUP(Snitch_Fashion_Sales_cleaned!$J1884,Table2[City],Table2[City_Key],"not found")</f>
        <v>3</v>
      </c>
      <c r="O1884" s="21">
        <f>_xlfn.XLOOKUP(Snitch_Fashion_Sales_cleaned!$D1884,Table4[Product_Name],Table4[Product_Key],"not found")</f>
        <v>24</v>
      </c>
      <c r="P1884" s="25">
        <f>_xlfn.XLOOKUP(Snitch_Fashion_Sales_cleaned!$I1884,Table3[Order_Date],Table3[Date_Key])</f>
        <v>54</v>
      </c>
    </row>
    <row r="1885" spans="1:16" x14ac:dyDescent="0.3">
      <c r="A1885" s="34">
        <v>2883</v>
      </c>
      <c r="B1885" s="32" t="s">
        <v>1910</v>
      </c>
      <c r="C1885" s="32" t="s">
        <v>31</v>
      </c>
      <c r="D1885" s="33" t="s">
        <v>78</v>
      </c>
      <c r="E1885" s="34">
        <v>4</v>
      </c>
      <c r="F1885" s="35">
        <v>2320.7600000000002</v>
      </c>
      <c r="G1885" s="36">
        <v>0.51</v>
      </c>
      <c r="H1885" s="35">
        <f t="shared" si="60"/>
        <v>9283.0400000000009</v>
      </c>
      <c r="I1885" s="37">
        <v>45850</v>
      </c>
      <c r="J1885" s="33" t="s">
        <v>18</v>
      </c>
      <c r="K1885" s="33" t="s">
        <v>16</v>
      </c>
      <c r="L1885" s="38">
        <f t="shared" si="61"/>
        <v>4548.6896000000006</v>
      </c>
      <c r="M1885" s="38">
        <v>2529.16</v>
      </c>
      <c r="N1885" s="24">
        <f>_xlfn.XLOOKUP(Snitch_Fashion_Sales_cleaned!$J1885,Table2[City],Table2[City_Key],"not found")</f>
        <v>2</v>
      </c>
      <c r="O1885" s="23">
        <f>_xlfn.XLOOKUP(Snitch_Fashion_Sales_cleaned!$D1885,Table4[Product_Name],Table4[Product_Key],"not found")</f>
        <v>17</v>
      </c>
      <c r="P1885" s="32">
        <f>_xlfn.XLOOKUP(Snitch_Fashion_Sales_cleaned!$I1885,Table3[Order_Date],Table3[Date_Key])</f>
        <v>335</v>
      </c>
    </row>
    <row r="1886" spans="1:16" x14ac:dyDescent="0.3">
      <c r="A1886" s="27">
        <v>2884</v>
      </c>
      <c r="B1886" s="25" t="s">
        <v>1911</v>
      </c>
      <c r="C1886" s="25" t="s">
        <v>13</v>
      </c>
      <c r="D1886" s="26" t="s">
        <v>98</v>
      </c>
      <c r="E1886" s="27">
        <v>2</v>
      </c>
      <c r="F1886" s="28">
        <v>2750.33</v>
      </c>
      <c r="G1886" s="29">
        <v>0.4</v>
      </c>
      <c r="H1886" s="28">
        <f t="shared" si="60"/>
        <v>5500.66</v>
      </c>
      <c r="I1886" s="30">
        <v>45701</v>
      </c>
      <c r="J1886" s="26" t="s">
        <v>43</v>
      </c>
      <c r="K1886" s="26" t="s">
        <v>23</v>
      </c>
      <c r="L1886" s="31">
        <f t="shared" si="61"/>
        <v>3300.3959999999997</v>
      </c>
      <c r="M1886" s="31">
        <v>896.38</v>
      </c>
      <c r="N1886" s="22">
        <f>_xlfn.XLOOKUP(Snitch_Fashion_Sales_cleaned!$J1886,Table2[City],Table2[City_Key],"not found")</f>
        <v>6</v>
      </c>
      <c r="O1886" s="21">
        <f>_xlfn.XLOOKUP(Snitch_Fashion_Sales_cleaned!$D1886,Table4[Product_Name],Table4[Product_Key],"not found")</f>
        <v>21</v>
      </c>
      <c r="P1886" s="25">
        <f>_xlfn.XLOOKUP(Snitch_Fashion_Sales_cleaned!$I1886,Table3[Order_Date],Table3[Date_Key])</f>
        <v>54</v>
      </c>
    </row>
    <row r="1887" spans="1:16" x14ac:dyDescent="0.3">
      <c r="A1887" s="34">
        <v>2885</v>
      </c>
      <c r="B1887" s="32" t="s">
        <v>1912</v>
      </c>
      <c r="C1887" s="32" t="s">
        <v>31</v>
      </c>
      <c r="D1887" s="33" t="s">
        <v>68</v>
      </c>
      <c r="E1887" s="34">
        <v>2</v>
      </c>
      <c r="F1887" s="35">
        <v>2666.48</v>
      </c>
      <c r="G1887" s="36">
        <v>0.51</v>
      </c>
      <c r="H1887" s="35">
        <f t="shared" si="60"/>
        <v>5332.96</v>
      </c>
      <c r="I1887" s="37">
        <v>45776</v>
      </c>
      <c r="J1887" s="33" t="s">
        <v>43</v>
      </c>
      <c r="K1887" s="33" t="s">
        <v>23</v>
      </c>
      <c r="L1887" s="38">
        <f t="shared" si="61"/>
        <v>2613.1504</v>
      </c>
      <c r="M1887" s="38">
        <v>-17.89</v>
      </c>
      <c r="N1887" s="24">
        <f>_xlfn.XLOOKUP(Snitch_Fashion_Sales_cleaned!$J1887,Table2[City],Table2[City_Key],"not found")</f>
        <v>6</v>
      </c>
      <c r="O1887" s="23">
        <f>_xlfn.XLOOKUP(Snitch_Fashion_Sales_cleaned!$D1887,Table4[Product_Name],Table4[Product_Key],"not found")</f>
        <v>15</v>
      </c>
      <c r="P1887" s="32">
        <f>_xlfn.XLOOKUP(Snitch_Fashion_Sales_cleaned!$I1887,Table3[Order_Date],Table3[Date_Key])</f>
        <v>239</v>
      </c>
    </row>
    <row r="1888" spans="1:16" x14ac:dyDescent="0.3">
      <c r="A1888" s="27">
        <v>2886</v>
      </c>
      <c r="B1888" s="25" t="s">
        <v>1913</v>
      </c>
      <c r="C1888" s="25" t="s">
        <v>31</v>
      </c>
      <c r="D1888" s="26" t="s">
        <v>78</v>
      </c>
      <c r="E1888" s="27">
        <v>4</v>
      </c>
      <c r="F1888" s="28">
        <v>3229.15</v>
      </c>
      <c r="G1888" s="29">
        <v>0.51</v>
      </c>
      <c r="H1888" s="28">
        <f t="shared" si="60"/>
        <v>12916.6</v>
      </c>
      <c r="I1888" s="30">
        <v>45747</v>
      </c>
      <c r="J1888" s="26" t="s">
        <v>18</v>
      </c>
      <c r="K1888" s="26" t="s">
        <v>23</v>
      </c>
      <c r="L1888" s="31">
        <f t="shared" si="61"/>
        <v>6329.134</v>
      </c>
      <c r="M1888" s="31">
        <v>175.26</v>
      </c>
      <c r="N1888" s="22">
        <f>_xlfn.XLOOKUP(Snitch_Fashion_Sales_cleaned!$J1888,Table2[City],Table2[City_Key],"not found")</f>
        <v>2</v>
      </c>
      <c r="O1888" s="21">
        <f>_xlfn.XLOOKUP(Snitch_Fashion_Sales_cleaned!$D1888,Table4[Product_Name],Table4[Product_Key],"not found")</f>
        <v>17</v>
      </c>
      <c r="P1888" s="25">
        <f>_xlfn.XLOOKUP(Snitch_Fashion_Sales_cleaned!$I1888,Table3[Order_Date],Table3[Date_Key])</f>
        <v>127</v>
      </c>
    </row>
    <row r="1889" spans="1:16" x14ac:dyDescent="0.3">
      <c r="A1889" s="34">
        <v>2887</v>
      </c>
      <c r="B1889" s="32" t="s">
        <v>1914</v>
      </c>
      <c r="C1889" s="32" t="s">
        <v>13</v>
      </c>
      <c r="D1889" s="33" t="s">
        <v>34</v>
      </c>
      <c r="E1889" s="34">
        <v>3</v>
      </c>
      <c r="F1889" s="35">
        <v>3331.72</v>
      </c>
      <c r="G1889" s="36">
        <v>0.51</v>
      </c>
      <c r="H1889" s="35">
        <f t="shared" si="60"/>
        <v>9995.16</v>
      </c>
      <c r="I1889" s="37">
        <v>45647</v>
      </c>
      <c r="J1889" s="33" t="s">
        <v>22</v>
      </c>
      <c r="K1889" s="33" t="s">
        <v>23</v>
      </c>
      <c r="L1889" s="38">
        <f t="shared" si="61"/>
        <v>4897.6283999999996</v>
      </c>
      <c r="M1889" s="38">
        <v>-267.95999999999998</v>
      </c>
      <c r="N1889" s="24">
        <f>_xlfn.XLOOKUP(Snitch_Fashion_Sales_cleaned!$J1889,Table2[City],Table2[City_Key],"not found")</f>
        <v>3</v>
      </c>
      <c r="O1889" s="23">
        <f>_xlfn.XLOOKUP(Snitch_Fashion_Sales_cleaned!$D1889,Table4[Product_Name],Table4[Product_Key],"not found")</f>
        <v>6</v>
      </c>
      <c r="P1889" s="32">
        <f>_xlfn.XLOOKUP(Snitch_Fashion_Sales_cleaned!$I1889,Table3[Order_Date],Table3[Date_Key])</f>
        <v>5</v>
      </c>
    </row>
    <row r="1890" spans="1:16" x14ac:dyDescent="0.3">
      <c r="A1890" s="27">
        <v>2888</v>
      </c>
      <c r="B1890" s="25" t="s">
        <v>1915</v>
      </c>
      <c r="C1890" s="25" t="s">
        <v>36</v>
      </c>
      <c r="D1890" s="26" t="s">
        <v>37</v>
      </c>
      <c r="E1890" s="27">
        <v>4</v>
      </c>
      <c r="F1890" s="28">
        <v>2975.64</v>
      </c>
      <c r="G1890" s="29">
        <v>0.51</v>
      </c>
      <c r="H1890" s="28">
        <f t="shared" si="60"/>
        <v>11902.56</v>
      </c>
      <c r="I1890" s="30">
        <v>45148</v>
      </c>
      <c r="J1890" s="26" t="s">
        <v>18</v>
      </c>
      <c r="K1890" s="26" t="s">
        <v>23</v>
      </c>
      <c r="L1890" s="31">
        <f t="shared" si="61"/>
        <v>5832.2543999999998</v>
      </c>
      <c r="M1890" s="31">
        <v>2007.16</v>
      </c>
      <c r="N1890" s="22">
        <f>_xlfn.XLOOKUP(Snitch_Fashion_Sales_cleaned!$J1890,Table2[City],Table2[City_Key],"not found")</f>
        <v>2</v>
      </c>
      <c r="O1890" s="21">
        <f>_xlfn.XLOOKUP(Snitch_Fashion_Sales_cleaned!$D1890,Table4[Product_Name],Table4[Product_Key],"not found")</f>
        <v>7</v>
      </c>
      <c r="P1890" s="25">
        <f>_xlfn.XLOOKUP(Snitch_Fashion_Sales_cleaned!$I1890,Table3[Order_Date],Table3[Date_Key])</f>
        <v>500</v>
      </c>
    </row>
    <row r="1891" spans="1:16" x14ac:dyDescent="0.3">
      <c r="A1891" s="34">
        <v>2889</v>
      </c>
      <c r="B1891" s="32" t="s">
        <v>1916</v>
      </c>
      <c r="C1891" s="32" t="s">
        <v>25</v>
      </c>
      <c r="D1891" s="33" t="s">
        <v>26</v>
      </c>
      <c r="E1891" s="34">
        <v>5</v>
      </c>
      <c r="F1891" s="35">
        <v>2933.45</v>
      </c>
      <c r="G1891" s="36">
        <v>0.51</v>
      </c>
      <c r="H1891" s="35">
        <f t="shared" si="60"/>
        <v>14667.25</v>
      </c>
      <c r="I1891" s="37">
        <v>45130</v>
      </c>
      <c r="J1891" s="33" t="s">
        <v>52</v>
      </c>
      <c r="K1891" s="33" t="s">
        <v>23</v>
      </c>
      <c r="L1891" s="38">
        <f t="shared" si="61"/>
        <v>7186.9524999999994</v>
      </c>
      <c r="M1891" s="38">
        <v>1874.28</v>
      </c>
      <c r="N1891" s="24">
        <f>_xlfn.XLOOKUP(Snitch_Fashion_Sales_cleaned!$J1891,Table2[City],Table2[City_Key],"not found")</f>
        <v>5</v>
      </c>
      <c r="O1891" s="23">
        <f>_xlfn.XLOOKUP(Snitch_Fashion_Sales_cleaned!$D1891,Table4[Product_Name],Table4[Product_Key],"not found")</f>
        <v>3</v>
      </c>
      <c r="P1891" s="32">
        <f>_xlfn.XLOOKUP(Snitch_Fashion_Sales_cleaned!$I1891,Table3[Order_Date],Table3[Date_Key])</f>
        <v>150</v>
      </c>
    </row>
    <row r="1892" spans="1:16" x14ac:dyDescent="0.3">
      <c r="A1892" s="27">
        <v>2890</v>
      </c>
      <c r="B1892" s="25" t="s">
        <v>1917</v>
      </c>
      <c r="C1892" s="25" t="s">
        <v>36</v>
      </c>
      <c r="D1892" s="26" t="s">
        <v>59</v>
      </c>
      <c r="E1892" s="27">
        <v>1</v>
      </c>
      <c r="F1892" s="28">
        <v>2357.36</v>
      </c>
      <c r="G1892" s="29">
        <v>0.51</v>
      </c>
      <c r="H1892" s="28">
        <f t="shared" si="60"/>
        <v>2357.36</v>
      </c>
      <c r="I1892" s="30">
        <v>45413</v>
      </c>
      <c r="J1892" s="26" t="s">
        <v>43</v>
      </c>
      <c r="K1892" s="26" t="s">
        <v>23</v>
      </c>
      <c r="L1892" s="31">
        <f t="shared" si="61"/>
        <v>1155.1064000000001</v>
      </c>
      <c r="M1892" s="31">
        <v>468.3</v>
      </c>
      <c r="N1892" s="22">
        <f>_xlfn.XLOOKUP(Snitch_Fashion_Sales_cleaned!$J1892,Table2[City],Table2[City_Key],"not found")</f>
        <v>6</v>
      </c>
      <c r="O1892" s="21">
        <f>_xlfn.XLOOKUP(Snitch_Fashion_Sales_cleaned!$D1892,Table4[Product_Name],Table4[Product_Key],"not found")</f>
        <v>13</v>
      </c>
      <c r="P1892" s="25">
        <f>_xlfn.XLOOKUP(Snitch_Fashion_Sales_cleaned!$I1892,Table3[Order_Date],Table3[Date_Key])</f>
        <v>398</v>
      </c>
    </row>
    <row r="1893" spans="1:16" x14ac:dyDescent="0.3">
      <c r="A1893" s="34">
        <v>2891</v>
      </c>
      <c r="B1893" s="32" t="s">
        <v>1918</v>
      </c>
      <c r="C1893" s="32" t="s">
        <v>20</v>
      </c>
      <c r="D1893" s="33" t="s">
        <v>21</v>
      </c>
      <c r="E1893" s="34">
        <v>4</v>
      </c>
      <c r="F1893" s="35">
        <v>2579.8000000000002</v>
      </c>
      <c r="G1893" s="36">
        <v>0.51</v>
      </c>
      <c r="H1893" s="35">
        <f t="shared" si="60"/>
        <v>10319.200000000001</v>
      </c>
      <c r="I1893" s="37">
        <v>45647</v>
      </c>
      <c r="J1893" s="33" t="s">
        <v>18</v>
      </c>
      <c r="K1893" s="33" t="s">
        <v>23</v>
      </c>
      <c r="L1893" s="38">
        <f t="shared" si="61"/>
        <v>5056.4080000000004</v>
      </c>
      <c r="M1893" s="38">
        <v>-363.86</v>
      </c>
      <c r="N1893" s="24">
        <f>_xlfn.XLOOKUP(Snitch_Fashion_Sales_cleaned!$J1893,Table2[City],Table2[City_Key],"not found")</f>
        <v>2</v>
      </c>
      <c r="O1893" s="23">
        <f>_xlfn.XLOOKUP(Snitch_Fashion_Sales_cleaned!$D1893,Table4[Product_Name],Table4[Product_Key],"not found")</f>
        <v>2</v>
      </c>
      <c r="P1893" s="32">
        <f>_xlfn.XLOOKUP(Snitch_Fashion_Sales_cleaned!$I1893,Table3[Order_Date],Table3[Date_Key])</f>
        <v>5</v>
      </c>
    </row>
    <row r="1894" spans="1:16" x14ac:dyDescent="0.3">
      <c r="A1894" s="27">
        <v>2892</v>
      </c>
      <c r="B1894" s="25" t="s">
        <v>1919</v>
      </c>
      <c r="C1894" s="25" t="s">
        <v>28</v>
      </c>
      <c r="D1894" s="26" t="s">
        <v>29</v>
      </c>
      <c r="E1894" s="27">
        <v>3</v>
      </c>
      <c r="F1894" s="28">
        <v>2515.415</v>
      </c>
      <c r="G1894" s="29">
        <v>0.51</v>
      </c>
      <c r="H1894" s="28">
        <f t="shared" si="60"/>
        <v>7546.2449999999999</v>
      </c>
      <c r="I1894" s="30">
        <v>45519</v>
      </c>
      <c r="J1894" s="26" t="s">
        <v>18</v>
      </c>
      <c r="K1894" s="26" t="s">
        <v>23</v>
      </c>
      <c r="L1894" s="31">
        <f t="shared" si="61"/>
        <v>3697.66005</v>
      </c>
      <c r="M1894" s="31">
        <v>-502.19</v>
      </c>
      <c r="N1894" s="22">
        <f>_xlfn.XLOOKUP(Snitch_Fashion_Sales_cleaned!$J1894,Table2[City],Table2[City_Key],"not found")</f>
        <v>2</v>
      </c>
      <c r="O1894" s="21">
        <f>_xlfn.XLOOKUP(Snitch_Fashion_Sales_cleaned!$D1894,Table4[Product_Name],Table4[Product_Key],"not found")</f>
        <v>4</v>
      </c>
      <c r="P1894" s="25">
        <f>_xlfn.XLOOKUP(Snitch_Fashion_Sales_cleaned!$I1894,Table3[Order_Date],Table3[Date_Key])</f>
        <v>248</v>
      </c>
    </row>
    <row r="1895" spans="1:16" x14ac:dyDescent="0.3">
      <c r="A1895" s="34">
        <v>2893</v>
      </c>
      <c r="B1895" s="32" t="s">
        <v>1920</v>
      </c>
      <c r="C1895" s="32" t="s">
        <v>25</v>
      </c>
      <c r="D1895" s="33" t="s">
        <v>26</v>
      </c>
      <c r="E1895" s="34">
        <v>4</v>
      </c>
      <c r="F1895" s="35">
        <v>2933.45</v>
      </c>
      <c r="G1895" s="36">
        <v>0.51</v>
      </c>
      <c r="H1895" s="35">
        <f t="shared" si="60"/>
        <v>11733.8</v>
      </c>
      <c r="I1895" s="37">
        <v>45542</v>
      </c>
      <c r="J1895" s="33" t="s">
        <v>2540</v>
      </c>
      <c r="K1895" s="33" t="s">
        <v>23</v>
      </c>
      <c r="L1895" s="38">
        <f t="shared" si="61"/>
        <v>5749.5619999999999</v>
      </c>
      <c r="M1895" s="38">
        <v>1825.47</v>
      </c>
      <c r="N1895" s="24">
        <f>_xlfn.XLOOKUP(Snitch_Fashion_Sales_cleaned!$J1895,Table2[City],Table2[City_Key],"not found")</f>
        <v>4</v>
      </c>
      <c r="O1895" s="23">
        <f>_xlfn.XLOOKUP(Snitch_Fashion_Sales_cleaned!$D1895,Table4[Product_Name],Table4[Product_Key],"not found")</f>
        <v>3</v>
      </c>
      <c r="P1895" s="32">
        <f>_xlfn.XLOOKUP(Snitch_Fashion_Sales_cleaned!$I1895,Table3[Order_Date],Table3[Date_Key])</f>
        <v>495</v>
      </c>
    </row>
    <row r="1896" spans="1:16" x14ac:dyDescent="0.3">
      <c r="A1896" s="27">
        <v>2894</v>
      </c>
      <c r="B1896" s="25" t="s">
        <v>1921</v>
      </c>
      <c r="C1896" s="25" t="s">
        <v>25</v>
      </c>
      <c r="D1896" s="26" t="s">
        <v>26</v>
      </c>
      <c r="E1896" s="27">
        <v>3</v>
      </c>
      <c r="F1896" s="28">
        <v>2933.45</v>
      </c>
      <c r="G1896" s="29">
        <v>0.51</v>
      </c>
      <c r="H1896" s="28">
        <f t="shared" si="60"/>
        <v>8800.3499999999985</v>
      </c>
      <c r="I1896" s="30">
        <v>45647</v>
      </c>
      <c r="J1896" s="26" t="s">
        <v>2540</v>
      </c>
      <c r="K1896" s="26" t="s">
        <v>23</v>
      </c>
      <c r="L1896" s="31">
        <f t="shared" si="61"/>
        <v>4312.1714999999995</v>
      </c>
      <c r="M1896" s="31">
        <v>1479.24</v>
      </c>
      <c r="N1896" s="22">
        <f>_xlfn.XLOOKUP(Snitch_Fashion_Sales_cleaned!$J1896,Table2[City],Table2[City_Key],"not found")</f>
        <v>4</v>
      </c>
      <c r="O1896" s="21">
        <f>_xlfn.XLOOKUP(Snitch_Fashion_Sales_cleaned!$D1896,Table4[Product_Name],Table4[Product_Key],"not found")</f>
        <v>3</v>
      </c>
      <c r="P1896" s="25">
        <f>_xlfn.XLOOKUP(Snitch_Fashion_Sales_cleaned!$I1896,Table3[Order_Date],Table3[Date_Key])</f>
        <v>5</v>
      </c>
    </row>
    <row r="1897" spans="1:16" x14ac:dyDescent="0.3">
      <c r="A1897" s="34">
        <v>1006</v>
      </c>
      <c r="B1897" s="32" t="s">
        <v>1922</v>
      </c>
      <c r="C1897" s="32" t="s">
        <v>25</v>
      </c>
      <c r="D1897" s="33" t="s">
        <v>82</v>
      </c>
      <c r="E1897" s="34">
        <v>2</v>
      </c>
      <c r="F1897" s="35">
        <v>3593.06</v>
      </c>
      <c r="G1897" s="36">
        <v>0.34</v>
      </c>
      <c r="H1897" s="35">
        <f t="shared" si="60"/>
        <v>7186.12</v>
      </c>
      <c r="I1897" s="37">
        <v>45647</v>
      </c>
      <c r="J1897" s="33" t="s">
        <v>52</v>
      </c>
      <c r="K1897" s="33" t="s">
        <v>16</v>
      </c>
      <c r="L1897" s="38">
        <f t="shared" si="61"/>
        <v>4742.8391999999994</v>
      </c>
      <c r="M1897" s="38">
        <v>1031.6600000000001</v>
      </c>
      <c r="N1897" s="24">
        <f>_xlfn.XLOOKUP(Snitch_Fashion_Sales_cleaned!$J1897,Table2[City],Table2[City_Key],"not found")</f>
        <v>5</v>
      </c>
      <c r="O1897" s="23">
        <f>_xlfn.XLOOKUP(Snitch_Fashion_Sales_cleaned!$D1897,Table4[Product_Name],Table4[Product_Key],"not found")</f>
        <v>18</v>
      </c>
      <c r="P1897" s="32">
        <f>_xlfn.XLOOKUP(Snitch_Fashion_Sales_cleaned!$I1897,Table3[Order_Date],Table3[Date_Key])</f>
        <v>5</v>
      </c>
    </row>
    <row r="1898" spans="1:16" x14ac:dyDescent="0.3">
      <c r="A1898" s="27">
        <v>2896</v>
      </c>
      <c r="B1898" s="25" t="s">
        <v>1923</v>
      </c>
      <c r="C1898" s="25" t="s">
        <v>36</v>
      </c>
      <c r="D1898" s="26" t="s">
        <v>59</v>
      </c>
      <c r="E1898" s="27">
        <v>3</v>
      </c>
      <c r="F1898" s="28">
        <v>2765.26</v>
      </c>
      <c r="G1898" s="29">
        <v>0.51</v>
      </c>
      <c r="H1898" s="28">
        <f t="shared" si="60"/>
        <v>8295.7800000000007</v>
      </c>
      <c r="I1898" s="30">
        <v>45552</v>
      </c>
      <c r="J1898" s="26" t="s">
        <v>52</v>
      </c>
      <c r="K1898" s="26" t="s">
        <v>16</v>
      </c>
      <c r="L1898" s="31">
        <f t="shared" si="61"/>
        <v>4064.9322000000002</v>
      </c>
      <c r="M1898" s="31">
        <v>2760.7</v>
      </c>
      <c r="N1898" s="22">
        <f>_xlfn.XLOOKUP(Snitch_Fashion_Sales_cleaned!$J1898,Table2[City],Table2[City_Key],"not found")</f>
        <v>5</v>
      </c>
      <c r="O1898" s="21">
        <f>_xlfn.XLOOKUP(Snitch_Fashion_Sales_cleaned!$D1898,Table4[Product_Name],Table4[Product_Key],"not found")</f>
        <v>13</v>
      </c>
      <c r="P1898" s="25">
        <f>_xlfn.XLOOKUP(Snitch_Fashion_Sales_cleaned!$I1898,Table3[Order_Date],Table3[Date_Key])</f>
        <v>310</v>
      </c>
    </row>
    <row r="1899" spans="1:16" x14ac:dyDescent="0.3">
      <c r="A1899" s="34">
        <v>2897</v>
      </c>
      <c r="B1899" s="32" t="s">
        <v>1924</v>
      </c>
      <c r="C1899" s="32" t="s">
        <v>20</v>
      </c>
      <c r="D1899" s="33" t="s">
        <v>84</v>
      </c>
      <c r="E1899" s="34">
        <v>1</v>
      </c>
      <c r="F1899" s="35">
        <v>1194.44</v>
      </c>
      <c r="G1899" s="36">
        <v>0.51</v>
      </c>
      <c r="H1899" s="35">
        <f t="shared" si="60"/>
        <v>1194.44</v>
      </c>
      <c r="I1899" s="37">
        <v>45824</v>
      </c>
      <c r="J1899" s="33" t="s">
        <v>15</v>
      </c>
      <c r="K1899" s="33" t="s">
        <v>23</v>
      </c>
      <c r="L1899" s="38">
        <f t="shared" si="61"/>
        <v>585.27560000000005</v>
      </c>
      <c r="M1899" s="38">
        <v>146.31890000000001</v>
      </c>
      <c r="N1899" s="24">
        <f>_xlfn.XLOOKUP(Snitch_Fashion_Sales_cleaned!$J1899,Table2[City],Table2[City_Key],"not found")</f>
        <v>1</v>
      </c>
      <c r="O1899" s="23">
        <f>_xlfn.XLOOKUP(Snitch_Fashion_Sales_cleaned!$D1899,Table4[Product_Name],Table4[Product_Key],"not found")</f>
        <v>19</v>
      </c>
      <c r="P1899" s="32">
        <f>_xlfn.XLOOKUP(Snitch_Fashion_Sales_cleaned!$I1899,Table3[Order_Date],Table3[Date_Key])</f>
        <v>110</v>
      </c>
    </row>
    <row r="1900" spans="1:16" x14ac:dyDescent="0.3">
      <c r="A1900" s="27">
        <v>2898</v>
      </c>
      <c r="B1900" s="25" t="s">
        <v>1925</v>
      </c>
      <c r="C1900" s="25" t="s">
        <v>36</v>
      </c>
      <c r="D1900" s="26" t="s">
        <v>59</v>
      </c>
      <c r="E1900" s="27">
        <v>6</v>
      </c>
      <c r="F1900" s="28">
        <v>2765.26</v>
      </c>
      <c r="G1900" s="29">
        <v>0.54</v>
      </c>
      <c r="H1900" s="28">
        <f t="shared" si="60"/>
        <v>16591.560000000001</v>
      </c>
      <c r="I1900" s="30">
        <v>45795</v>
      </c>
      <c r="J1900" s="26" t="s">
        <v>15</v>
      </c>
      <c r="K1900" s="26" t="s">
        <v>23</v>
      </c>
      <c r="L1900" s="31">
        <f t="shared" si="61"/>
        <v>7632.1175999999996</v>
      </c>
      <c r="M1900" s="31">
        <v>-274.57</v>
      </c>
      <c r="N1900" s="22">
        <f>_xlfn.XLOOKUP(Snitch_Fashion_Sales_cleaned!$J1900,Table2[City],Table2[City_Key],"not found")</f>
        <v>1</v>
      </c>
      <c r="O1900" s="21">
        <f>_xlfn.XLOOKUP(Snitch_Fashion_Sales_cleaned!$D1900,Table4[Product_Name],Table4[Product_Key],"not found")</f>
        <v>13</v>
      </c>
      <c r="P1900" s="25">
        <f>_xlfn.XLOOKUP(Snitch_Fashion_Sales_cleaned!$I1900,Table3[Order_Date],Table3[Date_Key])</f>
        <v>271</v>
      </c>
    </row>
    <row r="1901" spans="1:16" x14ac:dyDescent="0.3">
      <c r="A1901" s="34">
        <v>2899</v>
      </c>
      <c r="B1901" s="32" t="s">
        <v>1926</v>
      </c>
      <c r="C1901" s="32" t="s">
        <v>28</v>
      </c>
      <c r="D1901" s="33" t="s">
        <v>39</v>
      </c>
      <c r="E1901" s="34">
        <v>2</v>
      </c>
      <c r="F1901" s="35">
        <v>3086.59</v>
      </c>
      <c r="G1901" s="36">
        <v>0.51</v>
      </c>
      <c r="H1901" s="35">
        <f t="shared" si="60"/>
        <v>6173.18</v>
      </c>
      <c r="I1901" s="37">
        <v>45683</v>
      </c>
      <c r="J1901" s="33" t="s">
        <v>15</v>
      </c>
      <c r="K1901" s="33" t="s">
        <v>16</v>
      </c>
      <c r="L1901" s="38">
        <f t="shared" si="61"/>
        <v>3024.8582000000001</v>
      </c>
      <c r="M1901" s="38">
        <v>-745.27</v>
      </c>
      <c r="N1901" s="24">
        <f>_xlfn.XLOOKUP(Snitch_Fashion_Sales_cleaned!$J1901,Table2[City],Table2[City_Key],"not found")</f>
        <v>1</v>
      </c>
      <c r="O1901" s="23">
        <f>_xlfn.XLOOKUP(Snitch_Fashion_Sales_cleaned!$D1901,Table4[Product_Name],Table4[Product_Key],"not found")</f>
        <v>8</v>
      </c>
      <c r="P1901" s="32">
        <f>_xlfn.XLOOKUP(Snitch_Fashion_Sales_cleaned!$I1901,Table3[Order_Date],Table3[Date_Key])</f>
        <v>370</v>
      </c>
    </row>
    <row r="1902" spans="1:16" x14ac:dyDescent="0.3">
      <c r="A1902" s="27">
        <v>2900</v>
      </c>
      <c r="B1902" s="25" t="s">
        <v>1927</v>
      </c>
      <c r="C1902" s="25" t="s">
        <v>36</v>
      </c>
      <c r="D1902" s="26" t="s">
        <v>59</v>
      </c>
      <c r="E1902" s="27">
        <v>3</v>
      </c>
      <c r="F1902" s="28">
        <v>2765.26</v>
      </c>
      <c r="G1902" s="29">
        <v>0.51</v>
      </c>
      <c r="H1902" s="28">
        <f t="shared" si="60"/>
        <v>8295.7800000000007</v>
      </c>
      <c r="I1902" s="30">
        <v>45647</v>
      </c>
      <c r="J1902" s="26" t="s">
        <v>18</v>
      </c>
      <c r="K1902" s="26" t="s">
        <v>23</v>
      </c>
      <c r="L1902" s="31">
        <f t="shared" si="61"/>
        <v>4064.9322000000002</v>
      </c>
      <c r="M1902" s="31">
        <v>36.92</v>
      </c>
      <c r="N1902" s="22">
        <f>_xlfn.XLOOKUP(Snitch_Fashion_Sales_cleaned!$J1902,Table2[City],Table2[City_Key],"not found")</f>
        <v>2</v>
      </c>
      <c r="O1902" s="21">
        <f>_xlfn.XLOOKUP(Snitch_Fashion_Sales_cleaned!$D1902,Table4[Product_Name],Table4[Product_Key],"not found")</f>
        <v>13</v>
      </c>
      <c r="P1902" s="25">
        <f>_xlfn.XLOOKUP(Snitch_Fashion_Sales_cleaned!$I1902,Table3[Order_Date],Table3[Date_Key])</f>
        <v>5</v>
      </c>
    </row>
    <row r="1903" spans="1:16" x14ac:dyDescent="0.3">
      <c r="A1903" s="34">
        <v>2901</v>
      </c>
      <c r="B1903" s="32" t="s">
        <v>1928</v>
      </c>
      <c r="C1903" s="32" t="s">
        <v>25</v>
      </c>
      <c r="D1903" s="33" t="s">
        <v>50</v>
      </c>
      <c r="E1903" s="34">
        <v>2</v>
      </c>
      <c r="F1903" s="35">
        <v>1817.71</v>
      </c>
      <c r="G1903" s="36">
        <v>0.51</v>
      </c>
      <c r="H1903" s="35">
        <f t="shared" si="60"/>
        <v>3635.42</v>
      </c>
      <c r="I1903" s="37">
        <v>45775</v>
      </c>
      <c r="J1903" s="33" t="s">
        <v>22</v>
      </c>
      <c r="K1903" s="33" t="s">
        <v>16</v>
      </c>
      <c r="L1903" s="38">
        <f t="shared" si="61"/>
        <v>1781.3558</v>
      </c>
      <c r="M1903" s="38">
        <v>391.06</v>
      </c>
      <c r="N1903" s="24">
        <f>_xlfn.XLOOKUP(Snitch_Fashion_Sales_cleaned!$J1903,Table2[City],Table2[City_Key],"not found")</f>
        <v>3</v>
      </c>
      <c r="O1903" s="23">
        <f>_xlfn.XLOOKUP(Snitch_Fashion_Sales_cleaned!$D1903,Table4[Product_Name],Table4[Product_Key],"not found")</f>
        <v>11</v>
      </c>
      <c r="P1903" s="32">
        <f>_xlfn.XLOOKUP(Snitch_Fashion_Sales_cleaned!$I1903,Table3[Order_Date],Table3[Date_Key])</f>
        <v>387</v>
      </c>
    </row>
    <row r="1904" spans="1:16" x14ac:dyDescent="0.3">
      <c r="A1904" s="27">
        <v>2902</v>
      </c>
      <c r="B1904" s="25" t="s">
        <v>1929</v>
      </c>
      <c r="C1904" s="25" t="s">
        <v>13</v>
      </c>
      <c r="D1904" s="26" t="s">
        <v>34</v>
      </c>
      <c r="E1904" s="27">
        <v>5</v>
      </c>
      <c r="F1904" s="28">
        <v>3153.37</v>
      </c>
      <c r="G1904" s="29">
        <v>0.51</v>
      </c>
      <c r="H1904" s="28">
        <f t="shared" si="60"/>
        <v>15766.849999999999</v>
      </c>
      <c r="I1904" s="30">
        <v>45563</v>
      </c>
      <c r="J1904" s="26" t="s">
        <v>2540</v>
      </c>
      <c r="K1904" s="26" t="s">
        <v>23</v>
      </c>
      <c r="L1904" s="31">
        <f t="shared" si="61"/>
        <v>7725.7564999999995</v>
      </c>
      <c r="M1904" s="31">
        <v>-594.19000000000005</v>
      </c>
      <c r="N1904" s="22">
        <f>_xlfn.XLOOKUP(Snitch_Fashion_Sales_cleaned!$J1904,Table2[City],Table2[City_Key],"not found")</f>
        <v>4</v>
      </c>
      <c r="O1904" s="21">
        <f>_xlfn.XLOOKUP(Snitch_Fashion_Sales_cleaned!$D1904,Table4[Product_Name],Table4[Product_Key],"not found")</f>
        <v>6</v>
      </c>
      <c r="P1904" s="25">
        <f>_xlfn.XLOOKUP(Snitch_Fashion_Sales_cleaned!$I1904,Table3[Order_Date],Table3[Date_Key])</f>
        <v>134</v>
      </c>
    </row>
    <row r="1905" spans="1:16" x14ac:dyDescent="0.3">
      <c r="A1905" s="34">
        <v>2903</v>
      </c>
      <c r="B1905" s="32" t="s">
        <v>1930</v>
      </c>
      <c r="C1905" s="32" t="s">
        <v>31</v>
      </c>
      <c r="D1905" s="33" t="s">
        <v>68</v>
      </c>
      <c r="E1905" s="34">
        <v>4</v>
      </c>
      <c r="F1905" s="35">
        <v>2765.79</v>
      </c>
      <c r="G1905" s="36">
        <v>0.51</v>
      </c>
      <c r="H1905" s="35">
        <f t="shared" si="60"/>
        <v>11063.16</v>
      </c>
      <c r="I1905" s="37">
        <v>45647</v>
      </c>
      <c r="J1905" s="33" t="s">
        <v>52</v>
      </c>
      <c r="K1905" s="33" t="s">
        <v>16</v>
      </c>
      <c r="L1905" s="38">
        <f t="shared" si="61"/>
        <v>5420.9484000000002</v>
      </c>
      <c r="M1905" s="38">
        <v>2232.1799999999998</v>
      </c>
      <c r="N1905" s="24">
        <f>_xlfn.XLOOKUP(Snitch_Fashion_Sales_cleaned!$J1905,Table2[City],Table2[City_Key],"not found")</f>
        <v>5</v>
      </c>
      <c r="O1905" s="23">
        <f>_xlfn.XLOOKUP(Snitch_Fashion_Sales_cleaned!$D1905,Table4[Product_Name],Table4[Product_Key],"not found")</f>
        <v>15</v>
      </c>
      <c r="P1905" s="32">
        <f>_xlfn.XLOOKUP(Snitch_Fashion_Sales_cleaned!$I1905,Table3[Order_Date],Table3[Date_Key])</f>
        <v>5</v>
      </c>
    </row>
    <row r="1906" spans="1:16" x14ac:dyDescent="0.3">
      <c r="A1906" s="27">
        <v>2904</v>
      </c>
      <c r="B1906" s="25" t="s">
        <v>1931</v>
      </c>
      <c r="C1906" s="25" t="s">
        <v>31</v>
      </c>
      <c r="D1906" s="26" t="s">
        <v>32</v>
      </c>
      <c r="E1906" s="27">
        <v>5</v>
      </c>
      <c r="F1906" s="28">
        <v>1202.73</v>
      </c>
      <c r="G1906" s="29">
        <v>0.51</v>
      </c>
      <c r="H1906" s="28">
        <f t="shared" si="60"/>
        <v>6013.65</v>
      </c>
      <c r="I1906" s="30">
        <v>45599</v>
      </c>
      <c r="J1906" s="26" t="s">
        <v>52</v>
      </c>
      <c r="K1906" s="26" t="s">
        <v>16</v>
      </c>
      <c r="L1906" s="31">
        <f t="shared" si="61"/>
        <v>2946.6884999999997</v>
      </c>
      <c r="M1906" s="31">
        <v>658.6</v>
      </c>
      <c r="N1906" s="22">
        <f>_xlfn.XLOOKUP(Snitch_Fashion_Sales_cleaned!$J1906,Table2[City],Table2[City_Key],"not found")</f>
        <v>5</v>
      </c>
      <c r="O1906" s="21">
        <f>_xlfn.XLOOKUP(Snitch_Fashion_Sales_cleaned!$D1906,Table4[Product_Name],Table4[Product_Key],"not found")</f>
        <v>5</v>
      </c>
      <c r="P1906" s="25">
        <f>_xlfn.XLOOKUP(Snitch_Fashion_Sales_cleaned!$I1906,Table3[Order_Date],Table3[Date_Key])</f>
        <v>98</v>
      </c>
    </row>
    <row r="1907" spans="1:16" x14ac:dyDescent="0.3">
      <c r="A1907" s="34">
        <v>2905</v>
      </c>
      <c r="B1907" s="32" t="s">
        <v>1932</v>
      </c>
      <c r="C1907" s="32" t="s">
        <v>13</v>
      </c>
      <c r="D1907" s="33" t="s">
        <v>46</v>
      </c>
      <c r="E1907" s="34">
        <v>4</v>
      </c>
      <c r="F1907" s="35">
        <v>1478.93</v>
      </c>
      <c r="G1907" s="36">
        <v>0.51</v>
      </c>
      <c r="H1907" s="35">
        <f t="shared" si="60"/>
        <v>5915.72</v>
      </c>
      <c r="I1907" s="37">
        <v>45715</v>
      </c>
      <c r="J1907" s="33" t="s">
        <v>52</v>
      </c>
      <c r="K1907" s="33" t="s">
        <v>16</v>
      </c>
      <c r="L1907" s="38">
        <f t="shared" si="61"/>
        <v>2898.7028</v>
      </c>
      <c r="M1907" s="38">
        <v>25.28</v>
      </c>
      <c r="N1907" s="24">
        <f>_xlfn.XLOOKUP(Snitch_Fashion_Sales_cleaned!$J1907,Table2[City],Table2[City_Key],"not found")</f>
        <v>5</v>
      </c>
      <c r="O1907" s="23">
        <f>_xlfn.XLOOKUP(Snitch_Fashion_Sales_cleaned!$D1907,Table4[Product_Name],Table4[Product_Key],"not found")</f>
        <v>10</v>
      </c>
      <c r="P1907" s="32">
        <f>_xlfn.XLOOKUP(Snitch_Fashion_Sales_cleaned!$I1907,Table3[Order_Date],Table3[Date_Key])</f>
        <v>1</v>
      </c>
    </row>
    <row r="1908" spans="1:16" x14ac:dyDescent="0.3">
      <c r="A1908" s="27">
        <v>2906</v>
      </c>
      <c r="B1908" s="25" t="s">
        <v>1933</v>
      </c>
      <c r="C1908" s="25" t="s">
        <v>36</v>
      </c>
      <c r="D1908" s="26" t="s">
        <v>87</v>
      </c>
      <c r="E1908" s="27">
        <v>4</v>
      </c>
      <c r="F1908" s="28">
        <v>2889.5349999999999</v>
      </c>
      <c r="G1908" s="29">
        <v>0.25</v>
      </c>
      <c r="H1908" s="28">
        <f t="shared" si="60"/>
        <v>11558.14</v>
      </c>
      <c r="I1908" s="30">
        <v>45539</v>
      </c>
      <c r="J1908" s="26" t="s">
        <v>18</v>
      </c>
      <c r="K1908" s="26" t="s">
        <v>23</v>
      </c>
      <c r="L1908" s="31">
        <f t="shared" si="61"/>
        <v>8668.6049999999996</v>
      </c>
      <c r="M1908" s="31">
        <v>-116.3</v>
      </c>
      <c r="N1908" s="22">
        <f>_xlfn.XLOOKUP(Snitch_Fashion_Sales_cleaned!$J1908,Table2[City],Table2[City_Key],"not found")</f>
        <v>2</v>
      </c>
      <c r="O1908" s="21">
        <f>_xlfn.XLOOKUP(Snitch_Fashion_Sales_cleaned!$D1908,Table4[Product_Name],Table4[Product_Key],"not found")</f>
        <v>20</v>
      </c>
      <c r="P1908" s="25">
        <f>_xlfn.XLOOKUP(Snitch_Fashion_Sales_cleaned!$I1908,Table3[Order_Date],Table3[Date_Key])</f>
        <v>231</v>
      </c>
    </row>
    <row r="1909" spans="1:16" x14ac:dyDescent="0.3">
      <c r="A1909" s="34">
        <v>2907</v>
      </c>
      <c r="B1909" s="32" t="s">
        <v>1934</v>
      </c>
      <c r="C1909" s="32" t="s">
        <v>31</v>
      </c>
      <c r="D1909" s="33" t="s">
        <v>78</v>
      </c>
      <c r="E1909" s="34">
        <v>4</v>
      </c>
      <c r="F1909" s="35">
        <v>2599.75</v>
      </c>
      <c r="G1909" s="36">
        <v>0.51</v>
      </c>
      <c r="H1909" s="35">
        <f t="shared" si="60"/>
        <v>10399</v>
      </c>
      <c r="I1909" s="37">
        <v>45778</v>
      </c>
      <c r="J1909" s="33" t="s">
        <v>52</v>
      </c>
      <c r="K1909" s="33" t="s">
        <v>23</v>
      </c>
      <c r="L1909" s="38">
        <f t="shared" si="61"/>
        <v>5095.51</v>
      </c>
      <c r="M1909" s="38">
        <v>-782.3</v>
      </c>
      <c r="N1909" s="24">
        <f>_xlfn.XLOOKUP(Snitch_Fashion_Sales_cleaned!$J1909,Table2[City],Table2[City_Key],"not found")</f>
        <v>5</v>
      </c>
      <c r="O1909" s="23">
        <f>_xlfn.XLOOKUP(Snitch_Fashion_Sales_cleaned!$D1909,Table4[Product_Name],Table4[Product_Key],"not found")</f>
        <v>17</v>
      </c>
      <c r="P1909" s="32">
        <f>_xlfn.XLOOKUP(Snitch_Fashion_Sales_cleaned!$I1909,Table3[Order_Date],Table3[Date_Key])</f>
        <v>78</v>
      </c>
    </row>
    <row r="1910" spans="1:16" x14ac:dyDescent="0.3">
      <c r="A1910" s="27">
        <v>2908</v>
      </c>
      <c r="B1910" s="25" t="s">
        <v>1935</v>
      </c>
      <c r="C1910" s="25" t="s">
        <v>13</v>
      </c>
      <c r="D1910" s="26" t="s">
        <v>46</v>
      </c>
      <c r="E1910" s="27">
        <v>4</v>
      </c>
      <c r="F1910" s="28">
        <v>2891.64</v>
      </c>
      <c r="G1910" s="29">
        <v>0.51</v>
      </c>
      <c r="H1910" s="28">
        <f t="shared" si="60"/>
        <v>11566.56</v>
      </c>
      <c r="I1910" s="30">
        <v>45136</v>
      </c>
      <c r="J1910" s="26" t="s">
        <v>43</v>
      </c>
      <c r="K1910" s="26" t="s">
        <v>16</v>
      </c>
      <c r="L1910" s="31">
        <f t="shared" si="61"/>
        <v>5667.6143999999995</v>
      </c>
      <c r="M1910" s="31">
        <v>-61.23</v>
      </c>
      <c r="N1910" s="22">
        <f>_xlfn.XLOOKUP(Snitch_Fashion_Sales_cleaned!$J1910,Table2[City],Table2[City_Key],"not found")</f>
        <v>6</v>
      </c>
      <c r="O1910" s="21">
        <f>_xlfn.XLOOKUP(Snitch_Fashion_Sales_cleaned!$D1910,Table4[Product_Name],Table4[Product_Key],"not found")</f>
        <v>10</v>
      </c>
      <c r="P1910" s="25">
        <f>_xlfn.XLOOKUP(Snitch_Fashion_Sales_cleaned!$I1910,Table3[Order_Date],Table3[Date_Key])</f>
        <v>145</v>
      </c>
    </row>
    <row r="1911" spans="1:16" x14ac:dyDescent="0.3">
      <c r="A1911" s="34">
        <v>2909</v>
      </c>
      <c r="B1911" s="32" t="s">
        <v>1936</v>
      </c>
      <c r="C1911" s="32" t="s">
        <v>31</v>
      </c>
      <c r="D1911" s="33" t="s">
        <v>32</v>
      </c>
      <c r="E1911" s="34">
        <v>4</v>
      </c>
      <c r="F1911" s="35">
        <v>2928.84</v>
      </c>
      <c r="G1911" s="36">
        <v>0.51</v>
      </c>
      <c r="H1911" s="35">
        <f t="shared" si="60"/>
        <v>11715.36</v>
      </c>
      <c r="I1911" s="37">
        <v>45727</v>
      </c>
      <c r="J1911" s="33" t="s">
        <v>15</v>
      </c>
      <c r="K1911" s="33" t="s">
        <v>23</v>
      </c>
      <c r="L1911" s="38">
        <f t="shared" si="61"/>
        <v>5740.5263999999997</v>
      </c>
      <c r="M1911" s="38">
        <v>-477.2</v>
      </c>
      <c r="N1911" s="24">
        <f>_xlfn.XLOOKUP(Snitch_Fashion_Sales_cleaned!$J1911,Table2[City],Table2[City_Key],"not found")</f>
        <v>1</v>
      </c>
      <c r="O1911" s="23">
        <f>_xlfn.XLOOKUP(Snitch_Fashion_Sales_cleaned!$D1911,Table4[Product_Name],Table4[Product_Key],"not found")</f>
        <v>5</v>
      </c>
      <c r="P1911" s="32">
        <f>_xlfn.XLOOKUP(Snitch_Fashion_Sales_cleaned!$I1911,Table3[Order_Date],Table3[Date_Key])</f>
        <v>357</v>
      </c>
    </row>
    <row r="1912" spans="1:16" x14ac:dyDescent="0.3">
      <c r="A1912" s="27">
        <v>2910</v>
      </c>
      <c r="B1912" s="25" t="s">
        <v>1937</v>
      </c>
      <c r="C1912" s="25" t="s">
        <v>36</v>
      </c>
      <c r="D1912" s="26" t="s">
        <v>87</v>
      </c>
      <c r="E1912" s="27">
        <v>4</v>
      </c>
      <c r="F1912" s="28">
        <v>1027.54</v>
      </c>
      <c r="G1912" s="29">
        <v>0.55000000000000004</v>
      </c>
      <c r="H1912" s="28">
        <f t="shared" si="60"/>
        <v>4110.16</v>
      </c>
      <c r="I1912" s="30">
        <v>45678</v>
      </c>
      <c r="J1912" s="26" t="s">
        <v>18</v>
      </c>
      <c r="K1912" s="26" t="s">
        <v>16</v>
      </c>
      <c r="L1912" s="31">
        <f t="shared" si="61"/>
        <v>1849.5719999999997</v>
      </c>
      <c r="M1912" s="31">
        <v>-580.87</v>
      </c>
      <c r="N1912" s="22">
        <f>_xlfn.XLOOKUP(Snitch_Fashion_Sales_cleaned!$J1912,Table2[City],Table2[City_Key],"not found")</f>
        <v>2</v>
      </c>
      <c r="O1912" s="21">
        <f>_xlfn.XLOOKUP(Snitch_Fashion_Sales_cleaned!$D1912,Table4[Product_Name],Table4[Product_Key],"not found")</f>
        <v>20</v>
      </c>
      <c r="P1912" s="25">
        <f>_xlfn.XLOOKUP(Snitch_Fashion_Sales_cleaned!$I1912,Table3[Order_Date],Table3[Date_Key])</f>
        <v>208</v>
      </c>
    </row>
    <row r="1913" spans="1:16" x14ac:dyDescent="0.3">
      <c r="A1913" s="34">
        <v>2911</v>
      </c>
      <c r="B1913" s="32" t="s">
        <v>1938</v>
      </c>
      <c r="C1913" s="32" t="s">
        <v>36</v>
      </c>
      <c r="D1913" s="33" t="s">
        <v>37</v>
      </c>
      <c r="E1913" s="34">
        <v>1</v>
      </c>
      <c r="F1913" s="35">
        <v>2975.64</v>
      </c>
      <c r="G1913" s="36">
        <v>0.51</v>
      </c>
      <c r="H1913" s="35">
        <f t="shared" si="60"/>
        <v>2975.64</v>
      </c>
      <c r="I1913" s="37">
        <v>45647</v>
      </c>
      <c r="J1913" s="33" t="s">
        <v>18</v>
      </c>
      <c r="K1913" s="33" t="s">
        <v>23</v>
      </c>
      <c r="L1913" s="38">
        <f t="shared" si="61"/>
        <v>1458.0636</v>
      </c>
      <c r="M1913" s="38">
        <v>364.51589999999999</v>
      </c>
      <c r="N1913" s="24">
        <f>_xlfn.XLOOKUP(Snitch_Fashion_Sales_cleaned!$J1913,Table2[City],Table2[City_Key],"not found")</f>
        <v>2</v>
      </c>
      <c r="O1913" s="23">
        <f>_xlfn.XLOOKUP(Snitch_Fashion_Sales_cleaned!$D1913,Table4[Product_Name],Table4[Product_Key],"not found")</f>
        <v>7</v>
      </c>
      <c r="P1913" s="32">
        <f>_xlfn.XLOOKUP(Snitch_Fashion_Sales_cleaned!$I1913,Table3[Order_Date],Table3[Date_Key])</f>
        <v>5</v>
      </c>
    </row>
    <row r="1914" spans="1:16" x14ac:dyDescent="0.3">
      <c r="A1914" s="27">
        <v>2912</v>
      </c>
      <c r="B1914" s="25" t="s">
        <v>1939</v>
      </c>
      <c r="C1914" s="25" t="s">
        <v>25</v>
      </c>
      <c r="D1914" s="26" t="s">
        <v>82</v>
      </c>
      <c r="E1914" s="27">
        <v>3</v>
      </c>
      <c r="F1914" s="28">
        <v>2385.5749999999998</v>
      </c>
      <c r="G1914" s="29">
        <v>0.51</v>
      </c>
      <c r="H1914" s="28">
        <f t="shared" si="60"/>
        <v>7156.7249999999995</v>
      </c>
      <c r="I1914" s="30">
        <v>45506</v>
      </c>
      <c r="J1914" s="26" t="s">
        <v>43</v>
      </c>
      <c r="K1914" s="26" t="s">
        <v>23</v>
      </c>
      <c r="L1914" s="31">
        <f t="shared" si="61"/>
        <v>3506.7952499999997</v>
      </c>
      <c r="M1914" s="31">
        <v>-97.77</v>
      </c>
      <c r="N1914" s="22">
        <f>_xlfn.XLOOKUP(Snitch_Fashion_Sales_cleaned!$J1914,Table2[City],Table2[City_Key],"not found")</f>
        <v>6</v>
      </c>
      <c r="O1914" s="21">
        <f>_xlfn.XLOOKUP(Snitch_Fashion_Sales_cleaned!$D1914,Table4[Product_Name],Table4[Product_Key],"not found")</f>
        <v>18</v>
      </c>
      <c r="P1914" s="25">
        <f>_xlfn.XLOOKUP(Snitch_Fashion_Sales_cleaned!$I1914,Table3[Order_Date],Table3[Date_Key])</f>
        <v>178</v>
      </c>
    </row>
    <row r="1915" spans="1:16" x14ac:dyDescent="0.3">
      <c r="A1915" s="34">
        <v>2913</v>
      </c>
      <c r="B1915" s="32" t="s">
        <v>1940</v>
      </c>
      <c r="C1915" s="32" t="s">
        <v>25</v>
      </c>
      <c r="D1915" s="33" t="s">
        <v>50</v>
      </c>
      <c r="E1915" s="34">
        <v>4</v>
      </c>
      <c r="F1915" s="35">
        <v>2666.2200000000003</v>
      </c>
      <c r="G1915" s="36">
        <v>0.51</v>
      </c>
      <c r="H1915" s="35">
        <f t="shared" si="60"/>
        <v>10664.880000000001</v>
      </c>
      <c r="I1915" s="37">
        <v>45647</v>
      </c>
      <c r="J1915" s="33" t="s">
        <v>18</v>
      </c>
      <c r="K1915" s="33" t="s">
        <v>16</v>
      </c>
      <c r="L1915" s="38">
        <f t="shared" si="61"/>
        <v>5225.7912000000006</v>
      </c>
      <c r="M1915" s="38">
        <v>1693.76</v>
      </c>
      <c r="N1915" s="24">
        <f>_xlfn.XLOOKUP(Snitch_Fashion_Sales_cleaned!$J1915,Table2[City],Table2[City_Key],"not found")</f>
        <v>2</v>
      </c>
      <c r="O1915" s="23">
        <f>_xlfn.XLOOKUP(Snitch_Fashion_Sales_cleaned!$D1915,Table4[Product_Name],Table4[Product_Key],"not found")</f>
        <v>11</v>
      </c>
      <c r="P1915" s="32">
        <f>_xlfn.XLOOKUP(Snitch_Fashion_Sales_cleaned!$I1915,Table3[Order_Date],Table3[Date_Key])</f>
        <v>5</v>
      </c>
    </row>
    <row r="1916" spans="1:16" x14ac:dyDescent="0.3">
      <c r="A1916" s="27">
        <v>2914</v>
      </c>
      <c r="B1916" s="25" t="s">
        <v>1941</v>
      </c>
      <c r="C1916" s="25" t="s">
        <v>28</v>
      </c>
      <c r="D1916" s="26" t="s">
        <v>29</v>
      </c>
      <c r="E1916" s="27">
        <v>3</v>
      </c>
      <c r="F1916" s="28">
        <v>2515.415</v>
      </c>
      <c r="G1916" s="29">
        <v>0.51</v>
      </c>
      <c r="H1916" s="28">
        <f t="shared" si="60"/>
        <v>7546.2449999999999</v>
      </c>
      <c r="I1916" s="30">
        <v>45281</v>
      </c>
      <c r="J1916" s="26" t="s">
        <v>15</v>
      </c>
      <c r="K1916" s="26" t="s">
        <v>23</v>
      </c>
      <c r="L1916" s="31">
        <f t="shared" si="61"/>
        <v>3697.66005</v>
      </c>
      <c r="M1916" s="31">
        <v>2321.6</v>
      </c>
      <c r="N1916" s="22">
        <f>_xlfn.XLOOKUP(Snitch_Fashion_Sales_cleaned!$J1916,Table2[City],Table2[City_Key],"not found")</f>
        <v>1</v>
      </c>
      <c r="O1916" s="21">
        <f>_xlfn.XLOOKUP(Snitch_Fashion_Sales_cleaned!$D1916,Table4[Product_Name],Table4[Product_Key],"not found")</f>
        <v>4</v>
      </c>
      <c r="P1916" s="25">
        <f>_xlfn.XLOOKUP(Snitch_Fashion_Sales_cleaned!$I1916,Table3[Order_Date],Table3[Date_Key])</f>
        <v>521</v>
      </c>
    </row>
    <row r="1917" spans="1:16" x14ac:dyDescent="0.3">
      <c r="A1917" s="34">
        <v>2915</v>
      </c>
      <c r="B1917" s="32" t="s">
        <v>1942</v>
      </c>
      <c r="C1917" s="32" t="s">
        <v>28</v>
      </c>
      <c r="D1917" s="33" t="s">
        <v>29</v>
      </c>
      <c r="E1917" s="34">
        <v>3</v>
      </c>
      <c r="F1917" s="35">
        <v>3022.15</v>
      </c>
      <c r="G1917" s="36">
        <v>0.51</v>
      </c>
      <c r="H1917" s="35">
        <f t="shared" si="60"/>
        <v>9066.4500000000007</v>
      </c>
      <c r="I1917" s="37">
        <v>45645</v>
      </c>
      <c r="J1917" s="33" t="s">
        <v>15</v>
      </c>
      <c r="K1917" s="33" t="s">
        <v>23</v>
      </c>
      <c r="L1917" s="38">
        <f t="shared" si="61"/>
        <v>4442.5605000000005</v>
      </c>
      <c r="M1917" s="38">
        <v>-528.82000000000005</v>
      </c>
      <c r="N1917" s="24">
        <f>_xlfn.XLOOKUP(Snitch_Fashion_Sales_cleaned!$J1917,Table2[City],Table2[City_Key],"not found")</f>
        <v>1</v>
      </c>
      <c r="O1917" s="23">
        <f>_xlfn.XLOOKUP(Snitch_Fashion_Sales_cleaned!$D1917,Table4[Product_Name],Table4[Product_Key],"not found")</f>
        <v>4</v>
      </c>
      <c r="P1917" s="32">
        <f>_xlfn.XLOOKUP(Snitch_Fashion_Sales_cleaned!$I1917,Table3[Order_Date],Table3[Date_Key])</f>
        <v>463</v>
      </c>
    </row>
    <row r="1918" spans="1:16" x14ac:dyDescent="0.3">
      <c r="A1918" s="27">
        <v>2916</v>
      </c>
      <c r="B1918" s="25" t="s">
        <v>1943</v>
      </c>
      <c r="C1918" s="25" t="s">
        <v>20</v>
      </c>
      <c r="D1918" s="26" t="s">
        <v>84</v>
      </c>
      <c r="E1918" s="27">
        <v>3</v>
      </c>
      <c r="F1918" s="28">
        <v>2483.4899999999998</v>
      </c>
      <c r="G1918" s="29">
        <v>0.51</v>
      </c>
      <c r="H1918" s="28">
        <f t="shared" si="60"/>
        <v>7450.4699999999993</v>
      </c>
      <c r="I1918" s="30">
        <v>45758</v>
      </c>
      <c r="J1918" s="26" t="s">
        <v>18</v>
      </c>
      <c r="K1918" s="26" t="s">
        <v>23</v>
      </c>
      <c r="L1918" s="31">
        <f t="shared" si="61"/>
        <v>3650.7302999999997</v>
      </c>
      <c r="M1918" s="31">
        <v>370.61</v>
      </c>
      <c r="N1918" s="22">
        <f>_xlfn.XLOOKUP(Snitch_Fashion_Sales_cleaned!$J1918,Table2[City],Table2[City_Key],"not found")</f>
        <v>2</v>
      </c>
      <c r="O1918" s="21">
        <f>_xlfn.XLOOKUP(Snitch_Fashion_Sales_cleaned!$D1918,Table4[Product_Name],Table4[Product_Key],"not found")</f>
        <v>19</v>
      </c>
      <c r="P1918" s="25">
        <f>_xlfn.XLOOKUP(Snitch_Fashion_Sales_cleaned!$I1918,Table3[Order_Date],Table3[Date_Key])</f>
        <v>207</v>
      </c>
    </row>
    <row r="1919" spans="1:16" x14ac:dyDescent="0.3">
      <c r="A1919" s="34">
        <v>1027</v>
      </c>
      <c r="B1919" s="32" t="s">
        <v>1944</v>
      </c>
      <c r="C1919" s="32" t="s">
        <v>28</v>
      </c>
      <c r="D1919" s="33" t="s">
        <v>116</v>
      </c>
      <c r="E1919" s="34">
        <v>4</v>
      </c>
      <c r="F1919" s="35">
        <v>2092.33</v>
      </c>
      <c r="G1919" s="36">
        <v>0.51</v>
      </c>
      <c r="H1919" s="35">
        <f t="shared" si="60"/>
        <v>8369.32</v>
      </c>
      <c r="I1919" s="37">
        <v>45761</v>
      </c>
      <c r="J1919" s="33" t="s">
        <v>18</v>
      </c>
      <c r="K1919" s="33" t="s">
        <v>23</v>
      </c>
      <c r="L1919" s="38">
        <f t="shared" si="61"/>
        <v>4100.9668000000001</v>
      </c>
      <c r="M1919" s="38">
        <v>-586.88</v>
      </c>
      <c r="N1919" s="24">
        <f>_xlfn.XLOOKUP(Snitch_Fashion_Sales_cleaned!$J1919,Table2[City],Table2[City_Key],"not found")</f>
        <v>2</v>
      </c>
      <c r="O1919" s="23">
        <f>_xlfn.XLOOKUP(Snitch_Fashion_Sales_cleaned!$D1919,Table4[Product_Name],Table4[Product_Key],"not found")</f>
        <v>22</v>
      </c>
      <c r="P1919" s="32">
        <f>_xlfn.XLOOKUP(Snitch_Fashion_Sales_cleaned!$I1919,Table3[Order_Date],Table3[Date_Key])</f>
        <v>504</v>
      </c>
    </row>
    <row r="1920" spans="1:16" x14ac:dyDescent="0.3">
      <c r="A1920" s="27">
        <v>2918</v>
      </c>
      <c r="B1920" s="25" t="s">
        <v>1945</v>
      </c>
      <c r="C1920" s="25" t="s">
        <v>25</v>
      </c>
      <c r="D1920" s="26" t="s">
        <v>50</v>
      </c>
      <c r="E1920" s="27">
        <v>4</v>
      </c>
      <c r="F1920" s="28">
        <v>2666.2200000000003</v>
      </c>
      <c r="G1920" s="29">
        <v>0.51</v>
      </c>
      <c r="H1920" s="28">
        <f t="shared" si="60"/>
        <v>10664.880000000001</v>
      </c>
      <c r="I1920" s="30">
        <v>45647</v>
      </c>
      <c r="J1920" s="26" t="s">
        <v>15</v>
      </c>
      <c r="K1920" s="26" t="s">
        <v>23</v>
      </c>
      <c r="L1920" s="31">
        <f t="shared" si="61"/>
        <v>5225.7912000000006</v>
      </c>
      <c r="M1920" s="31">
        <v>899.98</v>
      </c>
      <c r="N1920" s="22">
        <f>_xlfn.XLOOKUP(Snitch_Fashion_Sales_cleaned!$J1920,Table2[City],Table2[City_Key],"not found")</f>
        <v>1</v>
      </c>
      <c r="O1920" s="21">
        <f>_xlfn.XLOOKUP(Snitch_Fashion_Sales_cleaned!$D1920,Table4[Product_Name],Table4[Product_Key],"not found")</f>
        <v>11</v>
      </c>
      <c r="P1920" s="25">
        <f>_xlfn.XLOOKUP(Snitch_Fashion_Sales_cleaned!$I1920,Table3[Order_Date],Table3[Date_Key])</f>
        <v>5</v>
      </c>
    </row>
    <row r="1921" spans="1:16" x14ac:dyDescent="0.3">
      <c r="A1921" s="34">
        <v>2919</v>
      </c>
      <c r="B1921" s="32" t="s">
        <v>1946</v>
      </c>
      <c r="C1921" s="32" t="s">
        <v>13</v>
      </c>
      <c r="D1921" s="33" t="s">
        <v>14</v>
      </c>
      <c r="E1921" s="34">
        <v>2</v>
      </c>
      <c r="F1921" s="35">
        <v>535.62</v>
      </c>
      <c r="G1921" s="36">
        <v>0.51</v>
      </c>
      <c r="H1921" s="35">
        <f t="shared" si="60"/>
        <v>1071.24</v>
      </c>
      <c r="I1921" s="37">
        <v>45500</v>
      </c>
      <c r="J1921" s="33" t="s">
        <v>2540</v>
      </c>
      <c r="K1921" s="33" t="s">
        <v>16</v>
      </c>
      <c r="L1921" s="38">
        <f t="shared" si="61"/>
        <v>524.9076</v>
      </c>
      <c r="M1921" s="38">
        <v>-637.47</v>
      </c>
      <c r="N1921" s="24">
        <f>_xlfn.XLOOKUP(Snitch_Fashion_Sales_cleaned!$J1921,Table2[City],Table2[City_Key],"not found")</f>
        <v>4</v>
      </c>
      <c r="O1921" s="23">
        <f>_xlfn.XLOOKUP(Snitch_Fashion_Sales_cleaned!$D1921,Table4[Product_Name],Table4[Product_Key],"not found")</f>
        <v>1</v>
      </c>
      <c r="P1921" s="32">
        <f>_xlfn.XLOOKUP(Snitch_Fashion_Sales_cleaned!$I1921,Table3[Order_Date],Table3[Date_Key])</f>
        <v>216</v>
      </c>
    </row>
    <row r="1922" spans="1:16" x14ac:dyDescent="0.3">
      <c r="A1922" s="27">
        <v>2920</v>
      </c>
      <c r="B1922" s="25" t="s">
        <v>555</v>
      </c>
      <c r="C1922" s="25" t="s">
        <v>28</v>
      </c>
      <c r="D1922" s="26" t="s">
        <v>29</v>
      </c>
      <c r="E1922" s="27">
        <v>1</v>
      </c>
      <c r="F1922" s="28">
        <v>2515.415</v>
      </c>
      <c r="G1922" s="29">
        <v>0.51</v>
      </c>
      <c r="H1922" s="28">
        <f t="shared" si="60"/>
        <v>2515.415</v>
      </c>
      <c r="I1922" s="30">
        <v>45648</v>
      </c>
      <c r="J1922" s="26" t="s">
        <v>52</v>
      </c>
      <c r="K1922" s="26" t="s">
        <v>23</v>
      </c>
      <c r="L1922" s="31">
        <f t="shared" si="61"/>
        <v>1232.5533499999999</v>
      </c>
      <c r="M1922" s="31">
        <v>489.94</v>
      </c>
      <c r="N1922" s="22">
        <f>_xlfn.XLOOKUP(Snitch_Fashion_Sales_cleaned!$J1922,Table2[City],Table2[City_Key],"not found")</f>
        <v>5</v>
      </c>
      <c r="O1922" s="21">
        <f>_xlfn.XLOOKUP(Snitch_Fashion_Sales_cleaned!$D1922,Table4[Product_Name],Table4[Product_Key],"not found")</f>
        <v>4</v>
      </c>
      <c r="P1922" s="25">
        <f>_xlfn.XLOOKUP(Snitch_Fashion_Sales_cleaned!$I1922,Table3[Order_Date],Table3[Date_Key])</f>
        <v>193</v>
      </c>
    </row>
    <row r="1923" spans="1:16" x14ac:dyDescent="0.3">
      <c r="A1923" s="34">
        <v>2921</v>
      </c>
      <c r="B1923" s="32" t="s">
        <v>1947</v>
      </c>
      <c r="C1923" s="32" t="s">
        <v>25</v>
      </c>
      <c r="D1923" s="33" t="s">
        <v>50</v>
      </c>
      <c r="E1923" s="34">
        <v>6</v>
      </c>
      <c r="F1923" s="35">
        <v>2666.2200000000003</v>
      </c>
      <c r="G1923" s="36">
        <v>0.51</v>
      </c>
      <c r="H1923" s="35">
        <f t="shared" si="60"/>
        <v>15997.320000000002</v>
      </c>
      <c r="I1923" s="37">
        <v>45826</v>
      </c>
      <c r="J1923" s="33" t="s">
        <v>52</v>
      </c>
      <c r="K1923" s="33" t="s">
        <v>23</v>
      </c>
      <c r="L1923" s="38">
        <f t="shared" si="61"/>
        <v>7838.6868000000004</v>
      </c>
      <c r="M1923" s="38">
        <v>-821.17</v>
      </c>
      <c r="N1923" s="24">
        <f>_xlfn.XLOOKUP(Snitch_Fashion_Sales_cleaned!$J1923,Table2[City],Table2[City_Key],"not found")</f>
        <v>5</v>
      </c>
      <c r="O1923" s="23">
        <f>_xlfn.XLOOKUP(Snitch_Fashion_Sales_cleaned!$D1923,Table4[Product_Name],Table4[Product_Key],"not found")</f>
        <v>11</v>
      </c>
      <c r="P1923" s="32">
        <f>_xlfn.XLOOKUP(Snitch_Fashion_Sales_cleaned!$I1923,Table3[Order_Date],Table3[Date_Key])</f>
        <v>4</v>
      </c>
    </row>
    <row r="1924" spans="1:16" x14ac:dyDescent="0.3">
      <c r="A1924" s="27">
        <v>2922</v>
      </c>
      <c r="B1924" s="25" t="s">
        <v>1948</v>
      </c>
      <c r="C1924" s="25" t="s">
        <v>20</v>
      </c>
      <c r="D1924" s="26" t="s">
        <v>118</v>
      </c>
      <c r="E1924" s="27">
        <v>3.5</v>
      </c>
      <c r="F1924" s="28">
        <v>2488.9499999999998</v>
      </c>
      <c r="G1924" s="29">
        <v>0.51</v>
      </c>
      <c r="H1924" s="28">
        <f t="shared" si="60"/>
        <v>8711.3249999999989</v>
      </c>
      <c r="I1924" s="30">
        <v>45647</v>
      </c>
      <c r="J1924" s="26" t="s">
        <v>52</v>
      </c>
      <c r="K1924" s="26" t="s">
        <v>16</v>
      </c>
      <c r="L1924" s="31">
        <f t="shared" si="61"/>
        <v>4268.5492499999991</v>
      </c>
      <c r="M1924" s="31">
        <v>2827.47</v>
      </c>
      <c r="N1924" s="22">
        <f>_xlfn.XLOOKUP(Snitch_Fashion_Sales_cleaned!$J1924,Table2[City],Table2[City_Key],"not found")</f>
        <v>5</v>
      </c>
      <c r="O1924" s="21">
        <f>_xlfn.XLOOKUP(Snitch_Fashion_Sales_cleaned!$D1924,Table4[Product_Name],Table4[Product_Key],"not found")</f>
        <v>23</v>
      </c>
      <c r="P1924" s="25">
        <f>_xlfn.XLOOKUP(Snitch_Fashion_Sales_cleaned!$I1924,Table3[Order_Date],Table3[Date_Key])</f>
        <v>5</v>
      </c>
    </row>
    <row r="1925" spans="1:16" x14ac:dyDescent="0.3">
      <c r="A1925" s="34">
        <v>2923</v>
      </c>
      <c r="B1925" s="32" t="s">
        <v>1949</v>
      </c>
      <c r="C1925" s="32" t="s">
        <v>28</v>
      </c>
      <c r="D1925" s="33" t="s">
        <v>39</v>
      </c>
      <c r="E1925" s="34">
        <v>3</v>
      </c>
      <c r="F1925" s="35">
        <v>2577.6350000000002</v>
      </c>
      <c r="G1925" s="36">
        <v>0.17</v>
      </c>
      <c r="H1925" s="35">
        <f t="shared" si="60"/>
        <v>7732.9050000000007</v>
      </c>
      <c r="I1925" s="37">
        <v>45311</v>
      </c>
      <c r="J1925" s="33" t="s">
        <v>52</v>
      </c>
      <c r="K1925" s="33" t="s">
        <v>16</v>
      </c>
      <c r="L1925" s="38">
        <f t="shared" si="61"/>
        <v>6418.3111500000005</v>
      </c>
      <c r="M1925" s="38">
        <v>-674.63</v>
      </c>
      <c r="N1925" s="24">
        <f>_xlfn.XLOOKUP(Snitch_Fashion_Sales_cleaned!$J1925,Table2[City],Table2[City_Key],"not found")</f>
        <v>5</v>
      </c>
      <c r="O1925" s="23">
        <f>_xlfn.XLOOKUP(Snitch_Fashion_Sales_cleaned!$D1925,Table4[Product_Name],Table4[Product_Key],"not found")</f>
        <v>8</v>
      </c>
      <c r="P1925" s="32">
        <f>_xlfn.XLOOKUP(Snitch_Fashion_Sales_cleaned!$I1925,Table3[Order_Date],Table3[Date_Key])</f>
        <v>25</v>
      </c>
    </row>
    <row r="1926" spans="1:16" x14ac:dyDescent="0.3">
      <c r="A1926" s="27">
        <v>2924</v>
      </c>
      <c r="B1926" s="25" t="s">
        <v>1950</v>
      </c>
      <c r="C1926" s="25" t="s">
        <v>20</v>
      </c>
      <c r="D1926" s="26" t="s">
        <v>76</v>
      </c>
      <c r="E1926" s="27">
        <v>3</v>
      </c>
      <c r="F1926" s="28">
        <v>4151.88</v>
      </c>
      <c r="G1926" s="29">
        <v>0.05</v>
      </c>
      <c r="H1926" s="28">
        <f t="shared" ref="H1926:H1989" si="62">E1926*F1926</f>
        <v>12455.64</v>
      </c>
      <c r="I1926" s="30">
        <v>45746</v>
      </c>
      <c r="J1926" s="26" t="s">
        <v>43</v>
      </c>
      <c r="K1926" s="26" t="s">
        <v>23</v>
      </c>
      <c r="L1926" s="31">
        <f t="shared" ref="L1926:L1989" si="63">H1926*(1-G1926)</f>
        <v>11832.857999999998</v>
      </c>
      <c r="M1926" s="31">
        <v>577.77</v>
      </c>
      <c r="N1926" s="22">
        <f>_xlfn.XLOOKUP(Snitch_Fashion_Sales_cleaned!$J1926,Table2[City],Table2[City_Key],"not found")</f>
        <v>6</v>
      </c>
      <c r="O1926" s="21">
        <f>_xlfn.XLOOKUP(Snitch_Fashion_Sales_cleaned!$D1926,Table4[Product_Name],Table4[Product_Key],"not found")</f>
        <v>16</v>
      </c>
      <c r="P1926" s="25">
        <f>_xlfn.XLOOKUP(Snitch_Fashion_Sales_cleaned!$I1926,Table3[Order_Date],Table3[Date_Key])</f>
        <v>112</v>
      </c>
    </row>
    <row r="1927" spans="1:16" x14ac:dyDescent="0.3">
      <c r="A1927" s="34">
        <v>1004</v>
      </c>
      <c r="B1927" s="32" t="s">
        <v>1951</v>
      </c>
      <c r="C1927" s="32" t="s">
        <v>13</v>
      </c>
      <c r="D1927" s="33" t="s">
        <v>14</v>
      </c>
      <c r="E1927" s="34">
        <v>4</v>
      </c>
      <c r="F1927" s="35">
        <v>977.64</v>
      </c>
      <c r="G1927" s="36">
        <v>0.51</v>
      </c>
      <c r="H1927" s="35">
        <f t="shared" si="62"/>
        <v>3910.56</v>
      </c>
      <c r="I1927" s="37">
        <v>45613</v>
      </c>
      <c r="J1927" s="33" t="s">
        <v>2540</v>
      </c>
      <c r="K1927" s="33" t="s">
        <v>23</v>
      </c>
      <c r="L1927" s="38">
        <f t="shared" si="63"/>
        <v>1916.1743999999999</v>
      </c>
      <c r="M1927" s="38">
        <v>479.04359999999997</v>
      </c>
      <c r="N1927" s="24">
        <f>_xlfn.XLOOKUP(Snitch_Fashion_Sales_cleaned!$J1927,Table2[City],Table2[City_Key],"not found")</f>
        <v>4</v>
      </c>
      <c r="O1927" s="23">
        <f>_xlfn.XLOOKUP(Snitch_Fashion_Sales_cleaned!$D1927,Table4[Product_Name],Table4[Product_Key],"not found")</f>
        <v>1</v>
      </c>
      <c r="P1927" s="32">
        <f>_xlfn.XLOOKUP(Snitch_Fashion_Sales_cleaned!$I1927,Table3[Order_Date],Table3[Date_Key])</f>
        <v>375</v>
      </c>
    </row>
    <row r="1928" spans="1:16" x14ac:dyDescent="0.3">
      <c r="A1928" s="27">
        <v>2926</v>
      </c>
      <c r="B1928" s="25" t="s">
        <v>1952</v>
      </c>
      <c r="C1928" s="25" t="s">
        <v>36</v>
      </c>
      <c r="D1928" s="26" t="s">
        <v>59</v>
      </c>
      <c r="E1928" s="27">
        <v>4</v>
      </c>
      <c r="F1928" s="28">
        <v>3263.06</v>
      </c>
      <c r="G1928" s="29">
        <v>0.16</v>
      </c>
      <c r="H1928" s="28">
        <f t="shared" si="62"/>
        <v>13052.24</v>
      </c>
      <c r="I1928" s="30">
        <v>45611</v>
      </c>
      <c r="J1928" s="26" t="s">
        <v>22</v>
      </c>
      <c r="K1928" s="26" t="s">
        <v>23</v>
      </c>
      <c r="L1928" s="31">
        <f t="shared" si="63"/>
        <v>10963.881599999999</v>
      </c>
      <c r="M1928" s="31">
        <v>2428.73</v>
      </c>
      <c r="N1928" s="22">
        <f>_xlfn.XLOOKUP(Snitch_Fashion_Sales_cleaned!$J1928,Table2[City],Table2[City_Key],"not found")</f>
        <v>3</v>
      </c>
      <c r="O1928" s="21">
        <f>_xlfn.XLOOKUP(Snitch_Fashion_Sales_cleaned!$D1928,Table4[Product_Name],Table4[Product_Key],"not found")</f>
        <v>13</v>
      </c>
      <c r="P1928" s="25">
        <f>_xlfn.XLOOKUP(Snitch_Fashion_Sales_cleaned!$I1928,Table3[Order_Date],Table3[Date_Key])</f>
        <v>27</v>
      </c>
    </row>
    <row r="1929" spans="1:16" x14ac:dyDescent="0.3">
      <c r="A1929" s="34">
        <v>2927</v>
      </c>
      <c r="B1929" s="32" t="s">
        <v>1953</v>
      </c>
      <c r="C1929" s="32" t="s">
        <v>36</v>
      </c>
      <c r="D1929" s="33" t="s">
        <v>59</v>
      </c>
      <c r="E1929" s="34">
        <v>3</v>
      </c>
      <c r="F1929" s="35">
        <v>2765.26</v>
      </c>
      <c r="G1929" s="36">
        <v>0.51</v>
      </c>
      <c r="H1929" s="35">
        <f t="shared" si="62"/>
        <v>8295.7800000000007</v>
      </c>
      <c r="I1929" s="37">
        <v>45859</v>
      </c>
      <c r="J1929" s="33" t="s">
        <v>22</v>
      </c>
      <c r="K1929" s="33" t="s">
        <v>23</v>
      </c>
      <c r="L1929" s="38">
        <f t="shared" si="63"/>
        <v>4064.9322000000002</v>
      </c>
      <c r="M1929" s="38">
        <v>-674.94</v>
      </c>
      <c r="N1929" s="24">
        <f>_xlfn.XLOOKUP(Snitch_Fashion_Sales_cleaned!$J1929,Table2[City],Table2[City_Key],"not found")</f>
        <v>3</v>
      </c>
      <c r="O1929" s="23">
        <f>_xlfn.XLOOKUP(Snitch_Fashion_Sales_cleaned!$D1929,Table4[Product_Name],Table4[Product_Key],"not found")</f>
        <v>13</v>
      </c>
      <c r="P1929" s="32">
        <f>_xlfn.XLOOKUP(Snitch_Fashion_Sales_cleaned!$I1929,Table3[Order_Date],Table3[Date_Key])</f>
        <v>38</v>
      </c>
    </row>
    <row r="1930" spans="1:16" x14ac:dyDescent="0.3">
      <c r="A1930" s="27">
        <v>2928</v>
      </c>
      <c r="B1930" s="25" t="s">
        <v>1954</v>
      </c>
      <c r="C1930" s="25" t="s">
        <v>25</v>
      </c>
      <c r="D1930" s="26" t="s">
        <v>50</v>
      </c>
      <c r="E1930" s="27">
        <v>4</v>
      </c>
      <c r="F1930" s="28">
        <v>2666.2200000000003</v>
      </c>
      <c r="G1930" s="29">
        <v>0.78</v>
      </c>
      <c r="H1930" s="28">
        <f t="shared" si="62"/>
        <v>10664.880000000001</v>
      </c>
      <c r="I1930" s="30">
        <v>45597</v>
      </c>
      <c r="J1930" s="26" t="s">
        <v>15</v>
      </c>
      <c r="K1930" s="26" t="s">
        <v>23</v>
      </c>
      <c r="L1930" s="31">
        <f t="shared" si="63"/>
        <v>2346.2736</v>
      </c>
      <c r="M1930" s="31">
        <v>642.22</v>
      </c>
      <c r="N1930" s="22">
        <f>_xlfn.XLOOKUP(Snitch_Fashion_Sales_cleaned!$J1930,Table2[City],Table2[City_Key],"not found")</f>
        <v>1</v>
      </c>
      <c r="O1930" s="21">
        <f>_xlfn.XLOOKUP(Snitch_Fashion_Sales_cleaned!$D1930,Table4[Product_Name],Table4[Product_Key],"not found")</f>
        <v>11</v>
      </c>
      <c r="P1930" s="25">
        <f>_xlfn.XLOOKUP(Snitch_Fashion_Sales_cleaned!$I1930,Table3[Order_Date],Table3[Date_Key])</f>
        <v>342</v>
      </c>
    </row>
    <row r="1931" spans="1:16" x14ac:dyDescent="0.3">
      <c r="A1931" s="34">
        <v>2929</v>
      </c>
      <c r="B1931" s="32" t="s">
        <v>1955</v>
      </c>
      <c r="C1931" s="32" t="s">
        <v>31</v>
      </c>
      <c r="D1931" s="33" t="s">
        <v>68</v>
      </c>
      <c r="E1931" s="34">
        <v>4</v>
      </c>
      <c r="F1931" s="35">
        <v>4733.41</v>
      </c>
      <c r="G1931" s="36">
        <v>0.51</v>
      </c>
      <c r="H1931" s="35">
        <f t="shared" si="62"/>
        <v>18933.64</v>
      </c>
      <c r="I1931" s="37">
        <v>45637</v>
      </c>
      <c r="J1931" s="33" t="s">
        <v>2540</v>
      </c>
      <c r="K1931" s="33" t="s">
        <v>16</v>
      </c>
      <c r="L1931" s="38">
        <f t="shared" si="63"/>
        <v>9277.4835999999996</v>
      </c>
      <c r="M1931" s="38">
        <v>2459.5</v>
      </c>
      <c r="N1931" s="24">
        <f>_xlfn.XLOOKUP(Snitch_Fashion_Sales_cleaned!$J1931,Table2[City],Table2[City_Key],"not found")</f>
        <v>4</v>
      </c>
      <c r="O1931" s="23">
        <f>_xlfn.XLOOKUP(Snitch_Fashion_Sales_cleaned!$D1931,Table4[Product_Name],Table4[Product_Key],"not found")</f>
        <v>15</v>
      </c>
      <c r="P1931" s="32">
        <f>_xlfn.XLOOKUP(Snitch_Fashion_Sales_cleaned!$I1931,Table3[Order_Date],Table3[Date_Key])</f>
        <v>289</v>
      </c>
    </row>
    <row r="1932" spans="1:16" x14ac:dyDescent="0.3">
      <c r="A1932" s="27">
        <v>2930</v>
      </c>
      <c r="B1932" s="25" t="s">
        <v>1956</v>
      </c>
      <c r="C1932" s="25" t="s">
        <v>36</v>
      </c>
      <c r="D1932" s="26" t="s">
        <v>59</v>
      </c>
      <c r="E1932" s="27">
        <v>3</v>
      </c>
      <c r="F1932" s="28">
        <v>2642.73</v>
      </c>
      <c r="G1932" s="29">
        <v>0.09</v>
      </c>
      <c r="H1932" s="28">
        <f t="shared" si="62"/>
        <v>7928.1900000000005</v>
      </c>
      <c r="I1932" s="30">
        <v>45709</v>
      </c>
      <c r="J1932" s="26" t="s">
        <v>18</v>
      </c>
      <c r="K1932" s="26" t="s">
        <v>23</v>
      </c>
      <c r="L1932" s="31">
        <f t="shared" si="63"/>
        <v>7214.652900000001</v>
      </c>
      <c r="M1932" s="31">
        <v>996.68</v>
      </c>
      <c r="N1932" s="22">
        <f>_xlfn.XLOOKUP(Snitch_Fashion_Sales_cleaned!$J1932,Table2[City],Table2[City_Key],"not found")</f>
        <v>2</v>
      </c>
      <c r="O1932" s="21">
        <f>_xlfn.XLOOKUP(Snitch_Fashion_Sales_cleaned!$D1932,Table4[Product_Name],Table4[Product_Key],"not found")</f>
        <v>13</v>
      </c>
      <c r="P1932" s="25">
        <f>_xlfn.XLOOKUP(Snitch_Fashion_Sales_cleaned!$I1932,Table3[Order_Date],Table3[Date_Key])</f>
        <v>359</v>
      </c>
    </row>
    <row r="1933" spans="1:16" x14ac:dyDescent="0.3">
      <c r="A1933" s="34">
        <v>2931</v>
      </c>
      <c r="B1933" s="32" t="s">
        <v>1957</v>
      </c>
      <c r="C1933" s="32" t="s">
        <v>13</v>
      </c>
      <c r="D1933" s="33" t="s">
        <v>98</v>
      </c>
      <c r="E1933" s="34">
        <v>5</v>
      </c>
      <c r="F1933" s="35">
        <v>2629.78</v>
      </c>
      <c r="G1933" s="36">
        <v>0.51</v>
      </c>
      <c r="H1933" s="35">
        <f t="shared" si="62"/>
        <v>13148.900000000001</v>
      </c>
      <c r="I1933" s="37">
        <v>45647</v>
      </c>
      <c r="J1933" s="33" t="s">
        <v>15</v>
      </c>
      <c r="K1933" s="33" t="s">
        <v>23</v>
      </c>
      <c r="L1933" s="38">
        <f t="shared" si="63"/>
        <v>6442.9610000000002</v>
      </c>
      <c r="M1933" s="38">
        <v>2826.2</v>
      </c>
      <c r="N1933" s="24">
        <f>_xlfn.XLOOKUP(Snitch_Fashion_Sales_cleaned!$J1933,Table2[City],Table2[City_Key],"not found")</f>
        <v>1</v>
      </c>
      <c r="O1933" s="23">
        <f>_xlfn.XLOOKUP(Snitch_Fashion_Sales_cleaned!$D1933,Table4[Product_Name],Table4[Product_Key],"not found")</f>
        <v>21</v>
      </c>
      <c r="P1933" s="32">
        <f>_xlfn.XLOOKUP(Snitch_Fashion_Sales_cleaned!$I1933,Table3[Order_Date],Table3[Date_Key])</f>
        <v>5</v>
      </c>
    </row>
    <row r="1934" spans="1:16" x14ac:dyDescent="0.3">
      <c r="A1934" s="27">
        <v>2932</v>
      </c>
      <c r="B1934" s="25" t="s">
        <v>1958</v>
      </c>
      <c r="C1934" s="25" t="s">
        <v>25</v>
      </c>
      <c r="D1934" s="26" t="s">
        <v>50</v>
      </c>
      <c r="E1934" s="27">
        <v>4</v>
      </c>
      <c r="F1934" s="28">
        <v>2666.2200000000003</v>
      </c>
      <c r="G1934" s="29">
        <v>0.51</v>
      </c>
      <c r="H1934" s="28">
        <f t="shared" si="62"/>
        <v>10664.880000000001</v>
      </c>
      <c r="I1934" s="30">
        <v>45571</v>
      </c>
      <c r="J1934" s="26" t="s">
        <v>52</v>
      </c>
      <c r="K1934" s="26" t="s">
        <v>23</v>
      </c>
      <c r="L1934" s="31">
        <f t="shared" si="63"/>
        <v>5225.7912000000006</v>
      </c>
      <c r="M1934" s="31">
        <v>700.64</v>
      </c>
      <c r="N1934" s="22">
        <f>_xlfn.XLOOKUP(Snitch_Fashion_Sales_cleaned!$J1934,Table2[City],Table2[City_Key],"not found")</f>
        <v>5</v>
      </c>
      <c r="O1934" s="21">
        <f>_xlfn.XLOOKUP(Snitch_Fashion_Sales_cleaned!$D1934,Table4[Product_Name],Table4[Product_Key],"not found")</f>
        <v>11</v>
      </c>
      <c r="P1934" s="25">
        <f>_xlfn.XLOOKUP(Snitch_Fashion_Sales_cleaned!$I1934,Table3[Order_Date],Table3[Date_Key])</f>
        <v>448</v>
      </c>
    </row>
    <row r="1935" spans="1:16" x14ac:dyDescent="0.3">
      <c r="A1935" s="34">
        <v>2933</v>
      </c>
      <c r="B1935" s="32" t="s">
        <v>1959</v>
      </c>
      <c r="C1935" s="32" t="s">
        <v>13</v>
      </c>
      <c r="D1935" s="33" t="s">
        <v>46</v>
      </c>
      <c r="E1935" s="34">
        <v>4</v>
      </c>
      <c r="F1935" s="35">
        <v>2891</v>
      </c>
      <c r="G1935" s="36">
        <v>0.51</v>
      </c>
      <c r="H1935" s="35">
        <f t="shared" si="62"/>
        <v>11564</v>
      </c>
      <c r="I1935" s="37">
        <v>45760</v>
      </c>
      <c r="J1935" s="33" t="s">
        <v>15</v>
      </c>
      <c r="K1935" s="33" t="s">
        <v>16</v>
      </c>
      <c r="L1935" s="38">
        <f t="shared" si="63"/>
        <v>5666.36</v>
      </c>
      <c r="M1935" s="38">
        <v>1279.32</v>
      </c>
      <c r="N1935" s="24">
        <f>_xlfn.XLOOKUP(Snitch_Fashion_Sales_cleaned!$J1935,Table2[City],Table2[City_Key],"not found")</f>
        <v>1</v>
      </c>
      <c r="O1935" s="23">
        <f>_xlfn.XLOOKUP(Snitch_Fashion_Sales_cleaned!$D1935,Table4[Product_Name],Table4[Product_Key],"not found")</f>
        <v>10</v>
      </c>
      <c r="P1935" s="32">
        <f>_xlfn.XLOOKUP(Snitch_Fashion_Sales_cleaned!$I1935,Table3[Order_Date],Table3[Date_Key])</f>
        <v>458</v>
      </c>
    </row>
    <row r="1936" spans="1:16" x14ac:dyDescent="0.3">
      <c r="A1936" s="27">
        <v>2934</v>
      </c>
      <c r="B1936" s="25" t="s">
        <v>1960</v>
      </c>
      <c r="C1936" s="25" t="s">
        <v>36</v>
      </c>
      <c r="D1936" s="26" t="s">
        <v>59</v>
      </c>
      <c r="E1936" s="27">
        <v>5</v>
      </c>
      <c r="F1936" s="28">
        <v>2765.26</v>
      </c>
      <c r="G1936" s="29">
        <v>0.51</v>
      </c>
      <c r="H1936" s="28">
        <f t="shared" si="62"/>
        <v>13826.300000000001</v>
      </c>
      <c r="I1936" s="30">
        <v>45656</v>
      </c>
      <c r="J1936" s="26" t="s">
        <v>18</v>
      </c>
      <c r="K1936" s="26" t="s">
        <v>23</v>
      </c>
      <c r="L1936" s="31">
        <f t="shared" si="63"/>
        <v>6774.8870000000006</v>
      </c>
      <c r="M1936" s="31">
        <v>-811.78</v>
      </c>
      <c r="N1936" s="22">
        <f>_xlfn.XLOOKUP(Snitch_Fashion_Sales_cleaned!$J1936,Table2[City],Table2[City_Key],"not found")</f>
        <v>2</v>
      </c>
      <c r="O1936" s="21">
        <f>_xlfn.XLOOKUP(Snitch_Fashion_Sales_cleaned!$D1936,Table4[Product_Name],Table4[Product_Key],"not found")</f>
        <v>13</v>
      </c>
      <c r="P1936" s="25">
        <f>_xlfn.XLOOKUP(Snitch_Fashion_Sales_cleaned!$I1936,Table3[Order_Date],Table3[Date_Key])</f>
        <v>67</v>
      </c>
    </row>
    <row r="1937" spans="1:16" x14ac:dyDescent="0.3">
      <c r="A1937" s="34">
        <v>2935</v>
      </c>
      <c r="B1937" s="32" t="s">
        <v>1961</v>
      </c>
      <c r="C1937" s="32" t="s">
        <v>25</v>
      </c>
      <c r="D1937" s="33" t="s">
        <v>26</v>
      </c>
      <c r="E1937" s="34">
        <v>4</v>
      </c>
      <c r="F1937" s="35">
        <v>3681.08</v>
      </c>
      <c r="G1937" s="36">
        <v>0.51</v>
      </c>
      <c r="H1937" s="35">
        <f t="shared" si="62"/>
        <v>14724.32</v>
      </c>
      <c r="I1937" s="37">
        <v>45647</v>
      </c>
      <c r="J1937" s="33" t="s">
        <v>52</v>
      </c>
      <c r="K1937" s="33" t="s">
        <v>23</v>
      </c>
      <c r="L1937" s="38">
        <f t="shared" si="63"/>
        <v>7214.9168</v>
      </c>
      <c r="M1937" s="38">
        <v>2705.42</v>
      </c>
      <c r="N1937" s="24">
        <f>_xlfn.XLOOKUP(Snitch_Fashion_Sales_cleaned!$J1937,Table2[City],Table2[City_Key],"not found")</f>
        <v>5</v>
      </c>
      <c r="O1937" s="23">
        <f>_xlfn.XLOOKUP(Snitch_Fashion_Sales_cleaned!$D1937,Table4[Product_Name],Table4[Product_Key],"not found")</f>
        <v>3</v>
      </c>
      <c r="P1937" s="32">
        <f>_xlfn.XLOOKUP(Snitch_Fashion_Sales_cleaned!$I1937,Table3[Order_Date],Table3[Date_Key])</f>
        <v>5</v>
      </c>
    </row>
    <row r="1938" spans="1:16" x14ac:dyDescent="0.3">
      <c r="A1938" s="27">
        <v>2936</v>
      </c>
      <c r="B1938" s="25" t="s">
        <v>1962</v>
      </c>
      <c r="C1938" s="25" t="s">
        <v>25</v>
      </c>
      <c r="D1938" s="26" t="s">
        <v>26</v>
      </c>
      <c r="E1938" s="27">
        <v>4</v>
      </c>
      <c r="F1938" s="28">
        <v>4487.5</v>
      </c>
      <c r="G1938" s="29">
        <v>0.51</v>
      </c>
      <c r="H1938" s="28">
        <f t="shared" si="62"/>
        <v>17950</v>
      </c>
      <c r="I1938" s="30">
        <v>45831</v>
      </c>
      <c r="J1938" s="26" t="s">
        <v>43</v>
      </c>
      <c r="K1938" s="26" t="s">
        <v>23</v>
      </c>
      <c r="L1938" s="31">
        <f t="shared" si="63"/>
        <v>8795.5</v>
      </c>
      <c r="M1938" s="31">
        <v>2518.5300000000002</v>
      </c>
      <c r="N1938" s="22">
        <f>_xlfn.XLOOKUP(Snitch_Fashion_Sales_cleaned!$J1938,Table2[City],Table2[City_Key],"not found")</f>
        <v>6</v>
      </c>
      <c r="O1938" s="21">
        <f>_xlfn.XLOOKUP(Snitch_Fashion_Sales_cleaned!$D1938,Table4[Product_Name],Table4[Product_Key],"not found")</f>
        <v>3</v>
      </c>
      <c r="P1938" s="25">
        <f>_xlfn.XLOOKUP(Snitch_Fashion_Sales_cleaned!$I1938,Table3[Order_Date],Table3[Date_Key])</f>
        <v>281</v>
      </c>
    </row>
    <row r="1939" spans="1:16" x14ac:dyDescent="0.3">
      <c r="A1939" s="34">
        <v>2937</v>
      </c>
      <c r="B1939" s="32" t="s">
        <v>1963</v>
      </c>
      <c r="C1939" s="32" t="s">
        <v>28</v>
      </c>
      <c r="D1939" s="33" t="s">
        <v>39</v>
      </c>
      <c r="E1939" s="34">
        <v>3</v>
      </c>
      <c r="F1939" s="35">
        <v>2577.6350000000002</v>
      </c>
      <c r="G1939" s="36">
        <v>0.51</v>
      </c>
      <c r="H1939" s="35">
        <f t="shared" si="62"/>
        <v>7732.9050000000007</v>
      </c>
      <c r="I1939" s="37">
        <v>45625</v>
      </c>
      <c r="J1939" s="33" t="s">
        <v>22</v>
      </c>
      <c r="K1939" s="33" t="s">
        <v>23</v>
      </c>
      <c r="L1939" s="38">
        <f t="shared" si="63"/>
        <v>3789.12345</v>
      </c>
      <c r="M1939" s="38">
        <v>-889.53</v>
      </c>
      <c r="N1939" s="24">
        <f>_xlfn.XLOOKUP(Snitch_Fashion_Sales_cleaned!$J1939,Table2[City],Table2[City_Key],"not found")</f>
        <v>3</v>
      </c>
      <c r="O1939" s="23">
        <f>_xlfn.XLOOKUP(Snitch_Fashion_Sales_cleaned!$D1939,Table4[Product_Name],Table4[Product_Key],"not found")</f>
        <v>8</v>
      </c>
      <c r="P1939" s="32">
        <f>_xlfn.XLOOKUP(Snitch_Fashion_Sales_cleaned!$I1939,Table3[Order_Date],Table3[Date_Key])</f>
        <v>410</v>
      </c>
    </row>
    <row r="1940" spans="1:16" x14ac:dyDescent="0.3">
      <c r="A1940" s="27">
        <v>2938</v>
      </c>
      <c r="B1940" s="25" t="s">
        <v>629</v>
      </c>
      <c r="C1940" s="25" t="s">
        <v>25</v>
      </c>
      <c r="D1940" s="26" t="s">
        <v>82</v>
      </c>
      <c r="E1940" s="27">
        <v>3</v>
      </c>
      <c r="F1940" s="28">
        <v>2429.63</v>
      </c>
      <c r="G1940" s="29">
        <v>0.51</v>
      </c>
      <c r="H1940" s="28">
        <f t="shared" si="62"/>
        <v>7288.89</v>
      </c>
      <c r="I1940" s="30">
        <v>45647</v>
      </c>
      <c r="J1940" s="26" t="s">
        <v>18</v>
      </c>
      <c r="K1940" s="26" t="s">
        <v>23</v>
      </c>
      <c r="L1940" s="31">
        <f t="shared" si="63"/>
        <v>3571.5561000000002</v>
      </c>
      <c r="M1940" s="31">
        <v>-7.17</v>
      </c>
      <c r="N1940" s="22">
        <f>_xlfn.XLOOKUP(Snitch_Fashion_Sales_cleaned!$J1940,Table2[City],Table2[City_Key],"not found")</f>
        <v>2</v>
      </c>
      <c r="O1940" s="21">
        <f>_xlfn.XLOOKUP(Snitch_Fashion_Sales_cleaned!$D1940,Table4[Product_Name],Table4[Product_Key],"not found")</f>
        <v>18</v>
      </c>
      <c r="P1940" s="25">
        <f>_xlfn.XLOOKUP(Snitch_Fashion_Sales_cleaned!$I1940,Table3[Order_Date],Table3[Date_Key])</f>
        <v>5</v>
      </c>
    </row>
    <row r="1941" spans="1:16" x14ac:dyDescent="0.3">
      <c r="A1941" s="34">
        <v>2939</v>
      </c>
      <c r="B1941" s="32" t="s">
        <v>1964</v>
      </c>
      <c r="C1941" s="32" t="s">
        <v>25</v>
      </c>
      <c r="D1941" s="33" t="s">
        <v>50</v>
      </c>
      <c r="E1941" s="34">
        <v>4</v>
      </c>
      <c r="F1941" s="35">
        <v>2666.2200000000003</v>
      </c>
      <c r="G1941" s="36">
        <v>0.51</v>
      </c>
      <c r="H1941" s="35">
        <f t="shared" si="62"/>
        <v>10664.880000000001</v>
      </c>
      <c r="I1941" s="37">
        <v>45680</v>
      </c>
      <c r="J1941" s="33" t="s">
        <v>2540</v>
      </c>
      <c r="K1941" s="33" t="s">
        <v>23</v>
      </c>
      <c r="L1941" s="38">
        <f t="shared" si="63"/>
        <v>5225.7912000000006</v>
      </c>
      <c r="M1941" s="38">
        <v>2143.94</v>
      </c>
      <c r="N1941" s="24">
        <f>_xlfn.XLOOKUP(Snitch_Fashion_Sales_cleaned!$J1941,Table2[City],Table2[City_Key],"not found")</f>
        <v>4</v>
      </c>
      <c r="O1941" s="23">
        <f>_xlfn.XLOOKUP(Snitch_Fashion_Sales_cleaned!$D1941,Table4[Product_Name],Table4[Product_Key],"not found")</f>
        <v>11</v>
      </c>
      <c r="P1941" s="32">
        <f>_xlfn.XLOOKUP(Snitch_Fashion_Sales_cleaned!$I1941,Table3[Order_Date],Table3[Date_Key])</f>
        <v>94</v>
      </c>
    </row>
    <row r="1942" spans="1:16" x14ac:dyDescent="0.3">
      <c r="A1942" s="27">
        <v>2940</v>
      </c>
      <c r="B1942" s="25" t="s">
        <v>1965</v>
      </c>
      <c r="C1942" s="25" t="s">
        <v>25</v>
      </c>
      <c r="D1942" s="26" t="s">
        <v>62</v>
      </c>
      <c r="E1942" s="27">
        <v>4</v>
      </c>
      <c r="F1942" s="28">
        <v>2538.0450000000001</v>
      </c>
      <c r="G1942" s="29">
        <v>0.51</v>
      </c>
      <c r="H1942" s="28">
        <f t="shared" si="62"/>
        <v>10152.18</v>
      </c>
      <c r="I1942" s="30">
        <v>45697</v>
      </c>
      <c r="J1942" s="26" t="s">
        <v>52</v>
      </c>
      <c r="K1942" s="26" t="s">
        <v>16</v>
      </c>
      <c r="L1942" s="31">
        <f t="shared" si="63"/>
        <v>4974.5681999999997</v>
      </c>
      <c r="M1942" s="31">
        <v>1992.92</v>
      </c>
      <c r="N1942" s="22">
        <f>_xlfn.XLOOKUP(Snitch_Fashion_Sales_cleaned!$J1942,Table2[City],Table2[City_Key],"not found")</f>
        <v>5</v>
      </c>
      <c r="O1942" s="21">
        <f>_xlfn.XLOOKUP(Snitch_Fashion_Sales_cleaned!$D1942,Table4[Product_Name],Table4[Product_Key],"not found")</f>
        <v>14</v>
      </c>
      <c r="P1942" s="25">
        <f>_xlfn.XLOOKUP(Snitch_Fashion_Sales_cleaned!$I1942,Table3[Order_Date],Table3[Date_Key])</f>
        <v>339</v>
      </c>
    </row>
    <row r="1943" spans="1:16" x14ac:dyDescent="0.3">
      <c r="A1943" s="34">
        <v>2941</v>
      </c>
      <c r="B1943" s="32" t="s">
        <v>1966</v>
      </c>
      <c r="C1943" s="32" t="s">
        <v>20</v>
      </c>
      <c r="D1943" s="33" t="s">
        <v>21</v>
      </c>
      <c r="E1943" s="34">
        <v>4</v>
      </c>
      <c r="F1943" s="35">
        <v>2144.36</v>
      </c>
      <c r="G1943" s="36">
        <v>0.51</v>
      </c>
      <c r="H1943" s="35">
        <f t="shared" si="62"/>
        <v>8577.44</v>
      </c>
      <c r="I1943" s="37">
        <v>45497</v>
      </c>
      <c r="J1943" s="33" t="s">
        <v>43</v>
      </c>
      <c r="K1943" s="33" t="s">
        <v>16</v>
      </c>
      <c r="L1943" s="38">
        <f t="shared" si="63"/>
        <v>4202.9456</v>
      </c>
      <c r="M1943" s="38">
        <v>1435.03</v>
      </c>
      <c r="N1943" s="24">
        <f>_xlfn.XLOOKUP(Snitch_Fashion_Sales_cleaned!$J1943,Table2[City],Table2[City_Key],"not found")</f>
        <v>6</v>
      </c>
      <c r="O1943" s="23">
        <f>_xlfn.XLOOKUP(Snitch_Fashion_Sales_cleaned!$D1943,Table4[Product_Name],Table4[Product_Key],"not found")</f>
        <v>2</v>
      </c>
      <c r="P1943" s="32">
        <f>_xlfn.XLOOKUP(Snitch_Fashion_Sales_cleaned!$I1943,Table3[Order_Date],Table3[Date_Key])</f>
        <v>449</v>
      </c>
    </row>
    <row r="1944" spans="1:16" x14ac:dyDescent="0.3">
      <c r="A1944" s="27">
        <v>2942</v>
      </c>
      <c r="B1944" s="25" t="s">
        <v>1967</v>
      </c>
      <c r="C1944" s="25" t="s">
        <v>28</v>
      </c>
      <c r="D1944" s="26" t="s">
        <v>39</v>
      </c>
      <c r="E1944" s="27">
        <v>2</v>
      </c>
      <c r="F1944" s="28">
        <v>2577.6350000000002</v>
      </c>
      <c r="G1944" s="29">
        <v>0.56000000000000005</v>
      </c>
      <c r="H1944" s="28">
        <f t="shared" si="62"/>
        <v>5155.2700000000004</v>
      </c>
      <c r="I1944" s="30">
        <v>45647</v>
      </c>
      <c r="J1944" s="26" t="s">
        <v>43</v>
      </c>
      <c r="K1944" s="26" t="s">
        <v>23</v>
      </c>
      <c r="L1944" s="31">
        <f t="shared" si="63"/>
        <v>2268.3188</v>
      </c>
      <c r="M1944" s="31">
        <v>567.0797</v>
      </c>
      <c r="N1944" s="22">
        <f>_xlfn.XLOOKUP(Snitch_Fashion_Sales_cleaned!$J1944,Table2[City],Table2[City_Key],"not found")</f>
        <v>6</v>
      </c>
      <c r="O1944" s="21">
        <f>_xlfn.XLOOKUP(Snitch_Fashion_Sales_cleaned!$D1944,Table4[Product_Name],Table4[Product_Key],"not found")</f>
        <v>8</v>
      </c>
      <c r="P1944" s="25">
        <f>_xlfn.XLOOKUP(Snitch_Fashion_Sales_cleaned!$I1944,Table3[Order_Date],Table3[Date_Key])</f>
        <v>5</v>
      </c>
    </row>
    <row r="1945" spans="1:16" x14ac:dyDescent="0.3">
      <c r="A1945" s="34">
        <v>2943</v>
      </c>
      <c r="B1945" s="32" t="s">
        <v>1968</v>
      </c>
      <c r="C1945" s="32" t="s">
        <v>13</v>
      </c>
      <c r="D1945" s="33" t="s">
        <v>34</v>
      </c>
      <c r="E1945" s="34">
        <v>3</v>
      </c>
      <c r="F1945" s="35">
        <v>4638.0200000000004</v>
      </c>
      <c r="G1945" s="36">
        <v>0.51</v>
      </c>
      <c r="H1945" s="35">
        <f t="shared" si="62"/>
        <v>13914.060000000001</v>
      </c>
      <c r="I1945" s="37">
        <v>45723</v>
      </c>
      <c r="J1945" s="33" t="s">
        <v>43</v>
      </c>
      <c r="K1945" s="33" t="s">
        <v>23</v>
      </c>
      <c r="L1945" s="38">
        <f t="shared" si="63"/>
        <v>6817.8894000000009</v>
      </c>
      <c r="M1945" s="38">
        <v>745.3</v>
      </c>
      <c r="N1945" s="24">
        <f>_xlfn.XLOOKUP(Snitch_Fashion_Sales_cleaned!$J1945,Table2[City],Table2[City_Key],"not found")</f>
        <v>6</v>
      </c>
      <c r="O1945" s="23">
        <f>_xlfn.XLOOKUP(Snitch_Fashion_Sales_cleaned!$D1945,Table4[Product_Name],Table4[Product_Key],"not found")</f>
        <v>6</v>
      </c>
      <c r="P1945" s="32">
        <f>_xlfn.XLOOKUP(Snitch_Fashion_Sales_cleaned!$I1945,Table3[Order_Date],Table3[Date_Key])</f>
        <v>28</v>
      </c>
    </row>
    <row r="1946" spans="1:16" x14ac:dyDescent="0.3">
      <c r="A1946" s="27">
        <v>2944</v>
      </c>
      <c r="B1946" s="25" t="s">
        <v>1969</v>
      </c>
      <c r="C1946" s="25" t="s">
        <v>36</v>
      </c>
      <c r="D1946" s="26" t="s">
        <v>37</v>
      </c>
      <c r="E1946" s="27">
        <v>1</v>
      </c>
      <c r="F1946" s="28">
        <v>1313.35</v>
      </c>
      <c r="G1946" s="29">
        <v>0.2</v>
      </c>
      <c r="H1946" s="28">
        <f t="shared" si="62"/>
        <v>1313.35</v>
      </c>
      <c r="I1946" s="30">
        <v>45722</v>
      </c>
      <c r="J1946" s="26" t="s">
        <v>52</v>
      </c>
      <c r="K1946" s="26" t="s">
        <v>16</v>
      </c>
      <c r="L1946" s="31">
        <f t="shared" si="63"/>
        <v>1050.68</v>
      </c>
      <c r="M1946" s="31">
        <v>-384.05</v>
      </c>
      <c r="N1946" s="22">
        <f>_xlfn.XLOOKUP(Snitch_Fashion_Sales_cleaned!$J1946,Table2[City],Table2[City_Key],"not found")</f>
        <v>5</v>
      </c>
      <c r="O1946" s="21">
        <f>_xlfn.XLOOKUP(Snitch_Fashion_Sales_cleaned!$D1946,Table4[Product_Name],Table4[Product_Key],"not found")</f>
        <v>7</v>
      </c>
      <c r="P1946" s="25">
        <f>_xlfn.XLOOKUP(Snitch_Fashion_Sales_cleaned!$I1946,Table3[Order_Date],Table3[Date_Key])</f>
        <v>358</v>
      </c>
    </row>
    <row r="1947" spans="1:16" x14ac:dyDescent="0.3">
      <c r="A1947" s="34">
        <v>2945</v>
      </c>
      <c r="B1947" s="32" t="s">
        <v>1937</v>
      </c>
      <c r="C1947" s="32" t="s">
        <v>25</v>
      </c>
      <c r="D1947" s="33" t="s">
        <v>82</v>
      </c>
      <c r="E1947" s="34">
        <v>1</v>
      </c>
      <c r="F1947" s="35">
        <v>2385.5749999999998</v>
      </c>
      <c r="G1947" s="36">
        <v>0.51</v>
      </c>
      <c r="H1947" s="35">
        <f t="shared" si="62"/>
        <v>2385.5749999999998</v>
      </c>
      <c r="I1947" s="37">
        <v>45592</v>
      </c>
      <c r="J1947" s="33" t="s">
        <v>22</v>
      </c>
      <c r="K1947" s="33" t="s">
        <v>23</v>
      </c>
      <c r="L1947" s="38">
        <f t="shared" si="63"/>
        <v>1168.93175</v>
      </c>
      <c r="M1947" s="38">
        <v>-130.97</v>
      </c>
      <c r="N1947" s="24">
        <f>_xlfn.XLOOKUP(Snitch_Fashion_Sales_cleaned!$J1947,Table2[City],Table2[City_Key],"not found")</f>
        <v>3</v>
      </c>
      <c r="O1947" s="23">
        <f>_xlfn.XLOOKUP(Snitch_Fashion_Sales_cleaned!$D1947,Table4[Product_Name],Table4[Product_Key],"not found")</f>
        <v>18</v>
      </c>
      <c r="P1947" s="32">
        <f>_xlfn.XLOOKUP(Snitch_Fashion_Sales_cleaned!$I1947,Table3[Order_Date],Table3[Date_Key])</f>
        <v>159</v>
      </c>
    </row>
    <row r="1948" spans="1:16" x14ac:dyDescent="0.3">
      <c r="A1948" s="27">
        <v>2946</v>
      </c>
      <c r="B1948" s="25" t="s">
        <v>1970</v>
      </c>
      <c r="C1948" s="25" t="s">
        <v>36</v>
      </c>
      <c r="D1948" s="26" t="s">
        <v>59</v>
      </c>
      <c r="E1948" s="27">
        <v>3</v>
      </c>
      <c r="F1948" s="28">
        <v>2765.26</v>
      </c>
      <c r="G1948" s="29">
        <v>0.51</v>
      </c>
      <c r="H1948" s="28">
        <f t="shared" si="62"/>
        <v>8295.7800000000007</v>
      </c>
      <c r="I1948" s="30">
        <v>45253</v>
      </c>
      <c r="J1948" s="26" t="s">
        <v>22</v>
      </c>
      <c r="K1948" s="26" t="s">
        <v>23</v>
      </c>
      <c r="L1948" s="31">
        <f t="shared" si="63"/>
        <v>4064.9322000000002</v>
      </c>
      <c r="M1948" s="31">
        <v>2187.48</v>
      </c>
      <c r="N1948" s="22">
        <f>_xlfn.XLOOKUP(Snitch_Fashion_Sales_cleaned!$J1948,Table2[City],Table2[City_Key],"not found")</f>
        <v>3</v>
      </c>
      <c r="O1948" s="21">
        <f>_xlfn.XLOOKUP(Snitch_Fashion_Sales_cleaned!$D1948,Table4[Product_Name],Table4[Product_Key],"not found")</f>
        <v>13</v>
      </c>
      <c r="P1948" s="25">
        <f>_xlfn.XLOOKUP(Snitch_Fashion_Sales_cleaned!$I1948,Table3[Order_Date],Table3[Date_Key])</f>
        <v>234</v>
      </c>
    </row>
    <row r="1949" spans="1:16" x14ac:dyDescent="0.3">
      <c r="A1949" s="34">
        <v>2947</v>
      </c>
      <c r="B1949" s="32" t="s">
        <v>1971</v>
      </c>
      <c r="C1949" s="32" t="s">
        <v>25</v>
      </c>
      <c r="D1949" s="33" t="s">
        <v>82</v>
      </c>
      <c r="E1949" s="34">
        <v>2</v>
      </c>
      <c r="F1949" s="35">
        <v>2385.5749999999998</v>
      </c>
      <c r="G1949" s="36">
        <v>0.97</v>
      </c>
      <c r="H1949" s="35">
        <f t="shared" si="62"/>
        <v>4771.1499999999996</v>
      </c>
      <c r="I1949" s="37">
        <v>45699</v>
      </c>
      <c r="J1949" s="33" t="s">
        <v>22</v>
      </c>
      <c r="K1949" s="33" t="s">
        <v>16</v>
      </c>
      <c r="L1949" s="38">
        <f t="shared" si="63"/>
        <v>143.13450000000012</v>
      </c>
      <c r="M1949" s="38">
        <v>35.783625000000029</v>
      </c>
      <c r="N1949" s="24">
        <f>_xlfn.XLOOKUP(Snitch_Fashion_Sales_cleaned!$J1949,Table2[City],Table2[City_Key],"not found")</f>
        <v>3</v>
      </c>
      <c r="O1949" s="23">
        <f>_xlfn.XLOOKUP(Snitch_Fashion_Sales_cleaned!$D1949,Table4[Product_Name],Table4[Product_Key],"not found")</f>
        <v>18</v>
      </c>
      <c r="P1949" s="32">
        <f>_xlfn.XLOOKUP(Snitch_Fashion_Sales_cleaned!$I1949,Table3[Order_Date],Table3[Date_Key])</f>
        <v>461</v>
      </c>
    </row>
    <row r="1950" spans="1:16" x14ac:dyDescent="0.3">
      <c r="A1950" s="27">
        <v>2948</v>
      </c>
      <c r="B1950" s="25" t="s">
        <v>1972</v>
      </c>
      <c r="C1950" s="25" t="s">
        <v>13</v>
      </c>
      <c r="D1950" s="26" t="s">
        <v>14</v>
      </c>
      <c r="E1950" s="27">
        <v>5</v>
      </c>
      <c r="F1950" s="28">
        <v>2494.15</v>
      </c>
      <c r="G1950" s="29">
        <v>0.51</v>
      </c>
      <c r="H1950" s="28">
        <f t="shared" si="62"/>
        <v>12470.75</v>
      </c>
      <c r="I1950" s="30">
        <v>45695</v>
      </c>
      <c r="J1950" s="26" t="s">
        <v>15</v>
      </c>
      <c r="K1950" s="26" t="s">
        <v>23</v>
      </c>
      <c r="L1950" s="31">
        <f t="shared" si="63"/>
        <v>6110.6674999999996</v>
      </c>
      <c r="M1950" s="31">
        <v>-901.7</v>
      </c>
      <c r="N1950" s="22">
        <f>_xlfn.XLOOKUP(Snitch_Fashion_Sales_cleaned!$J1950,Table2[City],Table2[City_Key],"not found")</f>
        <v>1</v>
      </c>
      <c r="O1950" s="21">
        <f>_xlfn.XLOOKUP(Snitch_Fashion_Sales_cleaned!$D1950,Table4[Product_Name],Table4[Product_Key],"not found")</f>
        <v>1</v>
      </c>
      <c r="P1950" s="25">
        <f>_xlfn.XLOOKUP(Snitch_Fashion_Sales_cleaned!$I1950,Table3[Order_Date],Table3[Date_Key])</f>
        <v>324</v>
      </c>
    </row>
    <row r="1951" spans="1:16" x14ac:dyDescent="0.3">
      <c r="A1951" s="34">
        <v>2949</v>
      </c>
      <c r="B1951" s="32" t="s">
        <v>1973</v>
      </c>
      <c r="C1951" s="32" t="s">
        <v>13</v>
      </c>
      <c r="D1951" s="33" t="s">
        <v>34</v>
      </c>
      <c r="E1951" s="34">
        <v>3</v>
      </c>
      <c r="F1951" s="35">
        <v>3008.6549999999997</v>
      </c>
      <c r="G1951" s="36">
        <v>0.1</v>
      </c>
      <c r="H1951" s="35">
        <f t="shared" si="62"/>
        <v>9025.9650000000001</v>
      </c>
      <c r="I1951" s="37">
        <v>45647</v>
      </c>
      <c r="J1951" s="33" t="s">
        <v>43</v>
      </c>
      <c r="K1951" s="33" t="s">
        <v>23</v>
      </c>
      <c r="L1951" s="38">
        <f t="shared" si="63"/>
        <v>8123.3685000000005</v>
      </c>
      <c r="M1951" s="38">
        <v>1569.63</v>
      </c>
      <c r="N1951" s="24">
        <f>_xlfn.XLOOKUP(Snitch_Fashion_Sales_cleaned!$J1951,Table2[City],Table2[City_Key],"not found")</f>
        <v>6</v>
      </c>
      <c r="O1951" s="23">
        <f>_xlfn.XLOOKUP(Snitch_Fashion_Sales_cleaned!$D1951,Table4[Product_Name],Table4[Product_Key],"not found")</f>
        <v>6</v>
      </c>
      <c r="P1951" s="32">
        <f>_xlfn.XLOOKUP(Snitch_Fashion_Sales_cleaned!$I1951,Table3[Order_Date],Table3[Date_Key])</f>
        <v>5</v>
      </c>
    </row>
    <row r="1952" spans="1:16" x14ac:dyDescent="0.3">
      <c r="A1952" s="27">
        <v>2950</v>
      </c>
      <c r="B1952" s="25" t="s">
        <v>1974</v>
      </c>
      <c r="C1952" s="25" t="s">
        <v>28</v>
      </c>
      <c r="D1952" s="26" t="s">
        <v>29</v>
      </c>
      <c r="E1952" s="27">
        <v>2</v>
      </c>
      <c r="F1952" s="28">
        <v>2515.415</v>
      </c>
      <c r="G1952" s="29">
        <v>0.27</v>
      </c>
      <c r="H1952" s="28">
        <f t="shared" si="62"/>
        <v>5030.83</v>
      </c>
      <c r="I1952" s="30">
        <v>45652</v>
      </c>
      <c r="J1952" s="26" t="s">
        <v>2540</v>
      </c>
      <c r="K1952" s="26" t="s">
        <v>23</v>
      </c>
      <c r="L1952" s="31">
        <f t="shared" si="63"/>
        <v>3672.5058999999997</v>
      </c>
      <c r="M1952" s="31">
        <v>1158.28</v>
      </c>
      <c r="N1952" s="22">
        <f>_xlfn.XLOOKUP(Snitch_Fashion_Sales_cleaned!$J1952,Table2[City],Table2[City_Key],"not found")</f>
        <v>4</v>
      </c>
      <c r="O1952" s="21">
        <f>_xlfn.XLOOKUP(Snitch_Fashion_Sales_cleaned!$D1952,Table4[Product_Name],Table4[Product_Key],"not found")</f>
        <v>4</v>
      </c>
      <c r="P1952" s="25">
        <f>_xlfn.XLOOKUP(Snitch_Fashion_Sales_cleaned!$I1952,Table3[Order_Date],Table3[Date_Key])</f>
        <v>214</v>
      </c>
    </row>
    <row r="1953" spans="1:16" x14ac:dyDescent="0.3">
      <c r="A1953" s="34">
        <v>2951</v>
      </c>
      <c r="B1953" s="32" t="s">
        <v>1975</v>
      </c>
      <c r="C1953" s="32" t="s">
        <v>36</v>
      </c>
      <c r="D1953" s="33" t="s">
        <v>59</v>
      </c>
      <c r="E1953" s="34">
        <v>5</v>
      </c>
      <c r="F1953" s="35">
        <v>2765.26</v>
      </c>
      <c r="G1953" s="36">
        <v>0.51</v>
      </c>
      <c r="H1953" s="35">
        <f t="shared" si="62"/>
        <v>13826.300000000001</v>
      </c>
      <c r="I1953" s="37">
        <v>45647</v>
      </c>
      <c r="J1953" s="33" t="s">
        <v>15</v>
      </c>
      <c r="K1953" s="33" t="s">
        <v>16</v>
      </c>
      <c r="L1953" s="38">
        <f t="shared" si="63"/>
        <v>6774.8870000000006</v>
      </c>
      <c r="M1953" s="38">
        <v>2454.0700000000002</v>
      </c>
      <c r="N1953" s="24">
        <f>_xlfn.XLOOKUP(Snitch_Fashion_Sales_cleaned!$J1953,Table2[City],Table2[City_Key],"not found")</f>
        <v>1</v>
      </c>
      <c r="O1953" s="23">
        <f>_xlfn.XLOOKUP(Snitch_Fashion_Sales_cleaned!$D1953,Table4[Product_Name],Table4[Product_Key],"not found")</f>
        <v>13</v>
      </c>
      <c r="P1953" s="32">
        <f>_xlfn.XLOOKUP(Snitch_Fashion_Sales_cleaned!$I1953,Table3[Order_Date],Table3[Date_Key])</f>
        <v>5</v>
      </c>
    </row>
    <row r="1954" spans="1:16" x14ac:dyDescent="0.3">
      <c r="A1954" s="27">
        <v>2952</v>
      </c>
      <c r="B1954" s="25" t="s">
        <v>1976</v>
      </c>
      <c r="C1954" s="25" t="s">
        <v>25</v>
      </c>
      <c r="D1954" s="26" t="s">
        <v>82</v>
      </c>
      <c r="E1954" s="27">
        <v>3</v>
      </c>
      <c r="F1954" s="28">
        <v>470.68</v>
      </c>
      <c r="G1954" s="29">
        <v>0.06</v>
      </c>
      <c r="H1954" s="28">
        <f t="shared" si="62"/>
        <v>1412.04</v>
      </c>
      <c r="I1954" s="30">
        <v>45615</v>
      </c>
      <c r="J1954" s="26" t="s">
        <v>18</v>
      </c>
      <c r="K1954" s="26" t="s">
        <v>23</v>
      </c>
      <c r="L1954" s="31">
        <f t="shared" si="63"/>
        <v>1327.3175999999999</v>
      </c>
      <c r="M1954" s="31">
        <v>331.82939999999996</v>
      </c>
      <c r="N1954" s="22">
        <f>_xlfn.XLOOKUP(Snitch_Fashion_Sales_cleaned!$J1954,Table2[City],Table2[City_Key],"not found")</f>
        <v>2</v>
      </c>
      <c r="O1954" s="21">
        <f>_xlfn.XLOOKUP(Snitch_Fashion_Sales_cleaned!$D1954,Table4[Product_Name],Table4[Product_Key],"not found")</f>
        <v>18</v>
      </c>
      <c r="P1954" s="25">
        <f>_xlfn.XLOOKUP(Snitch_Fashion_Sales_cleaned!$I1954,Table3[Order_Date],Table3[Date_Key])</f>
        <v>470</v>
      </c>
    </row>
    <row r="1955" spans="1:16" x14ac:dyDescent="0.3">
      <c r="A1955" s="34">
        <v>2953</v>
      </c>
      <c r="B1955" s="32" t="s">
        <v>1977</v>
      </c>
      <c r="C1955" s="32" t="s">
        <v>25</v>
      </c>
      <c r="D1955" s="33" t="s">
        <v>82</v>
      </c>
      <c r="E1955" s="34">
        <v>3</v>
      </c>
      <c r="F1955" s="35">
        <v>3500.98</v>
      </c>
      <c r="G1955" s="36">
        <v>0.51</v>
      </c>
      <c r="H1955" s="35">
        <f t="shared" si="62"/>
        <v>10502.94</v>
      </c>
      <c r="I1955" s="37">
        <v>45647</v>
      </c>
      <c r="J1955" s="33" t="s">
        <v>22</v>
      </c>
      <c r="K1955" s="33" t="s">
        <v>23</v>
      </c>
      <c r="L1955" s="38">
        <f t="shared" si="63"/>
        <v>5146.4405999999999</v>
      </c>
      <c r="M1955" s="38">
        <v>-865.81</v>
      </c>
      <c r="N1955" s="24">
        <f>_xlfn.XLOOKUP(Snitch_Fashion_Sales_cleaned!$J1955,Table2[City],Table2[City_Key],"not found")</f>
        <v>3</v>
      </c>
      <c r="O1955" s="23">
        <f>_xlfn.XLOOKUP(Snitch_Fashion_Sales_cleaned!$D1955,Table4[Product_Name],Table4[Product_Key],"not found")</f>
        <v>18</v>
      </c>
      <c r="P1955" s="32">
        <f>_xlfn.XLOOKUP(Snitch_Fashion_Sales_cleaned!$I1955,Table3[Order_Date],Table3[Date_Key])</f>
        <v>5</v>
      </c>
    </row>
    <row r="1956" spans="1:16" x14ac:dyDescent="0.3">
      <c r="A1956" s="27">
        <v>2954</v>
      </c>
      <c r="B1956" s="25" t="s">
        <v>1978</v>
      </c>
      <c r="C1956" s="25" t="s">
        <v>36</v>
      </c>
      <c r="D1956" s="26" t="s">
        <v>55</v>
      </c>
      <c r="E1956" s="27">
        <v>3</v>
      </c>
      <c r="F1956" s="28">
        <v>2731.6350000000002</v>
      </c>
      <c r="G1956" s="29">
        <v>0.51</v>
      </c>
      <c r="H1956" s="28">
        <f t="shared" si="62"/>
        <v>8194.9050000000007</v>
      </c>
      <c r="I1956" s="30">
        <v>45518</v>
      </c>
      <c r="J1956" s="26" t="s">
        <v>52</v>
      </c>
      <c r="K1956" s="26" t="s">
        <v>23</v>
      </c>
      <c r="L1956" s="31">
        <f t="shared" si="63"/>
        <v>4015.5034500000002</v>
      </c>
      <c r="M1956" s="31">
        <v>1632.71</v>
      </c>
      <c r="N1956" s="22">
        <f>_xlfn.XLOOKUP(Snitch_Fashion_Sales_cleaned!$J1956,Table2[City],Table2[City_Key],"not found")</f>
        <v>5</v>
      </c>
      <c r="O1956" s="21">
        <f>_xlfn.XLOOKUP(Snitch_Fashion_Sales_cleaned!$D1956,Table4[Product_Name],Table4[Product_Key],"not found")</f>
        <v>12</v>
      </c>
      <c r="P1956" s="25">
        <f>_xlfn.XLOOKUP(Snitch_Fashion_Sales_cleaned!$I1956,Table3[Order_Date],Table3[Date_Key])</f>
        <v>43</v>
      </c>
    </row>
    <row r="1957" spans="1:16" x14ac:dyDescent="0.3">
      <c r="A1957" s="34">
        <v>2955</v>
      </c>
      <c r="B1957" s="32" t="s">
        <v>1979</v>
      </c>
      <c r="C1957" s="32" t="s">
        <v>36</v>
      </c>
      <c r="D1957" s="33" t="s">
        <v>59</v>
      </c>
      <c r="E1957" s="34">
        <v>6</v>
      </c>
      <c r="F1957" s="35">
        <v>2765.26</v>
      </c>
      <c r="G1957" s="36">
        <v>0.51</v>
      </c>
      <c r="H1957" s="35">
        <f t="shared" si="62"/>
        <v>16591.560000000001</v>
      </c>
      <c r="I1957" s="37">
        <v>45824</v>
      </c>
      <c r="J1957" s="33" t="s">
        <v>18</v>
      </c>
      <c r="K1957" s="33" t="s">
        <v>23</v>
      </c>
      <c r="L1957" s="38">
        <f t="shared" si="63"/>
        <v>8129.8644000000004</v>
      </c>
      <c r="M1957" s="38">
        <v>-646.89</v>
      </c>
      <c r="N1957" s="24">
        <f>_xlfn.XLOOKUP(Snitch_Fashion_Sales_cleaned!$J1957,Table2[City],Table2[City_Key],"not found")</f>
        <v>2</v>
      </c>
      <c r="O1957" s="23">
        <f>_xlfn.XLOOKUP(Snitch_Fashion_Sales_cleaned!$D1957,Table4[Product_Name],Table4[Product_Key],"not found")</f>
        <v>13</v>
      </c>
      <c r="P1957" s="32">
        <f>_xlfn.XLOOKUP(Snitch_Fashion_Sales_cleaned!$I1957,Table3[Order_Date],Table3[Date_Key])</f>
        <v>110</v>
      </c>
    </row>
    <row r="1958" spans="1:16" x14ac:dyDescent="0.3">
      <c r="A1958" s="27">
        <v>2956</v>
      </c>
      <c r="B1958" s="25" t="s">
        <v>1980</v>
      </c>
      <c r="C1958" s="25" t="s">
        <v>20</v>
      </c>
      <c r="D1958" s="26" t="s">
        <v>21</v>
      </c>
      <c r="E1958" s="27">
        <v>4</v>
      </c>
      <c r="F1958" s="28">
        <v>2710.15</v>
      </c>
      <c r="G1958" s="29">
        <v>0.51</v>
      </c>
      <c r="H1958" s="28">
        <f t="shared" si="62"/>
        <v>10840.6</v>
      </c>
      <c r="I1958" s="30">
        <v>45647</v>
      </c>
      <c r="J1958" s="26" t="s">
        <v>15</v>
      </c>
      <c r="K1958" s="26" t="s">
        <v>16</v>
      </c>
      <c r="L1958" s="31">
        <f t="shared" si="63"/>
        <v>5311.8940000000002</v>
      </c>
      <c r="M1958" s="31">
        <v>2.2200000000000002</v>
      </c>
      <c r="N1958" s="22">
        <f>_xlfn.XLOOKUP(Snitch_Fashion_Sales_cleaned!$J1958,Table2[City],Table2[City_Key],"not found")</f>
        <v>1</v>
      </c>
      <c r="O1958" s="21">
        <f>_xlfn.XLOOKUP(Snitch_Fashion_Sales_cleaned!$D1958,Table4[Product_Name],Table4[Product_Key],"not found")</f>
        <v>2</v>
      </c>
      <c r="P1958" s="25">
        <f>_xlfn.XLOOKUP(Snitch_Fashion_Sales_cleaned!$I1958,Table3[Order_Date],Table3[Date_Key])</f>
        <v>5</v>
      </c>
    </row>
    <row r="1959" spans="1:16" x14ac:dyDescent="0.3">
      <c r="A1959" s="34">
        <v>2957</v>
      </c>
      <c r="B1959" s="32" t="s">
        <v>1981</v>
      </c>
      <c r="C1959" s="32" t="s">
        <v>28</v>
      </c>
      <c r="D1959" s="33" t="s">
        <v>29</v>
      </c>
      <c r="E1959" s="34">
        <v>3</v>
      </c>
      <c r="F1959" s="35">
        <v>2515.415</v>
      </c>
      <c r="G1959" s="36">
        <v>0.68</v>
      </c>
      <c r="H1959" s="35">
        <f t="shared" si="62"/>
        <v>7546.2449999999999</v>
      </c>
      <c r="I1959" s="37">
        <v>45724</v>
      </c>
      <c r="J1959" s="33" t="s">
        <v>18</v>
      </c>
      <c r="K1959" s="33" t="s">
        <v>16</v>
      </c>
      <c r="L1959" s="38">
        <f t="shared" si="63"/>
        <v>2414.7983999999997</v>
      </c>
      <c r="M1959" s="38">
        <v>301.72000000000003</v>
      </c>
      <c r="N1959" s="24">
        <f>_xlfn.XLOOKUP(Snitch_Fashion_Sales_cleaned!$J1959,Table2[City],Table2[City_Key],"not found")</f>
        <v>2</v>
      </c>
      <c r="O1959" s="23">
        <f>_xlfn.XLOOKUP(Snitch_Fashion_Sales_cleaned!$D1959,Table4[Product_Name],Table4[Product_Key],"not found")</f>
        <v>4</v>
      </c>
      <c r="P1959" s="32">
        <f>_xlfn.XLOOKUP(Snitch_Fashion_Sales_cleaned!$I1959,Table3[Order_Date],Table3[Date_Key])</f>
        <v>456</v>
      </c>
    </row>
    <row r="1960" spans="1:16" x14ac:dyDescent="0.3">
      <c r="A1960" s="27">
        <v>2958</v>
      </c>
      <c r="B1960" s="25" t="s">
        <v>1982</v>
      </c>
      <c r="C1960" s="25" t="s">
        <v>31</v>
      </c>
      <c r="D1960" s="26" t="s">
        <v>68</v>
      </c>
      <c r="E1960" s="27">
        <v>4</v>
      </c>
      <c r="F1960" s="28">
        <v>2765.79</v>
      </c>
      <c r="G1960" s="29">
        <v>0.51</v>
      </c>
      <c r="H1960" s="28">
        <f t="shared" si="62"/>
        <v>11063.16</v>
      </c>
      <c r="I1960" s="30">
        <v>45393</v>
      </c>
      <c r="J1960" s="26" t="s">
        <v>43</v>
      </c>
      <c r="K1960" s="26" t="s">
        <v>16</v>
      </c>
      <c r="L1960" s="31">
        <f t="shared" si="63"/>
        <v>5420.9484000000002</v>
      </c>
      <c r="M1960" s="31">
        <v>-645.12</v>
      </c>
      <c r="N1960" s="22">
        <f>_xlfn.XLOOKUP(Snitch_Fashion_Sales_cleaned!$J1960,Table2[City],Table2[City_Key],"not found")</f>
        <v>6</v>
      </c>
      <c r="O1960" s="21">
        <f>_xlfn.XLOOKUP(Snitch_Fashion_Sales_cleaned!$D1960,Table4[Product_Name],Table4[Product_Key],"not found")</f>
        <v>15</v>
      </c>
      <c r="P1960" s="25">
        <f>_xlfn.XLOOKUP(Snitch_Fashion_Sales_cleaned!$I1960,Table3[Order_Date],Table3[Date_Key])</f>
        <v>81</v>
      </c>
    </row>
    <row r="1961" spans="1:16" x14ac:dyDescent="0.3">
      <c r="A1961" s="34">
        <v>2959</v>
      </c>
      <c r="B1961" s="32" t="s">
        <v>1983</v>
      </c>
      <c r="C1961" s="32" t="s">
        <v>25</v>
      </c>
      <c r="D1961" s="33" t="s">
        <v>26</v>
      </c>
      <c r="E1961" s="34">
        <v>4</v>
      </c>
      <c r="F1961" s="35">
        <v>4113.9799999999996</v>
      </c>
      <c r="G1961" s="36">
        <v>0.51</v>
      </c>
      <c r="H1961" s="35">
        <f t="shared" si="62"/>
        <v>16455.919999999998</v>
      </c>
      <c r="I1961" s="37">
        <v>45720</v>
      </c>
      <c r="J1961" s="33" t="s">
        <v>22</v>
      </c>
      <c r="K1961" s="33" t="s">
        <v>16</v>
      </c>
      <c r="L1961" s="38">
        <f t="shared" si="63"/>
        <v>8063.4007999999994</v>
      </c>
      <c r="M1961" s="38">
        <v>477.7</v>
      </c>
      <c r="N1961" s="24">
        <f>_xlfn.XLOOKUP(Snitch_Fashion_Sales_cleaned!$J1961,Table2[City],Table2[City_Key],"not found")</f>
        <v>3</v>
      </c>
      <c r="O1961" s="23">
        <f>_xlfn.XLOOKUP(Snitch_Fashion_Sales_cleaned!$D1961,Table4[Product_Name],Table4[Product_Key],"not found")</f>
        <v>3</v>
      </c>
      <c r="P1961" s="32">
        <f>_xlfn.XLOOKUP(Snitch_Fashion_Sales_cleaned!$I1961,Table3[Order_Date],Table3[Date_Key])</f>
        <v>68</v>
      </c>
    </row>
    <row r="1962" spans="1:16" x14ac:dyDescent="0.3">
      <c r="A1962" s="27">
        <v>2960</v>
      </c>
      <c r="B1962" s="25" t="s">
        <v>1984</v>
      </c>
      <c r="C1962" s="25" t="s">
        <v>28</v>
      </c>
      <c r="D1962" s="26" t="s">
        <v>29</v>
      </c>
      <c r="E1962" s="27">
        <v>3</v>
      </c>
      <c r="F1962" s="28">
        <v>1536.53</v>
      </c>
      <c r="G1962" s="29">
        <v>0.96</v>
      </c>
      <c r="H1962" s="28">
        <f t="shared" si="62"/>
        <v>4609.59</v>
      </c>
      <c r="I1962" s="30">
        <v>45804</v>
      </c>
      <c r="J1962" s="26" t="s">
        <v>2540</v>
      </c>
      <c r="K1962" s="26" t="s">
        <v>23</v>
      </c>
      <c r="L1962" s="31">
        <f t="shared" si="63"/>
        <v>184.38360000000017</v>
      </c>
      <c r="M1962" s="31">
        <v>46.095900000000043</v>
      </c>
      <c r="N1962" s="22">
        <f>_xlfn.XLOOKUP(Snitch_Fashion_Sales_cleaned!$J1962,Table2[City],Table2[City_Key],"not found")</f>
        <v>4</v>
      </c>
      <c r="O1962" s="21">
        <f>_xlfn.XLOOKUP(Snitch_Fashion_Sales_cleaned!$D1962,Table4[Product_Name],Table4[Product_Key],"not found")</f>
        <v>4</v>
      </c>
      <c r="P1962" s="25">
        <f>_xlfn.XLOOKUP(Snitch_Fashion_Sales_cleaned!$I1962,Table3[Order_Date],Table3[Date_Key])</f>
        <v>9</v>
      </c>
    </row>
    <row r="1963" spans="1:16" x14ac:dyDescent="0.3">
      <c r="A1963" s="34">
        <v>1021</v>
      </c>
      <c r="B1963" s="32" t="s">
        <v>1985</v>
      </c>
      <c r="C1963" s="32" t="s">
        <v>31</v>
      </c>
      <c r="D1963" s="33" t="s">
        <v>68</v>
      </c>
      <c r="E1963" s="34">
        <v>2</v>
      </c>
      <c r="F1963" s="35">
        <v>2765.79</v>
      </c>
      <c r="G1963" s="36">
        <v>0.04</v>
      </c>
      <c r="H1963" s="35">
        <f t="shared" si="62"/>
        <v>5531.58</v>
      </c>
      <c r="I1963" s="37">
        <v>45719</v>
      </c>
      <c r="J1963" s="33" t="s">
        <v>43</v>
      </c>
      <c r="K1963" s="33" t="s">
        <v>16</v>
      </c>
      <c r="L1963" s="38">
        <f t="shared" si="63"/>
        <v>5310.3167999999996</v>
      </c>
      <c r="M1963" s="38">
        <v>796.33</v>
      </c>
      <c r="N1963" s="24">
        <f>_xlfn.XLOOKUP(Snitch_Fashion_Sales_cleaned!$J1963,Table2[City],Table2[City_Key],"not found")</f>
        <v>6</v>
      </c>
      <c r="O1963" s="23">
        <f>_xlfn.XLOOKUP(Snitch_Fashion_Sales_cleaned!$D1963,Table4[Product_Name],Table4[Product_Key],"not found")</f>
        <v>15</v>
      </c>
      <c r="P1963" s="32">
        <f>_xlfn.XLOOKUP(Snitch_Fashion_Sales_cleaned!$I1963,Table3[Order_Date],Table3[Date_Key])</f>
        <v>92</v>
      </c>
    </row>
    <row r="1964" spans="1:16" x14ac:dyDescent="0.3">
      <c r="A1964" s="27">
        <v>2962</v>
      </c>
      <c r="B1964" s="25" t="s">
        <v>1986</v>
      </c>
      <c r="C1964" s="25" t="s">
        <v>28</v>
      </c>
      <c r="D1964" s="26" t="s">
        <v>29</v>
      </c>
      <c r="E1964" s="27">
        <v>3</v>
      </c>
      <c r="F1964" s="28">
        <v>2515.415</v>
      </c>
      <c r="G1964" s="29">
        <v>0.87</v>
      </c>
      <c r="H1964" s="28">
        <f t="shared" si="62"/>
        <v>7546.2449999999999</v>
      </c>
      <c r="I1964" s="30">
        <v>45596</v>
      </c>
      <c r="J1964" s="26" t="s">
        <v>15</v>
      </c>
      <c r="K1964" s="26" t="s">
        <v>16</v>
      </c>
      <c r="L1964" s="31">
        <f t="shared" si="63"/>
        <v>981.01184999999998</v>
      </c>
      <c r="M1964" s="31">
        <v>-617.13</v>
      </c>
      <c r="N1964" s="22">
        <f>_xlfn.XLOOKUP(Snitch_Fashion_Sales_cleaned!$J1964,Table2[City],Table2[City_Key],"not found")</f>
        <v>1</v>
      </c>
      <c r="O1964" s="21">
        <f>_xlfn.XLOOKUP(Snitch_Fashion_Sales_cleaned!$D1964,Table4[Product_Name],Table4[Product_Key],"not found")</f>
        <v>4</v>
      </c>
      <c r="P1964" s="25">
        <f>_xlfn.XLOOKUP(Snitch_Fashion_Sales_cleaned!$I1964,Table3[Order_Date],Table3[Date_Key])</f>
        <v>226</v>
      </c>
    </row>
    <row r="1965" spans="1:16" x14ac:dyDescent="0.3">
      <c r="A1965" s="34">
        <v>2963</v>
      </c>
      <c r="B1965" s="32" t="s">
        <v>1987</v>
      </c>
      <c r="C1965" s="32" t="s">
        <v>13</v>
      </c>
      <c r="D1965" s="33" t="s">
        <v>14</v>
      </c>
      <c r="E1965" s="34">
        <v>4</v>
      </c>
      <c r="F1965" s="35">
        <v>570.21</v>
      </c>
      <c r="G1965" s="36">
        <v>0.51</v>
      </c>
      <c r="H1965" s="35">
        <f t="shared" si="62"/>
        <v>2280.84</v>
      </c>
      <c r="I1965" s="37">
        <v>45750</v>
      </c>
      <c r="J1965" s="33" t="s">
        <v>15</v>
      </c>
      <c r="K1965" s="33" t="s">
        <v>23</v>
      </c>
      <c r="L1965" s="38">
        <f t="shared" si="63"/>
        <v>1117.6116</v>
      </c>
      <c r="M1965" s="38">
        <v>380.3</v>
      </c>
      <c r="N1965" s="24">
        <f>_xlfn.XLOOKUP(Snitch_Fashion_Sales_cleaned!$J1965,Table2[City],Table2[City_Key],"not found")</f>
        <v>1</v>
      </c>
      <c r="O1965" s="23">
        <f>_xlfn.XLOOKUP(Snitch_Fashion_Sales_cleaned!$D1965,Table4[Product_Name],Table4[Product_Key],"not found")</f>
        <v>1</v>
      </c>
      <c r="P1965" s="32">
        <f>_xlfn.XLOOKUP(Snitch_Fashion_Sales_cleaned!$I1965,Table3[Order_Date],Table3[Date_Key])</f>
        <v>308</v>
      </c>
    </row>
    <row r="1966" spans="1:16" x14ac:dyDescent="0.3">
      <c r="A1966" s="27">
        <v>2964</v>
      </c>
      <c r="B1966" s="25" t="s">
        <v>1988</v>
      </c>
      <c r="C1966" s="25" t="s">
        <v>25</v>
      </c>
      <c r="D1966" s="26" t="s">
        <v>82</v>
      </c>
      <c r="E1966" s="27">
        <v>3</v>
      </c>
      <c r="F1966" s="28">
        <v>2385.5749999999998</v>
      </c>
      <c r="G1966" s="29">
        <v>0.96</v>
      </c>
      <c r="H1966" s="28">
        <f t="shared" si="62"/>
        <v>7156.7249999999995</v>
      </c>
      <c r="I1966" s="30">
        <v>45697</v>
      </c>
      <c r="J1966" s="26" t="s">
        <v>52</v>
      </c>
      <c r="K1966" s="26" t="s">
        <v>16</v>
      </c>
      <c r="L1966" s="31">
        <f t="shared" si="63"/>
        <v>286.26900000000023</v>
      </c>
      <c r="M1966" s="31">
        <v>-937.17</v>
      </c>
      <c r="N1966" s="22">
        <f>_xlfn.XLOOKUP(Snitch_Fashion_Sales_cleaned!$J1966,Table2[City],Table2[City_Key],"not found")</f>
        <v>5</v>
      </c>
      <c r="O1966" s="21">
        <f>_xlfn.XLOOKUP(Snitch_Fashion_Sales_cleaned!$D1966,Table4[Product_Name],Table4[Product_Key],"not found")</f>
        <v>18</v>
      </c>
      <c r="P1966" s="25">
        <f>_xlfn.XLOOKUP(Snitch_Fashion_Sales_cleaned!$I1966,Table3[Order_Date],Table3[Date_Key])</f>
        <v>339</v>
      </c>
    </row>
    <row r="1967" spans="1:16" x14ac:dyDescent="0.3">
      <c r="A1967" s="34">
        <v>1038</v>
      </c>
      <c r="B1967" s="32" t="s">
        <v>1989</v>
      </c>
      <c r="C1967" s="32" t="s">
        <v>25</v>
      </c>
      <c r="D1967" s="33" t="s">
        <v>82</v>
      </c>
      <c r="E1967" s="34">
        <v>3</v>
      </c>
      <c r="F1967" s="35">
        <v>2385.5749999999998</v>
      </c>
      <c r="G1967" s="36">
        <v>0.51</v>
      </c>
      <c r="H1967" s="35">
        <f t="shared" si="62"/>
        <v>7156.7249999999995</v>
      </c>
      <c r="I1967" s="37">
        <v>45260</v>
      </c>
      <c r="J1967" s="33" t="s">
        <v>43</v>
      </c>
      <c r="K1967" s="33" t="s">
        <v>16</v>
      </c>
      <c r="L1967" s="38">
        <f t="shared" si="63"/>
        <v>3506.7952499999997</v>
      </c>
      <c r="M1967" s="38">
        <v>2689.89</v>
      </c>
      <c r="N1967" s="24">
        <f>_xlfn.XLOOKUP(Snitch_Fashion_Sales_cleaned!$J1967,Table2[City],Table2[City_Key],"not found")</f>
        <v>6</v>
      </c>
      <c r="O1967" s="23">
        <f>_xlfn.XLOOKUP(Snitch_Fashion_Sales_cleaned!$D1967,Table4[Product_Name],Table4[Product_Key],"not found")</f>
        <v>18</v>
      </c>
      <c r="P1967" s="32">
        <f>_xlfn.XLOOKUP(Snitch_Fashion_Sales_cleaned!$I1967,Table3[Order_Date],Table3[Date_Key])</f>
        <v>454</v>
      </c>
    </row>
    <row r="1968" spans="1:16" x14ac:dyDescent="0.3">
      <c r="A1968" s="27">
        <v>2966</v>
      </c>
      <c r="B1968" s="25" t="s">
        <v>1990</v>
      </c>
      <c r="C1968" s="25" t="s">
        <v>31</v>
      </c>
      <c r="D1968" s="26" t="s">
        <v>32</v>
      </c>
      <c r="E1968" s="27">
        <v>4</v>
      </c>
      <c r="F1968" s="28">
        <v>1650.01</v>
      </c>
      <c r="G1968" s="29">
        <v>0.51</v>
      </c>
      <c r="H1968" s="28">
        <f t="shared" si="62"/>
        <v>6600.04</v>
      </c>
      <c r="I1968" s="30">
        <v>45635</v>
      </c>
      <c r="J1968" s="26" t="s">
        <v>52</v>
      </c>
      <c r="K1968" s="26" t="s">
        <v>23</v>
      </c>
      <c r="L1968" s="31">
        <f t="shared" si="63"/>
        <v>3234.0196000000001</v>
      </c>
      <c r="M1968" s="31">
        <v>2561.34</v>
      </c>
      <c r="N1968" s="22">
        <f>_xlfn.XLOOKUP(Snitch_Fashion_Sales_cleaned!$J1968,Table2[City],Table2[City_Key],"not found")</f>
        <v>5</v>
      </c>
      <c r="O1968" s="21">
        <f>_xlfn.XLOOKUP(Snitch_Fashion_Sales_cleaned!$D1968,Table4[Product_Name],Table4[Product_Key],"not found")</f>
        <v>5</v>
      </c>
      <c r="P1968" s="25">
        <f>_xlfn.XLOOKUP(Snitch_Fashion_Sales_cleaned!$I1968,Table3[Order_Date],Table3[Date_Key])</f>
        <v>522</v>
      </c>
    </row>
    <row r="1969" spans="1:16" x14ac:dyDescent="0.3">
      <c r="A1969" s="34">
        <v>2967</v>
      </c>
      <c r="B1969" s="32" t="s">
        <v>1991</v>
      </c>
      <c r="C1969" s="32" t="s">
        <v>36</v>
      </c>
      <c r="D1969" s="33" t="s">
        <v>37</v>
      </c>
      <c r="E1969" s="34">
        <v>4</v>
      </c>
      <c r="F1969" s="35">
        <v>2975.64</v>
      </c>
      <c r="G1969" s="36">
        <v>0.51</v>
      </c>
      <c r="H1969" s="35">
        <f t="shared" si="62"/>
        <v>11902.56</v>
      </c>
      <c r="I1969" s="37">
        <v>45771</v>
      </c>
      <c r="J1969" s="33" t="s">
        <v>52</v>
      </c>
      <c r="K1969" s="33" t="s">
        <v>23</v>
      </c>
      <c r="L1969" s="38">
        <f t="shared" si="63"/>
        <v>5832.2543999999998</v>
      </c>
      <c r="M1969" s="38">
        <v>-346.59</v>
      </c>
      <c r="N1969" s="24">
        <f>_xlfn.XLOOKUP(Snitch_Fashion_Sales_cleaned!$J1969,Table2[City],Table2[City_Key],"not found")</f>
        <v>5</v>
      </c>
      <c r="O1969" s="23">
        <f>_xlfn.XLOOKUP(Snitch_Fashion_Sales_cleaned!$D1969,Table4[Product_Name],Table4[Product_Key],"not found")</f>
        <v>7</v>
      </c>
      <c r="P1969" s="32">
        <f>_xlfn.XLOOKUP(Snitch_Fashion_Sales_cleaned!$I1969,Table3[Order_Date],Table3[Date_Key])</f>
        <v>201</v>
      </c>
    </row>
    <row r="1970" spans="1:16" x14ac:dyDescent="0.3">
      <c r="A1970" s="27">
        <v>2968</v>
      </c>
      <c r="B1970" s="25" t="s">
        <v>1992</v>
      </c>
      <c r="C1970" s="25" t="s">
        <v>20</v>
      </c>
      <c r="D1970" s="26" t="s">
        <v>21</v>
      </c>
      <c r="E1970" s="27">
        <v>4</v>
      </c>
      <c r="F1970" s="28">
        <v>2579.8000000000002</v>
      </c>
      <c r="G1970" s="29">
        <v>0.51</v>
      </c>
      <c r="H1970" s="28">
        <f t="shared" si="62"/>
        <v>10319.200000000001</v>
      </c>
      <c r="I1970" s="30">
        <v>45787</v>
      </c>
      <c r="J1970" s="26" t="s">
        <v>22</v>
      </c>
      <c r="K1970" s="26" t="s">
        <v>23</v>
      </c>
      <c r="L1970" s="31">
        <f t="shared" si="63"/>
        <v>5056.4080000000004</v>
      </c>
      <c r="M1970" s="31">
        <v>768.33</v>
      </c>
      <c r="N1970" s="22">
        <f>_xlfn.XLOOKUP(Snitch_Fashion_Sales_cleaned!$J1970,Table2[City],Table2[City_Key],"not found")</f>
        <v>3</v>
      </c>
      <c r="O1970" s="21">
        <f>_xlfn.XLOOKUP(Snitch_Fashion_Sales_cleaned!$D1970,Table4[Product_Name],Table4[Product_Key],"not found")</f>
        <v>2</v>
      </c>
      <c r="P1970" s="25">
        <f>_xlfn.XLOOKUP(Snitch_Fashion_Sales_cleaned!$I1970,Table3[Order_Date],Table3[Date_Key])</f>
        <v>523</v>
      </c>
    </row>
    <row r="1971" spans="1:16" x14ac:dyDescent="0.3">
      <c r="A1971" s="34">
        <v>2969</v>
      </c>
      <c r="B1971" s="32" t="s">
        <v>1993</v>
      </c>
      <c r="C1971" s="32" t="s">
        <v>20</v>
      </c>
      <c r="D1971" s="33" t="s">
        <v>118</v>
      </c>
      <c r="E1971" s="34">
        <v>3.5</v>
      </c>
      <c r="F1971" s="35">
        <v>4858.47</v>
      </c>
      <c r="G1971" s="36">
        <v>0.68</v>
      </c>
      <c r="H1971" s="35">
        <f t="shared" si="62"/>
        <v>17004.645</v>
      </c>
      <c r="I1971" s="37">
        <v>45826</v>
      </c>
      <c r="J1971" s="33" t="s">
        <v>2540</v>
      </c>
      <c r="K1971" s="33" t="s">
        <v>23</v>
      </c>
      <c r="L1971" s="38">
        <f t="shared" si="63"/>
        <v>5441.4863999999989</v>
      </c>
      <c r="M1971" s="38">
        <v>1115.8900000000001</v>
      </c>
      <c r="N1971" s="24">
        <f>_xlfn.XLOOKUP(Snitch_Fashion_Sales_cleaned!$J1971,Table2[City],Table2[City_Key],"not found")</f>
        <v>4</v>
      </c>
      <c r="O1971" s="23">
        <f>_xlfn.XLOOKUP(Snitch_Fashion_Sales_cleaned!$D1971,Table4[Product_Name],Table4[Product_Key],"not found")</f>
        <v>23</v>
      </c>
      <c r="P1971" s="32">
        <f>_xlfn.XLOOKUP(Snitch_Fashion_Sales_cleaned!$I1971,Table3[Order_Date],Table3[Date_Key])</f>
        <v>4</v>
      </c>
    </row>
    <row r="1972" spans="1:16" x14ac:dyDescent="0.3">
      <c r="A1972" s="27">
        <v>2970</v>
      </c>
      <c r="B1972" s="25" t="s">
        <v>1994</v>
      </c>
      <c r="C1972" s="25" t="s">
        <v>31</v>
      </c>
      <c r="D1972" s="26" t="s">
        <v>41</v>
      </c>
      <c r="E1972" s="27">
        <v>1</v>
      </c>
      <c r="F1972" s="28">
        <v>3027.66</v>
      </c>
      <c r="G1972" s="29">
        <v>0.51</v>
      </c>
      <c r="H1972" s="28">
        <f t="shared" si="62"/>
        <v>3027.66</v>
      </c>
      <c r="I1972" s="30">
        <v>45611</v>
      </c>
      <c r="J1972" s="26" t="s">
        <v>43</v>
      </c>
      <c r="K1972" s="26" t="s">
        <v>16</v>
      </c>
      <c r="L1972" s="31">
        <f t="shared" si="63"/>
        <v>1483.5534</v>
      </c>
      <c r="M1972" s="31">
        <v>1214.1500000000001</v>
      </c>
      <c r="N1972" s="22">
        <f>_xlfn.XLOOKUP(Snitch_Fashion_Sales_cleaned!$J1972,Table2[City],Table2[City_Key],"not found")</f>
        <v>6</v>
      </c>
      <c r="O1972" s="21">
        <f>_xlfn.XLOOKUP(Snitch_Fashion_Sales_cleaned!$D1972,Table4[Product_Name],Table4[Product_Key],"not found")</f>
        <v>9</v>
      </c>
      <c r="P1972" s="25">
        <f>_xlfn.XLOOKUP(Snitch_Fashion_Sales_cleaned!$I1972,Table3[Order_Date],Table3[Date_Key])</f>
        <v>27</v>
      </c>
    </row>
    <row r="1973" spans="1:16" x14ac:dyDescent="0.3">
      <c r="A1973" s="34">
        <v>2971</v>
      </c>
      <c r="B1973" s="32" t="s">
        <v>1995</v>
      </c>
      <c r="C1973" s="32" t="s">
        <v>36</v>
      </c>
      <c r="D1973" s="33" t="s">
        <v>87</v>
      </c>
      <c r="E1973" s="34">
        <v>6</v>
      </c>
      <c r="F1973" s="35">
        <v>1507.6</v>
      </c>
      <c r="G1973" s="36">
        <v>0.51</v>
      </c>
      <c r="H1973" s="35">
        <f t="shared" si="62"/>
        <v>9045.5999999999985</v>
      </c>
      <c r="I1973" s="37">
        <v>45699</v>
      </c>
      <c r="J1973" s="33" t="s">
        <v>15</v>
      </c>
      <c r="K1973" s="33" t="s">
        <v>16</v>
      </c>
      <c r="L1973" s="38">
        <f t="shared" si="63"/>
        <v>4432.3439999999991</v>
      </c>
      <c r="M1973" s="38">
        <v>2280.06</v>
      </c>
      <c r="N1973" s="24">
        <f>_xlfn.XLOOKUP(Snitch_Fashion_Sales_cleaned!$J1973,Table2[City],Table2[City_Key],"not found")</f>
        <v>1</v>
      </c>
      <c r="O1973" s="23">
        <f>_xlfn.XLOOKUP(Snitch_Fashion_Sales_cleaned!$D1973,Table4[Product_Name],Table4[Product_Key],"not found")</f>
        <v>20</v>
      </c>
      <c r="P1973" s="32">
        <f>_xlfn.XLOOKUP(Snitch_Fashion_Sales_cleaned!$I1973,Table3[Order_Date],Table3[Date_Key])</f>
        <v>461</v>
      </c>
    </row>
    <row r="1974" spans="1:16" x14ac:dyDescent="0.3">
      <c r="A1974" s="27">
        <v>2972</v>
      </c>
      <c r="B1974" s="25" t="s">
        <v>1996</v>
      </c>
      <c r="C1974" s="25" t="s">
        <v>36</v>
      </c>
      <c r="D1974" s="26" t="s">
        <v>87</v>
      </c>
      <c r="E1974" s="27">
        <v>5</v>
      </c>
      <c r="F1974" s="28">
        <v>2889.5349999999999</v>
      </c>
      <c r="G1974" s="29">
        <v>0.51</v>
      </c>
      <c r="H1974" s="28">
        <f t="shared" si="62"/>
        <v>14447.674999999999</v>
      </c>
      <c r="I1974" s="30">
        <v>45647</v>
      </c>
      <c r="J1974" s="26" t="s">
        <v>43</v>
      </c>
      <c r="K1974" s="26" t="s">
        <v>23</v>
      </c>
      <c r="L1974" s="31">
        <f t="shared" si="63"/>
        <v>7079.3607499999998</v>
      </c>
      <c r="M1974" s="31">
        <v>2532.7600000000002</v>
      </c>
      <c r="N1974" s="22">
        <f>_xlfn.XLOOKUP(Snitch_Fashion_Sales_cleaned!$J1974,Table2[City],Table2[City_Key],"not found")</f>
        <v>6</v>
      </c>
      <c r="O1974" s="21">
        <f>_xlfn.XLOOKUP(Snitch_Fashion_Sales_cleaned!$D1974,Table4[Product_Name],Table4[Product_Key],"not found")</f>
        <v>20</v>
      </c>
      <c r="P1974" s="25">
        <f>_xlfn.XLOOKUP(Snitch_Fashion_Sales_cleaned!$I1974,Table3[Order_Date],Table3[Date_Key])</f>
        <v>5</v>
      </c>
    </row>
    <row r="1975" spans="1:16" x14ac:dyDescent="0.3">
      <c r="A1975" s="34">
        <v>2973</v>
      </c>
      <c r="B1975" s="32" t="s">
        <v>1997</v>
      </c>
      <c r="C1975" s="32" t="s">
        <v>28</v>
      </c>
      <c r="D1975" s="33" t="s">
        <v>29</v>
      </c>
      <c r="E1975" s="34">
        <v>3</v>
      </c>
      <c r="F1975" s="35">
        <v>2515.415</v>
      </c>
      <c r="G1975" s="36">
        <v>0.51</v>
      </c>
      <c r="H1975" s="35">
        <f t="shared" si="62"/>
        <v>7546.2449999999999</v>
      </c>
      <c r="I1975" s="37">
        <v>45641</v>
      </c>
      <c r="J1975" s="33" t="s">
        <v>52</v>
      </c>
      <c r="K1975" s="33" t="s">
        <v>16</v>
      </c>
      <c r="L1975" s="38">
        <f t="shared" si="63"/>
        <v>3697.66005</v>
      </c>
      <c r="M1975" s="38">
        <v>1576.16</v>
      </c>
      <c r="N1975" s="24">
        <f>_xlfn.XLOOKUP(Snitch_Fashion_Sales_cleaned!$J1975,Table2[City],Table2[City_Key],"not found")</f>
        <v>5</v>
      </c>
      <c r="O1975" s="23">
        <f>_xlfn.XLOOKUP(Snitch_Fashion_Sales_cleaned!$D1975,Table4[Product_Name],Table4[Product_Key],"not found")</f>
        <v>4</v>
      </c>
      <c r="P1975" s="32">
        <f>_xlfn.XLOOKUP(Snitch_Fashion_Sales_cleaned!$I1975,Table3[Order_Date],Table3[Date_Key])</f>
        <v>99</v>
      </c>
    </row>
    <row r="1976" spans="1:16" x14ac:dyDescent="0.3">
      <c r="A1976" s="27">
        <v>2974</v>
      </c>
      <c r="B1976" s="25" t="s">
        <v>1998</v>
      </c>
      <c r="C1976" s="25" t="s">
        <v>28</v>
      </c>
      <c r="D1976" s="26" t="s">
        <v>116</v>
      </c>
      <c r="E1976" s="27">
        <v>6</v>
      </c>
      <c r="F1976" s="28">
        <v>1765.76</v>
      </c>
      <c r="G1976" s="29">
        <v>0.36</v>
      </c>
      <c r="H1976" s="28">
        <f t="shared" si="62"/>
        <v>10594.56</v>
      </c>
      <c r="I1976" s="30">
        <v>45798</v>
      </c>
      <c r="J1976" s="26" t="s">
        <v>18</v>
      </c>
      <c r="K1976" s="26" t="s">
        <v>23</v>
      </c>
      <c r="L1976" s="31">
        <f t="shared" si="63"/>
        <v>6780.5183999999999</v>
      </c>
      <c r="M1976" s="31">
        <v>2947</v>
      </c>
      <c r="N1976" s="22">
        <f>_xlfn.XLOOKUP(Snitch_Fashion_Sales_cleaned!$J1976,Table2[City],Table2[City_Key],"not found")</f>
        <v>2</v>
      </c>
      <c r="O1976" s="21">
        <f>_xlfn.XLOOKUP(Snitch_Fashion_Sales_cleaned!$D1976,Table4[Product_Name],Table4[Product_Key],"not found")</f>
        <v>22</v>
      </c>
      <c r="P1976" s="25">
        <f>_xlfn.XLOOKUP(Snitch_Fashion_Sales_cleaned!$I1976,Table3[Order_Date],Table3[Date_Key])</f>
        <v>419</v>
      </c>
    </row>
    <row r="1977" spans="1:16" x14ac:dyDescent="0.3">
      <c r="A1977" s="34">
        <v>2975</v>
      </c>
      <c r="B1977" s="32" t="s">
        <v>1999</v>
      </c>
      <c r="C1977" s="32" t="s">
        <v>28</v>
      </c>
      <c r="D1977" s="33" t="s">
        <v>137</v>
      </c>
      <c r="E1977" s="34">
        <v>3.5</v>
      </c>
      <c r="F1977" s="35">
        <v>3835.25</v>
      </c>
      <c r="G1977" s="36">
        <v>0.51</v>
      </c>
      <c r="H1977" s="35">
        <f t="shared" si="62"/>
        <v>13423.375</v>
      </c>
      <c r="I1977" s="37">
        <v>45700</v>
      </c>
      <c r="J1977" s="33" t="s">
        <v>18</v>
      </c>
      <c r="K1977" s="33" t="s">
        <v>23</v>
      </c>
      <c r="L1977" s="38">
        <f t="shared" si="63"/>
        <v>6577.4537499999997</v>
      </c>
      <c r="M1977" s="38">
        <v>2378.4</v>
      </c>
      <c r="N1977" s="24">
        <f>_xlfn.XLOOKUP(Snitch_Fashion_Sales_cleaned!$J1977,Table2[City],Table2[City_Key],"not found")</f>
        <v>2</v>
      </c>
      <c r="O1977" s="23">
        <f>_xlfn.XLOOKUP(Snitch_Fashion_Sales_cleaned!$D1977,Table4[Product_Name],Table4[Product_Key],"not found")</f>
        <v>24</v>
      </c>
      <c r="P1977" s="32">
        <f>_xlfn.XLOOKUP(Snitch_Fashion_Sales_cleaned!$I1977,Table3[Order_Date],Table3[Date_Key])</f>
        <v>39</v>
      </c>
    </row>
    <row r="1978" spans="1:16" x14ac:dyDescent="0.3">
      <c r="A1978" s="27">
        <v>2976</v>
      </c>
      <c r="B1978" s="25" t="s">
        <v>2000</v>
      </c>
      <c r="C1978" s="25" t="s">
        <v>31</v>
      </c>
      <c r="D1978" s="26" t="s">
        <v>68</v>
      </c>
      <c r="E1978" s="27">
        <v>4</v>
      </c>
      <c r="F1978" s="28">
        <v>1572.95</v>
      </c>
      <c r="G1978" s="29">
        <v>0.51</v>
      </c>
      <c r="H1978" s="28">
        <f t="shared" si="62"/>
        <v>6291.8</v>
      </c>
      <c r="I1978" s="30">
        <v>45663</v>
      </c>
      <c r="J1978" s="26" t="s">
        <v>52</v>
      </c>
      <c r="K1978" s="26" t="s">
        <v>23</v>
      </c>
      <c r="L1978" s="31">
        <f t="shared" si="63"/>
        <v>3082.982</v>
      </c>
      <c r="M1978" s="31">
        <v>2532.02</v>
      </c>
      <c r="N1978" s="22">
        <f>_xlfn.XLOOKUP(Snitch_Fashion_Sales_cleaned!$J1978,Table2[City],Table2[City_Key],"not found")</f>
        <v>5</v>
      </c>
      <c r="O1978" s="21">
        <f>_xlfn.XLOOKUP(Snitch_Fashion_Sales_cleaned!$D1978,Table4[Product_Name],Table4[Product_Key],"not found")</f>
        <v>15</v>
      </c>
      <c r="P1978" s="25">
        <f>_xlfn.XLOOKUP(Snitch_Fashion_Sales_cleaned!$I1978,Table3[Order_Date],Table3[Date_Key])</f>
        <v>292</v>
      </c>
    </row>
    <row r="1979" spans="1:16" x14ac:dyDescent="0.3">
      <c r="A1979" s="34">
        <v>2977</v>
      </c>
      <c r="B1979" s="32" t="s">
        <v>2001</v>
      </c>
      <c r="C1979" s="32" t="s">
        <v>36</v>
      </c>
      <c r="D1979" s="33" t="s">
        <v>37</v>
      </c>
      <c r="E1979" s="34">
        <v>4</v>
      </c>
      <c r="F1979" s="35">
        <v>3205.93</v>
      </c>
      <c r="G1979" s="36">
        <v>0.51</v>
      </c>
      <c r="H1979" s="35">
        <f t="shared" si="62"/>
        <v>12823.72</v>
      </c>
      <c r="I1979" s="37">
        <v>45647</v>
      </c>
      <c r="J1979" s="33" t="s">
        <v>22</v>
      </c>
      <c r="K1979" s="33" t="s">
        <v>16</v>
      </c>
      <c r="L1979" s="38">
        <f t="shared" si="63"/>
        <v>6283.6227999999992</v>
      </c>
      <c r="M1979" s="38">
        <v>1421.4</v>
      </c>
      <c r="N1979" s="24">
        <f>_xlfn.XLOOKUP(Snitch_Fashion_Sales_cleaned!$J1979,Table2[City],Table2[City_Key],"not found")</f>
        <v>3</v>
      </c>
      <c r="O1979" s="23">
        <f>_xlfn.XLOOKUP(Snitch_Fashion_Sales_cleaned!$D1979,Table4[Product_Name],Table4[Product_Key],"not found")</f>
        <v>7</v>
      </c>
      <c r="P1979" s="32">
        <f>_xlfn.XLOOKUP(Snitch_Fashion_Sales_cleaned!$I1979,Table3[Order_Date],Table3[Date_Key])</f>
        <v>5</v>
      </c>
    </row>
    <row r="1980" spans="1:16" x14ac:dyDescent="0.3">
      <c r="A1980" s="27">
        <v>2978</v>
      </c>
      <c r="B1980" s="25" t="s">
        <v>2002</v>
      </c>
      <c r="C1980" s="25" t="s">
        <v>36</v>
      </c>
      <c r="D1980" s="26" t="s">
        <v>87</v>
      </c>
      <c r="E1980" s="27">
        <v>3</v>
      </c>
      <c r="F1980" s="28">
        <v>2889.5349999999999</v>
      </c>
      <c r="G1980" s="29">
        <v>0.52</v>
      </c>
      <c r="H1980" s="28">
        <f t="shared" si="62"/>
        <v>8668.6049999999996</v>
      </c>
      <c r="I1980" s="30">
        <v>45855</v>
      </c>
      <c r="J1980" s="26" t="s">
        <v>52</v>
      </c>
      <c r="K1980" s="26" t="s">
        <v>16</v>
      </c>
      <c r="L1980" s="31">
        <f t="shared" si="63"/>
        <v>4160.9303999999993</v>
      </c>
      <c r="M1980" s="31">
        <v>771.47</v>
      </c>
      <c r="N1980" s="22">
        <f>_xlfn.XLOOKUP(Snitch_Fashion_Sales_cleaned!$J1980,Table2[City],Table2[City_Key],"not found")</f>
        <v>5</v>
      </c>
      <c r="O1980" s="21">
        <f>_xlfn.XLOOKUP(Snitch_Fashion_Sales_cleaned!$D1980,Table4[Product_Name],Table4[Product_Key],"not found")</f>
        <v>20</v>
      </c>
      <c r="P1980" s="25">
        <f>_xlfn.XLOOKUP(Snitch_Fashion_Sales_cleaned!$I1980,Table3[Order_Date],Table3[Date_Key])</f>
        <v>97</v>
      </c>
    </row>
    <row r="1981" spans="1:16" x14ac:dyDescent="0.3">
      <c r="A1981" s="34">
        <v>2979</v>
      </c>
      <c r="B1981" s="32" t="s">
        <v>2003</v>
      </c>
      <c r="C1981" s="32" t="s">
        <v>31</v>
      </c>
      <c r="D1981" s="33" t="s">
        <v>68</v>
      </c>
      <c r="E1981" s="34">
        <v>4</v>
      </c>
      <c r="F1981" s="35">
        <v>2765.79</v>
      </c>
      <c r="G1981" s="36">
        <v>0.23</v>
      </c>
      <c r="H1981" s="35">
        <f t="shared" si="62"/>
        <v>11063.16</v>
      </c>
      <c r="I1981" s="37">
        <v>45647</v>
      </c>
      <c r="J1981" s="33" t="s">
        <v>22</v>
      </c>
      <c r="K1981" s="33" t="s">
        <v>23</v>
      </c>
      <c r="L1981" s="38">
        <f t="shared" si="63"/>
        <v>8518.6332000000002</v>
      </c>
      <c r="M1981" s="38">
        <v>862.17</v>
      </c>
      <c r="N1981" s="24">
        <f>_xlfn.XLOOKUP(Snitch_Fashion_Sales_cleaned!$J1981,Table2[City],Table2[City_Key],"not found")</f>
        <v>3</v>
      </c>
      <c r="O1981" s="23">
        <f>_xlfn.XLOOKUP(Snitch_Fashion_Sales_cleaned!$D1981,Table4[Product_Name],Table4[Product_Key],"not found")</f>
        <v>15</v>
      </c>
      <c r="P1981" s="32">
        <f>_xlfn.XLOOKUP(Snitch_Fashion_Sales_cleaned!$I1981,Table3[Order_Date],Table3[Date_Key])</f>
        <v>5</v>
      </c>
    </row>
    <row r="1982" spans="1:16" x14ac:dyDescent="0.3">
      <c r="A1982" s="27">
        <v>2980</v>
      </c>
      <c r="B1982" s="25" t="s">
        <v>2004</v>
      </c>
      <c r="C1982" s="25" t="s">
        <v>31</v>
      </c>
      <c r="D1982" s="26" t="s">
        <v>68</v>
      </c>
      <c r="E1982" s="27">
        <v>4</v>
      </c>
      <c r="F1982" s="28">
        <v>2765.79</v>
      </c>
      <c r="G1982" s="29">
        <v>0.36</v>
      </c>
      <c r="H1982" s="28">
        <f t="shared" si="62"/>
        <v>11063.16</v>
      </c>
      <c r="I1982" s="30">
        <v>45628</v>
      </c>
      <c r="J1982" s="26" t="s">
        <v>15</v>
      </c>
      <c r="K1982" s="26" t="s">
        <v>16</v>
      </c>
      <c r="L1982" s="31">
        <f t="shared" si="63"/>
        <v>7080.4224000000004</v>
      </c>
      <c r="M1982" s="31">
        <v>147.66999999999999</v>
      </c>
      <c r="N1982" s="22">
        <f>_xlfn.XLOOKUP(Snitch_Fashion_Sales_cleaned!$J1982,Table2[City],Table2[City_Key],"not found")</f>
        <v>1</v>
      </c>
      <c r="O1982" s="21">
        <f>_xlfn.XLOOKUP(Snitch_Fashion_Sales_cleaned!$D1982,Table4[Product_Name],Table4[Product_Key],"not found")</f>
        <v>15</v>
      </c>
      <c r="P1982" s="25">
        <f>_xlfn.XLOOKUP(Snitch_Fashion_Sales_cleaned!$I1982,Table3[Order_Date],Table3[Date_Key])</f>
        <v>147</v>
      </c>
    </row>
    <row r="1983" spans="1:16" x14ac:dyDescent="0.3">
      <c r="A1983" s="34">
        <v>1040</v>
      </c>
      <c r="B1983" s="32" t="s">
        <v>2005</v>
      </c>
      <c r="C1983" s="32" t="s">
        <v>31</v>
      </c>
      <c r="D1983" s="33" t="s">
        <v>32</v>
      </c>
      <c r="E1983" s="34">
        <v>4</v>
      </c>
      <c r="F1983" s="35">
        <v>2001.5500000000002</v>
      </c>
      <c r="G1983" s="36">
        <v>0.51</v>
      </c>
      <c r="H1983" s="35">
        <f t="shared" si="62"/>
        <v>8006.2000000000007</v>
      </c>
      <c r="I1983" s="37">
        <v>45782</v>
      </c>
      <c r="J1983" s="33" t="s">
        <v>15</v>
      </c>
      <c r="K1983" s="33" t="s">
        <v>23</v>
      </c>
      <c r="L1983" s="38">
        <f t="shared" si="63"/>
        <v>3923.0380000000005</v>
      </c>
      <c r="M1983" s="38">
        <v>2959.73</v>
      </c>
      <c r="N1983" s="24">
        <f>_xlfn.XLOOKUP(Snitch_Fashion_Sales_cleaned!$J1983,Table2[City],Table2[City_Key],"not found")</f>
        <v>1</v>
      </c>
      <c r="O1983" s="23">
        <f>_xlfn.XLOOKUP(Snitch_Fashion_Sales_cleaned!$D1983,Table4[Product_Name],Table4[Product_Key],"not found")</f>
        <v>5</v>
      </c>
      <c r="P1983" s="32">
        <f>_xlfn.XLOOKUP(Snitch_Fashion_Sales_cleaned!$I1983,Table3[Order_Date],Table3[Date_Key])</f>
        <v>80</v>
      </c>
    </row>
    <row r="1984" spans="1:16" x14ac:dyDescent="0.3">
      <c r="A1984" s="27">
        <v>2982</v>
      </c>
      <c r="B1984" s="25" t="s">
        <v>2006</v>
      </c>
      <c r="C1984" s="25" t="s">
        <v>31</v>
      </c>
      <c r="D1984" s="26" t="s">
        <v>41</v>
      </c>
      <c r="E1984" s="27">
        <v>3</v>
      </c>
      <c r="F1984" s="28">
        <v>2497.52</v>
      </c>
      <c r="G1984" s="29">
        <v>0.51</v>
      </c>
      <c r="H1984" s="28">
        <f t="shared" si="62"/>
        <v>7492.5599999999995</v>
      </c>
      <c r="I1984" s="30">
        <v>45253</v>
      </c>
      <c r="J1984" s="26" t="s">
        <v>18</v>
      </c>
      <c r="K1984" s="26" t="s">
        <v>23</v>
      </c>
      <c r="L1984" s="31">
        <f t="shared" si="63"/>
        <v>3671.3543999999997</v>
      </c>
      <c r="M1984" s="31">
        <v>-523.42999999999995</v>
      </c>
      <c r="N1984" s="22">
        <f>_xlfn.XLOOKUP(Snitch_Fashion_Sales_cleaned!$J1984,Table2[City],Table2[City_Key],"not found")</f>
        <v>2</v>
      </c>
      <c r="O1984" s="21">
        <f>_xlfn.XLOOKUP(Snitch_Fashion_Sales_cleaned!$D1984,Table4[Product_Name],Table4[Product_Key],"not found")</f>
        <v>9</v>
      </c>
      <c r="P1984" s="25">
        <f>_xlfn.XLOOKUP(Snitch_Fashion_Sales_cleaned!$I1984,Table3[Order_Date],Table3[Date_Key])</f>
        <v>234</v>
      </c>
    </row>
    <row r="1985" spans="1:16" x14ac:dyDescent="0.3">
      <c r="A1985" s="34">
        <v>2983</v>
      </c>
      <c r="B1985" s="32" t="s">
        <v>2007</v>
      </c>
      <c r="C1985" s="32" t="s">
        <v>25</v>
      </c>
      <c r="D1985" s="33" t="s">
        <v>50</v>
      </c>
      <c r="E1985" s="34">
        <v>4</v>
      </c>
      <c r="F1985" s="35">
        <v>2666.2200000000003</v>
      </c>
      <c r="G1985" s="36">
        <v>0.51</v>
      </c>
      <c r="H1985" s="35">
        <f t="shared" si="62"/>
        <v>10664.880000000001</v>
      </c>
      <c r="I1985" s="37">
        <v>45647</v>
      </c>
      <c r="J1985" s="33" t="s">
        <v>43</v>
      </c>
      <c r="K1985" s="33" t="s">
        <v>23</v>
      </c>
      <c r="L1985" s="38">
        <f t="shared" si="63"/>
        <v>5225.7912000000006</v>
      </c>
      <c r="M1985" s="38">
        <v>1347.94</v>
      </c>
      <c r="N1985" s="24">
        <f>_xlfn.XLOOKUP(Snitch_Fashion_Sales_cleaned!$J1985,Table2[City],Table2[City_Key],"not found")</f>
        <v>6</v>
      </c>
      <c r="O1985" s="23">
        <f>_xlfn.XLOOKUP(Snitch_Fashion_Sales_cleaned!$D1985,Table4[Product_Name],Table4[Product_Key],"not found")</f>
        <v>11</v>
      </c>
      <c r="P1985" s="32">
        <f>_xlfn.XLOOKUP(Snitch_Fashion_Sales_cleaned!$I1985,Table3[Order_Date],Table3[Date_Key])</f>
        <v>5</v>
      </c>
    </row>
    <row r="1986" spans="1:16" x14ac:dyDescent="0.3">
      <c r="A1986" s="27">
        <v>2984</v>
      </c>
      <c r="B1986" s="25" t="s">
        <v>2008</v>
      </c>
      <c r="C1986" s="25" t="s">
        <v>25</v>
      </c>
      <c r="D1986" s="26" t="s">
        <v>26</v>
      </c>
      <c r="E1986" s="27">
        <v>4</v>
      </c>
      <c r="F1986" s="28">
        <v>2062.9</v>
      </c>
      <c r="G1986" s="29">
        <v>0.51</v>
      </c>
      <c r="H1986" s="28">
        <f t="shared" si="62"/>
        <v>8251.6</v>
      </c>
      <c r="I1986" s="30">
        <v>45506</v>
      </c>
      <c r="J1986" s="26" t="s">
        <v>22</v>
      </c>
      <c r="K1986" s="26" t="s">
        <v>16</v>
      </c>
      <c r="L1986" s="31">
        <f t="shared" si="63"/>
        <v>4043.2840000000001</v>
      </c>
      <c r="M1986" s="31">
        <v>2471.06</v>
      </c>
      <c r="N1986" s="22">
        <f>_xlfn.XLOOKUP(Snitch_Fashion_Sales_cleaned!$J1986,Table2[City],Table2[City_Key],"not found")</f>
        <v>3</v>
      </c>
      <c r="O1986" s="21">
        <f>_xlfn.XLOOKUP(Snitch_Fashion_Sales_cleaned!$D1986,Table4[Product_Name],Table4[Product_Key],"not found")</f>
        <v>3</v>
      </c>
      <c r="P1986" s="25">
        <f>_xlfn.XLOOKUP(Snitch_Fashion_Sales_cleaned!$I1986,Table3[Order_Date],Table3[Date_Key])</f>
        <v>178</v>
      </c>
    </row>
    <row r="1987" spans="1:16" x14ac:dyDescent="0.3">
      <c r="A1987" s="34">
        <v>2985</v>
      </c>
      <c r="B1987" s="32" t="s">
        <v>2009</v>
      </c>
      <c r="C1987" s="32" t="s">
        <v>13</v>
      </c>
      <c r="D1987" s="33" t="s">
        <v>46</v>
      </c>
      <c r="E1987" s="34">
        <v>4</v>
      </c>
      <c r="F1987" s="35">
        <v>2891.64</v>
      </c>
      <c r="G1987" s="36">
        <v>0.51</v>
      </c>
      <c r="H1987" s="35">
        <f t="shared" si="62"/>
        <v>11566.56</v>
      </c>
      <c r="I1987" s="37">
        <v>45672</v>
      </c>
      <c r="J1987" s="33" t="s">
        <v>52</v>
      </c>
      <c r="K1987" s="33" t="s">
        <v>23</v>
      </c>
      <c r="L1987" s="38">
        <f t="shared" si="63"/>
        <v>5667.6143999999995</v>
      </c>
      <c r="M1987" s="38">
        <v>774.28</v>
      </c>
      <c r="N1987" s="24">
        <f>_xlfn.XLOOKUP(Snitch_Fashion_Sales_cleaned!$J1987,Table2[City],Table2[City_Key],"not found")</f>
        <v>5</v>
      </c>
      <c r="O1987" s="23">
        <f>_xlfn.XLOOKUP(Snitch_Fashion_Sales_cleaned!$D1987,Table4[Product_Name],Table4[Product_Key],"not found")</f>
        <v>10</v>
      </c>
      <c r="P1987" s="32">
        <f>_xlfn.XLOOKUP(Snitch_Fashion_Sales_cleaned!$I1987,Table3[Order_Date],Table3[Date_Key])</f>
        <v>48</v>
      </c>
    </row>
    <row r="1988" spans="1:16" x14ac:dyDescent="0.3">
      <c r="A1988" s="27">
        <v>2986</v>
      </c>
      <c r="B1988" s="25" t="s">
        <v>2010</v>
      </c>
      <c r="C1988" s="25" t="s">
        <v>36</v>
      </c>
      <c r="D1988" s="26" t="s">
        <v>59</v>
      </c>
      <c r="E1988" s="27">
        <v>3</v>
      </c>
      <c r="F1988" s="28">
        <v>2765.26</v>
      </c>
      <c r="G1988" s="29">
        <v>0.51</v>
      </c>
      <c r="H1988" s="28">
        <f t="shared" si="62"/>
        <v>8295.7800000000007</v>
      </c>
      <c r="I1988" s="30">
        <v>45588</v>
      </c>
      <c r="J1988" s="26" t="s">
        <v>22</v>
      </c>
      <c r="K1988" s="26" t="s">
        <v>23</v>
      </c>
      <c r="L1988" s="31">
        <f t="shared" si="63"/>
        <v>4064.9322000000002</v>
      </c>
      <c r="M1988" s="31">
        <v>-283.42</v>
      </c>
      <c r="N1988" s="22">
        <f>_xlfn.XLOOKUP(Snitch_Fashion_Sales_cleaned!$J1988,Table2[City],Table2[City_Key],"not found")</f>
        <v>3</v>
      </c>
      <c r="O1988" s="21">
        <f>_xlfn.XLOOKUP(Snitch_Fashion_Sales_cleaned!$D1988,Table4[Product_Name],Table4[Product_Key],"not found")</f>
        <v>13</v>
      </c>
      <c r="P1988" s="25">
        <f>_xlfn.XLOOKUP(Snitch_Fashion_Sales_cleaned!$I1988,Table3[Order_Date],Table3[Date_Key])</f>
        <v>85</v>
      </c>
    </row>
    <row r="1989" spans="1:16" x14ac:dyDescent="0.3">
      <c r="A1989" s="34">
        <v>2987</v>
      </c>
      <c r="B1989" s="32" t="s">
        <v>2011</v>
      </c>
      <c r="C1989" s="32" t="s">
        <v>28</v>
      </c>
      <c r="D1989" s="33" t="s">
        <v>29</v>
      </c>
      <c r="E1989" s="34">
        <v>6</v>
      </c>
      <c r="F1989" s="35">
        <v>2584.4299999999998</v>
      </c>
      <c r="G1989" s="36">
        <v>0.51</v>
      </c>
      <c r="H1989" s="35">
        <f t="shared" si="62"/>
        <v>15506.579999999998</v>
      </c>
      <c r="I1989" s="37">
        <v>45647</v>
      </c>
      <c r="J1989" s="33" t="s">
        <v>15</v>
      </c>
      <c r="K1989" s="33" t="s">
        <v>16</v>
      </c>
      <c r="L1989" s="38">
        <f t="shared" si="63"/>
        <v>7598.2241999999987</v>
      </c>
      <c r="M1989" s="38">
        <v>992.21</v>
      </c>
      <c r="N1989" s="24">
        <f>_xlfn.XLOOKUP(Snitch_Fashion_Sales_cleaned!$J1989,Table2[City],Table2[City_Key],"not found")</f>
        <v>1</v>
      </c>
      <c r="O1989" s="23">
        <f>_xlfn.XLOOKUP(Snitch_Fashion_Sales_cleaned!$D1989,Table4[Product_Name],Table4[Product_Key],"not found")</f>
        <v>4</v>
      </c>
      <c r="P1989" s="32">
        <f>_xlfn.XLOOKUP(Snitch_Fashion_Sales_cleaned!$I1989,Table3[Order_Date],Table3[Date_Key])</f>
        <v>5</v>
      </c>
    </row>
    <row r="1990" spans="1:16" x14ac:dyDescent="0.3">
      <c r="A1990" s="27">
        <v>2988</v>
      </c>
      <c r="B1990" s="25" t="s">
        <v>2012</v>
      </c>
      <c r="C1990" s="25" t="s">
        <v>31</v>
      </c>
      <c r="D1990" s="26" t="s">
        <v>78</v>
      </c>
      <c r="E1990" s="27">
        <v>4</v>
      </c>
      <c r="F1990" s="28">
        <v>2599.75</v>
      </c>
      <c r="G1990" s="29">
        <v>0.51</v>
      </c>
      <c r="H1990" s="28">
        <f t="shared" ref="H1990:H2053" si="64">E1990*F1990</f>
        <v>10399</v>
      </c>
      <c r="I1990" s="30">
        <v>45647</v>
      </c>
      <c r="J1990" s="26" t="s">
        <v>43</v>
      </c>
      <c r="K1990" s="26" t="s">
        <v>23</v>
      </c>
      <c r="L1990" s="31">
        <f t="shared" ref="L1990:L2053" si="65">H1990*(1-G1990)</f>
        <v>5095.51</v>
      </c>
      <c r="M1990" s="31">
        <v>2784.91</v>
      </c>
      <c r="N1990" s="22">
        <f>_xlfn.XLOOKUP(Snitch_Fashion_Sales_cleaned!$J1990,Table2[City],Table2[City_Key],"not found")</f>
        <v>6</v>
      </c>
      <c r="O1990" s="21">
        <f>_xlfn.XLOOKUP(Snitch_Fashion_Sales_cleaned!$D1990,Table4[Product_Name],Table4[Product_Key],"not found")</f>
        <v>17</v>
      </c>
      <c r="P1990" s="25">
        <f>_xlfn.XLOOKUP(Snitch_Fashion_Sales_cleaned!$I1990,Table3[Order_Date],Table3[Date_Key])</f>
        <v>5</v>
      </c>
    </row>
    <row r="1991" spans="1:16" x14ac:dyDescent="0.3">
      <c r="A1991" s="34">
        <v>2989</v>
      </c>
      <c r="B1991" s="32" t="s">
        <v>2013</v>
      </c>
      <c r="C1991" s="32" t="s">
        <v>25</v>
      </c>
      <c r="D1991" s="33" t="s">
        <v>82</v>
      </c>
      <c r="E1991" s="34">
        <v>3</v>
      </c>
      <c r="F1991" s="35">
        <v>4084.97</v>
      </c>
      <c r="G1991" s="36">
        <v>0.83</v>
      </c>
      <c r="H1991" s="35">
        <f t="shared" si="64"/>
        <v>12254.91</v>
      </c>
      <c r="I1991" s="37">
        <v>45320</v>
      </c>
      <c r="J1991" s="33" t="s">
        <v>22</v>
      </c>
      <c r="K1991" s="33" t="s">
        <v>23</v>
      </c>
      <c r="L1991" s="38">
        <f t="shared" si="65"/>
        <v>2083.3347000000003</v>
      </c>
      <c r="M1991" s="38">
        <v>520.83367500000008</v>
      </c>
      <c r="N1991" s="24">
        <f>_xlfn.XLOOKUP(Snitch_Fashion_Sales_cleaned!$J1991,Table2[City],Table2[City_Key],"not found")</f>
        <v>3</v>
      </c>
      <c r="O1991" s="23">
        <f>_xlfn.XLOOKUP(Snitch_Fashion_Sales_cleaned!$D1991,Table4[Product_Name],Table4[Product_Key],"not found")</f>
        <v>18</v>
      </c>
      <c r="P1991" s="32">
        <f>_xlfn.XLOOKUP(Snitch_Fashion_Sales_cleaned!$I1991,Table3[Order_Date],Table3[Date_Key])</f>
        <v>465</v>
      </c>
    </row>
    <row r="1992" spans="1:16" x14ac:dyDescent="0.3">
      <c r="A1992" s="27">
        <v>2990</v>
      </c>
      <c r="B1992" s="25" t="s">
        <v>2014</v>
      </c>
      <c r="C1992" s="25" t="s">
        <v>13</v>
      </c>
      <c r="D1992" s="26" t="s">
        <v>14</v>
      </c>
      <c r="E1992" s="27">
        <v>4</v>
      </c>
      <c r="F1992" s="28">
        <v>3205.73</v>
      </c>
      <c r="G1992" s="29">
        <v>0.51</v>
      </c>
      <c r="H1992" s="28">
        <f t="shared" si="64"/>
        <v>12822.92</v>
      </c>
      <c r="I1992" s="30">
        <v>45556</v>
      </c>
      <c r="J1992" s="26" t="s">
        <v>22</v>
      </c>
      <c r="K1992" s="26" t="s">
        <v>23</v>
      </c>
      <c r="L1992" s="31">
        <f t="shared" si="65"/>
        <v>6283.2308000000003</v>
      </c>
      <c r="M1992" s="31">
        <v>1600.5</v>
      </c>
      <c r="N1992" s="22">
        <f>_xlfn.XLOOKUP(Snitch_Fashion_Sales_cleaned!$J1992,Table2[City],Table2[City_Key],"not found")</f>
        <v>3</v>
      </c>
      <c r="O1992" s="21">
        <f>_xlfn.XLOOKUP(Snitch_Fashion_Sales_cleaned!$D1992,Table4[Product_Name],Table4[Product_Key],"not found")</f>
        <v>1</v>
      </c>
      <c r="P1992" s="25">
        <f>_xlfn.XLOOKUP(Snitch_Fashion_Sales_cleaned!$I1992,Table3[Order_Date],Table3[Date_Key])</f>
        <v>11</v>
      </c>
    </row>
    <row r="1993" spans="1:16" x14ac:dyDescent="0.3">
      <c r="A1993" s="34">
        <v>2991</v>
      </c>
      <c r="B1993" s="32" t="s">
        <v>2015</v>
      </c>
      <c r="C1993" s="32" t="s">
        <v>36</v>
      </c>
      <c r="D1993" s="33" t="s">
        <v>87</v>
      </c>
      <c r="E1993" s="34">
        <v>4</v>
      </c>
      <c r="F1993" s="35">
        <v>2053.65</v>
      </c>
      <c r="G1993" s="36">
        <v>0.51</v>
      </c>
      <c r="H1993" s="35">
        <f t="shared" si="64"/>
        <v>8214.6</v>
      </c>
      <c r="I1993" s="37">
        <v>45582</v>
      </c>
      <c r="J1993" s="33" t="s">
        <v>52</v>
      </c>
      <c r="K1993" s="33" t="s">
        <v>23</v>
      </c>
      <c r="L1993" s="38">
        <f t="shared" si="65"/>
        <v>4025.154</v>
      </c>
      <c r="M1993" s="38">
        <v>-86.89</v>
      </c>
      <c r="N1993" s="24">
        <f>_xlfn.XLOOKUP(Snitch_Fashion_Sales_cleaned!$J1993,Table2[City],Table2[City_Key],"not found")</f>
        <v>5</v>
      </c>
      <c r="O1993" s="23">
        <f>_xlfn.XLOOKUP(Snitch_Fashion_Sales_cleaned!$D1993,Table4[Product_Name],Table4[Product_Key],"not found")</f>
        <v>20</v>
      </c>
      <c r="P1993" s="32">
        <f>_xlfn.XLOOKUP(Snitch_Fashion_Sales_cleaned!$I1993,Table3[Order_Date],Table3[Date_Key])</f>
        <v>96</v>
      </c>
    </row>
    <row r="1994" spans="1:16" x14ac:dyDescent="0.3">
      <c r="A1994" s="27">
        <v>2992</v>
      </c>
      <c r="B1994" s="25" t="s">
        <v>2016</v>
      </c>
      <c r="C1994" s="25" t="s">
        <v>13</v>
      </c>
      <c r="D1994" s="26" t="s">
        <v>46</v>
      </c>
      <c r="E1994" s="27">
        <v>4</v>
      </c>
      <c r="F1994" s="28">
        <v>4747.16</v>
      </c>
      <c r="G1994" s="29">
        <v>0.9</v>
      </c>
      <c r="H1994" s="28">
        <f t="shared" si="64"/>
        <v>18988.64</v>
      </c>
      <c r="I1994" s="30">
        <v>45317</v>
      </c>
      <c r="J1994" s="26" t="s">
        <v>2540</v>
      </c>
      <c r="K1994" s="26" t="s">
        <v>23</v>
      </c>
      <c r="L1994" s="31">
        <f t="shared" si="65"/>
        <v>1898.8639999999996</v>
      </c>
      <c r="M1994" s="31">
        <v>474.71599999999989</v>
      </c>
      <c r="N1994" s="22">
        <f>_xlfn.XLOOKUP(Snitch_Fashion_Sales_cleaned!$J1994,Table2[City],Table2[City_Key],"not found")</f>
        <v>4</v>
      </c>
      <c r="O1994" s="21">
        <f>_xlfn.XLOOKUP(Snitch_Fashion_Sales_cleaned!$D1994,Table4[Product_Name],Table4[Product_Key],"not found")</f>
        <v>10</v>
      </c>
      <c r="P1994" s="25">
        <f>_xlfn.XLOOKUP(Snitch_Fashion_Sales_cleaned!$I1994,Table3[Order_Date],Table3[Date_Key])</f>
        <v>524</v>
      </c>
    </row>
    <row r="1995" spans="1:16" x14ac:dyDescent="0.3">
      <c r="A1995" s="34">
        <v>2993</v>
      </c>
      <c r="B1995" s="32" t="s">
        <v>2017</v>
      </c>
      <c r="C1995" s="32" t="s">
        <v>28</v>
      </c>
      <c r="D1995" s="33" t="s">
        <v>137</v>
      </c>
      <c r="E1995" s="34">
        <v>3.5</v>
      </c>
      <c r="F1995" s="35">
        <v>2338.04</v>
      </c>
      <c r="G1995" s="36">
        <v>0.51</v>
      </c>
      <c r="H1995" s="35">
        <f t="shared" si="64"/>
        <v>8183.1399999999994</v>
      </c>
      <c r="I1995" s="37">
        <v>45711</v>
      </c>
      <c r="J1995" s="33" t="s">
        <v>22</v>
      </c>
      <c r="K1995" s="33" t="s">
        <v>16</v>
      </c>
      <c r="L1995" s="38">
        <f t="shared" si="65"/>
        <v>4009.7385999999997</v>
      </c>
      <c r="M1995" s="38">
        <v>-568.91</v>
      </c>
      <c r="N1995" s="24">
        <f>_xlfn.XLOOKUP(Snitch_Fashion_Sales_cleaned!$J1995,Table2[City],Table2[City_Key],"not found")</f>
        <v>3</v>
      </c>
      <c r="O1995" s="23">
        <f>_xlfn.XLOOKUP(Snitch_Fashion_Sales_cleaned!$D1995,Table4[Product_Name],Table4[Product_Key],"not found")</f>
        <v>24</v>
      </c>
      <c r="P1995" s="32">
        <f>_xlfn.XLOOKUP(Snitch_Fashion_Sales_cleaned!$I1995,Table3[Order_Date],Table3[Date_Key])</f>
        <v>525</v>
      </c>
    </row>
    <row r="1996" spans="1:16" x14ac:dyDescent="0.3">
      <c r="A1996" s="27">
        <v>2994</v>
      </c>
      <c r="B1996" s="25" t="s">
        <v>2018</v>
      </c>
      <c r="C1996" s="25" t="s">
        <v>31</v>
      </c>
      <c r="D1996" s="26" t="s">
        <v>41</v>
      </c>
      <c r="E1996" s="27">
        <v>5</v>
      </c>
      <c r="F1996" s="28">
        <v>919.26</v>
      </c>
      <c r="G1996" s="29">
        <v>0.51</v>
      </c>
      <c r="H1996" s="28">
        <f t="shared" si="64"/>
        <v>4596.3</v>
      </c>
      <c r="I1996" s="30">
        <v>45647</v>
      </c>
      <c r="J1996" s="26" t="s">
        <v>52</v>
      </c>
      <c r="K1996" s="26" t="s">
        <v>23</v>
      </c>
      <c r="L1996" s="31">
        <f t="shared" si="65"/>
        <v>2252.1869999999999</v>
      </c>
      <c r="M1996" s="31">
        <v>563.04674999999997</v>
      </c>
      <c r="N1996" s="22">
        <f>_xlfn.XLOOKUP(Snitch_Fashion_Sales_cleaned!$J1996,Table2[City],Table2[City_Key],"not found")</f>
        <v>5</v>
      </c>
      <c r="O1996" s="21">
        <f>_xlfn.XLOOKUP(Snitch_Fashion_Sales_cleaned!$D1996,Table4[Product_Name],Table4[Product_Key],"not found")</f>
        <v>9</v>
      </c>
      <c r="P1996" s="25">
        <f>_xlfn.XLOOKUP(Snitch_Fashion_Sales_cleaned!$I1996,Table3[Order_Date],Table3[Date_Key])</f>
        <v>5</v>
      </c>
    </row>
    <row r="1997" spans="1:16" x14ac:dyDescent="0.3">
      <c r="A1997" s="34">
        <v>2995</v>
      </c>
      <c r="B1997" s="32" t="s">
        <v>2019</v>
      </c>
      <c r="C1997" s="32" t="s">
        <v>25</v>
      </c>
      <c r="D1997" s="33" t="s">
        <v>50</v>
      </c>
      <c r="E1997" s="34">
        <v>4</v>
      </c>
      <c r="F1997" s="35">
        <v>2617.66</v>
      </c>
      <c r="G1997" s="36">
        <v>0.55000000000000004</v>
      </c>
      <c r="H1997" s="35">
        <f t="shared" si="64"/>
        <v>10470.64</v>
      </c>
      <c r="I1997" s="37">
        <v>45694</v>
      </c>
      <c r="J1997" s="33" t="s">
        <v>22</v>
      </c>
      <c r="K1997" s="33" t="s">
        <v>23</v>
      </c>
      <c r="L1997" s="38">
        <f t="shared" si="65"/>
        <v>4711.7879999999996</v>
      </c>
      <c r="M1997" s="38">
        <v>1406.13</v>
      </c>
      <c r="N1997" s="24">
        <f>_xlfn.XLOOKUP(Snitch_Fashion_Sales_cleaned!$J1997,Table2[City],Table2[City_Key],"not found")</f>
        <v>3</v>
      </c>
      <c r="O1997" s="23">
        <f>_xlfn.XLOOKUP(Snitch_Fashion_Sales_cleaned!$D1997,Table4[Product_Name],Table4[Product_Key],"not found")</f>
        <v>11</v>
      </c>
      <c r="P1997" s="32">
        <f>_xlfn.XLOOKUP(Snitch_Fashion_Sales_cleaned!$I1997,Table3[Order_Date],Table3[Date_Key])</f>
        <v>175</v>
      </c>
    </row>
    <row r="1998" spans="1:16" x14ac:dyDescent="0.3">
      <c r="A1998" s="27">
        <v>2996</v>
      </c>
      <c r="B1998" s="25" t="s">
        <v>2020</v>
      </c>
      <c r="C1998" s="25" t="s">
        <v>36</v>
      </c>
      <c r="D1998" s="26" t="s">
        <v>59</v>
      </c>
      <c r="E1998" s="27">
        <v>2</v>
      </c>
      <c r="F1998" s="28">
        <v>3750.45</v>
      </c>
      <c r="G1998" s="29">
        <v>0.51</v>
      </c>
      <c r="H1998" s="28">
        <f t="shared" si="64"/>
        <v>7500.9</v>
      </c>
      <c r="I1998" s="30">
        <v>45724</v>
      </c>
      <c r="J1998" s="26" t="s">
        <v>18</v>
      </c>
      <c r="K1998" s="26" t="s">
        <v>23</v>
      </c>
      <c r="L1998" s="31">
        <f t="shared" si="65"/>
        <v>3675.4409999999998</v>
      </c>
      <c r="M1998" s="31">
        <v>1108.3800000000001</v>
      </c>
      <c r="N1998" s="22">
        <f>_xlfn.XLOOKUP(Snitch_Fashion_Sales_cleaned!$J1998,Table2[City],Table2[City_Key],"not found")</f>
        <v>2</v>
      </c>
      <c r="O1998" s="21">
        <f>_xlfn.XLOOKUP(Snitch_Fashion_Sales_cleaned!$D1998,Table4[Product_Name],Table4[Product_Key],"not found")</f>
        <v>13</v>
      </c>
      <c r="P1998" s="25">
        <f>_xlfn.XLOOKUP(Snitch_Fashion_Sales_cleaned!$I1998,Table3[Order_Date],Table3[Date_Key])</f>
        <v>456</v>
      </c>
    </row>
    <row r="1999" spans="1:16" x14ac:dyDescent="0.3">
      <c r="A1999" s="34">
        <v>1027</v>
      </c>
      <c r="B1999" s="32" t="s">
        <v>733</v>
      </c>
      <c r="C1999" s="32" t="s">
        <v>20</v>
      </c>
      <c r="D1999" s="33" t="s">
        <v>76</v>
      </c>
      <c r="E1999" s="34">
        <v>3</v>
      </c>
      <c r="F1999" s="35">
        <v>2229.4899999999998</v>
      </c>
      <c r="G1999" s="36">
        <v>0.51</v>
      </c>
      <c r="H1999" s="35">
        <f t="shared" si="64"/>
        <v>6688.4699999999993</v>
      </c>
      <c r="I1999" s="37">
        <v>45647</v>
      </c>
      <c r="J1999" s="33" t="s">
        <v>52</v>
      </c>
      <c r="K1999" s="33" t="s">
        <v>23</v>
      </c>
      <c r="L1999" s="38">
        <f t="shared" si="65"/>
        <v>3277.3502999999996</v>
      </c>
      <c r="M1999" s="38">
        <v>1921.25</v>
      </c>
      <c r="N1999" s="24">
        <f>_xlfn.XLOOKUP(Snitch_Fashion_Sales_cleaned!$J1999,Table2[City],Table2[City_Key],"not found")</f>
        <v>5</v>
      </c>
      <c r="O1999" s="23">
        <f>_xlfn.XLOOKUP(Snitch_Fashion_Sales_cleaned!$D1999,Table4[Product_Name],Table4[Product_Key],"not found")</f>
        <v>16</v>
      </c>
      <c r="P1999" s="32">
        <f>_xlfn.XLOOKUP(Snitch_Fashion_Sales_cleaned!$I1999,Table3[Order_Date],Table3[Date_Key])</f>
        <v>5</v>
      </c>
    </row>
    <row r="2000" spans="1:16" x14ac:dyDescent="0.3">
      <c r="A2000" s="27">
        <v>2998</v>
      </c>
      <c r="B2000" s="25" t="s">
        <v>2021</v>
      </c>
      <c r="C2000" s="25" t="s">
        <v>20</v>
      </c>
      <c r="D2000" s="26" t="s">
        <v>21</v>
      </c>
      <c r="E2000" s="27">
        <v>4</v>
      </c>
      <c r="F2000" s="28">
        <v>3453.58</v>
      </c>
      <c r="G2000" s="29">
        <v>0.51</v>
      </c>
      <c r="H2000" s="28">
        <f t="shared" si="64"/>
        <v>13814.32</v>
      </c>
      <c r="I2000" s="30">
        <v>45594</v>
      </c>
      <c r="J2000" s="26" t="s">
        <v>22</v>
      </c>
      <c r="K2000" s="26" t="s">
        <v>23</v>
      </c>
      <c r="L2000" s="31">
        <f t="shared" si="65"/>
        <v>6769.0167999999994</v>
      </c>
      <c r="M2000" s="31">
        <v>2018.4</v>
      </c>
      <c r="N2000" s="22">
        <f>_xlfn.XLOOKUP(Snitch_Fashion_Sales_cleaned!$J2000,Table2[City],Table2[City_Key],"not found")</f>
        <v>3</v>
      </c>
      <c r="O2000" s="21">
        <f>_xlfn.XLOOKUP(Snitch_Fashion_Sales_cleaned!$D2000,Table4[Product_Name],Table4[Product_Key],"not found")</f>
        <v>2</v>
      </c>
      <c r="P2000" s="25">
        <f>_xlfn.XLOOKUP(Snitch_Fashion_Sales_cleaned!$I2000,Table3[Order_Date],Table3[Date_Key])</f>
        <v>526</v>
      </c>
    </row>
    <row r="2001" spans="1:16" x14ac:dyDescent="0.3">
      <c r="A2001" s="34">
        <v>2999</v>
      </c>
      <c r="B2001" s="32" t="s">
        <v>2022</v>
      </c>
      <c r="C2001" s="32" t="s">
        <v>25</v>
      </c>
      <c r="D2001" s="33" t="s">
        <v>26</v>
      </c>
      <c r="E2001" s="34">
        <v>4</v>
      </c>
      <c r="F2001" s="35">
        <v>2933.45</v>
      </c>
      <c r="G2001" s="36">
        <v>0.51</v>
      </c>
      <c r="H2001" s="35">
        <f t="shared" si="64"/>
        <v>11733.8</v>
      </c>
      <c r="I2001" s="37">
        <v>45647</v>
      </c>
      <c r="J2001" s="33" t="s">
        <v>52</v>
      </c>
      <c r="K2001" s="33" t="s">
        <v>23</v>
      </c>
      <c r="L2001" s="38">
        <f t="shared" si="65"/>
        <v>5749.5619999999999</v>
      </c>
      <c r="M2001" s="38">
        <v>-828.2</v>
      </c>
      <c r="N2001" s="24">
        <f>_xlfn.XLOOKUP(Snitch_Fashion_Sales_cleaned!$J2001,Table2[City],Table2[City_Key],"not found")</f>
        <v>5</v>
      </c>
      <c r="O2001" s="23">
        <f>_xlfn.XLOOKUP(Snitch_Fashion_Sales_cleaned!$D2001,Table4[Product_Name],Table4[Product_Key],"not found")</f>
        <v>3</v>
      </c>
      <c r="P2001" s="32">
        <f>_xlfn.XLOOKUP(Snitch_Fashion_Sales_cleaned!$I2001,Table3[Order_Date],Table3[Date_Key])</f>
        <v>5</v>
      </c>
    </row>
    <row r="2002" spans="1:16" x14ac:dyDescent="0.3">
      <c r="A2002" s="27">
        <v>1034</v>
      </c>
      <c r="B2002" s="25" t="s">
        <v>2023</v>
      </c>
      <c r="C2002" s="25" t="s">
        <v>36</v>
      </c>
      <c r="D2002" s="26" t="s">
        <v>37</v>
      </c>
      <c r="E2002" s="27">
        <v>4</v>
      </c>
      <c r="F2002" s="28">
        <v>2975.64</v>
      </c>
      <c r="G2002" s="29">
        <v>0.51</v>
      </c>
      <c r="H2002" s="28">
        <f t="shared" si="64"/>
        <v>11902.56</v>
      </c>
      <c r="I2002" s="30">
        <v>45557</v>
      </c>
      <c r="J2002" s="26" t="s">
        <v>52</v>
      </c>
      <c r="K2002" s="26" t="s">
        <v>23</v>
      </c>
      <c r="L2002" s="31">
        <f t="shared" si="65"/>
        <v>5832.2543999999998</v>
      </c>
      <c r="M2002" s="31">
        <v>-41.81</v>
      </c>
      <c r="N2002" s="22">
        <f>_xlfn.XLOOKUP(Snitch_Fashion_Sales_cleaned!$J2002,Table2[City],Table2[City_Key],"not found")</f>
        <v>5</v>
      </c>
      <c r="O2002" s="21">
        <f>_xlfn.XLOOKUP(Snitch_Fashion_Sales_cleaned!$D2002,Table4[Product_Name],Table4[Product_Key],"not found")</f>
        <v>7</v>
      </c>
      <c r="P2002" s="25">
        <f>_xlfn.XLOOKUP(Snitch_Fashion_Sales_cleaned!$I2002,Table3[Order_Date],Table3[Date_Key])</f>
        <v>479</v>
      </c>
    </row>
    <row r="2003" spans="1:16" x14ac:dyDescent="0.3">
      <c r="A2003" s="34">
        <v>3001</v>
      </c>
      <c r="B2003" s="32" t="s">
        <v>2024</v>
      </c>
      <c r="C2003" s="32" t="s">
        <v>20</v>
      </c>
      <c r="D2003" s="33" t="s">
        <v>84</v>
      </c>
      <c r="E2003" s="34">
        <v>3</v>
      </c>
      <c r="F2003" s="35">
        <v>1171.57</v>
      </c>
      <c r="G2003" s="36">
        <v>0.51</v>
      </c>
      <c r="H2003" s="35">
        <f t="shared" si="64"/>
        <v>3514.71</v>
      </c>
      <c r="I2003" s="37">
        <v>45601</v>
      </c>
      <c r="J2003" s="33" t="s">
        <v>43</v>
      </c>
      <c r="K2003" s="33" t="s">
        <v>23</v>
      </c>
      <c r="L2003" s="38">
        <f t="shared" si="65"/>
        <v>1722.2078999999999</v>
      </c>
      <c r="M2003" s="38">
        <v>430.55197499999997</v>
      </c>
      <c r="N2003" s="24">
        <f>_xlfn.XLOOKUP(Snitch_Fashion_Sales_cleaned!$J2003,Table2[City],Table2[City_Key],"not found")</f>
        <v>6</v>
      </c>
      <c r="O2003" s="23">
        <f>_xlfn.XLOOKUP(Snitch_Fashion_Sales_cleaned!$D2003,Table4[Product_Name],Table4[Product_Key],"not found")</f>
        <v>19</v>
      </c>
      <c r="P2003" s="32">
        <f>_xlfn.XLOOKUP(Snitch_Fashion_Sales_cleaned!$I2003,Table3[Order_Date],Table3[Date_Key])</f>
        <v>45</v>
      </c>
    </row>
    <row r="2004" spans="1:16" x14ac:dyDescent="0.3">
      <c r="A2004" s="27">
        <v>1046</v>
      </c>
      <c r="B2004" s="25" t="s">
        <v>2025</v>
      </c>
      <c r="C2004" s="25" t="s">
        <v>31</v>
      </c>
      <c r="D2004" s="26" t="s">
        <v>41</v>
      </c>
      <c r="E2004" s="27">
        <v>3</v>
      </c>
      <c r="F2004" s="28">
        <v>3027.66</v>
      </c>
      <c r="G2004" s="29">
        <v>0.51</v>
      </c>
      <c r="H2004" s="28">
        <f t="shared" si="64"/>
        <v>9082.98</v>
      </c>
      <c r="I2004" s="30">
        <v>45528</v>
      </c>
      <c r="J2004" s="26" t="s">
        <v>15</v>
      </c>
      <c r="K2004" s="26" t="s">
        <v>23</v>
      </c>
      <c r="L2004" s="31">
        <f t="shared" si="65"/>
        <v>4450.6601999999993</v>
      </c>
      <c r="M2004" s="31">
        <v>900.65</v>
      </c>
      <c r="N2004" s="22">
        <f>_xlfn.XLOOKUP(Snitch_Fashion_Sales_cleaned!$J2004,Table2[City],Table2[City_Key],"not found")</f>
        <v>1</v>
      </c>
      <c r="O2004" s="21">
        <f>_xlfn.XLOOKUP(Snitch_Fashion_Sales_cleaned!$D2004,Table4[Product_Name],Table4[Product_Key],"not found")</f>
        <v>9</v>
      </c>
      <c r="P2004" s="25">
        <f>_xlfn.XLOOKUP(Snitch_Fashion_Sales_cleaned!$I2004,Table3[Order_Date],Table3[Date_Key])</f>
        <v>527</v>
      </c>
    </row>
    <row r="2005" spans="1:16" x14ac:dyDescent="0.3">
      <c r="A2005" s="34">
        <v>3003</v>
      </c>
      <c r="B2005" s="32" t="s">
        <v>2026</v>
      </c>
      <c r="C2005" s="32" t="s">
        <v>13</v>
      </c>
      <c r="D2005" s="33" t="s">
        <v>46</v>
      </c>
      <c r="E2005" s="34">
        <v>4</v>
      </c>
      <c r="F2005" s="35">
        <v>2891.64</v>
      </c>
      <c r="G2005" s="36">
        <v>0.51</v>
      </c>
      <c r="H2005" s="35">
        <f t="shared" si="64"/>
        <v>11566.56</v>
      </c>
      <c r="I2005" s="37">
        <v>45581</v>
      </c>
      <c r="J2005" s="33" t="s">
        <v>15</v>
      </c>
      <c r="K2005" s="33" t="s">
        <v>23</v>
      </c>
      <c r="L2005" s="38">
        <f t="shared" si="65"/>
        <v>5667.6143999999995</v>
      </c>
      <c r="M2005" s="38">
        <v>605.98</v>
      </c>
      <c r="N2005" s="24">
        <f>_xlfn.XLOOKUP(Snitch_Fashion_Sales_cleaned!$J2005,Table2[City],Table2[City_Key],"not found")</f>
        <v>1</v>
      </c>
      <c r="O2005" s="23">
        <f>_xlfn.XLOOKUP(Snitch_Fashion_Sales_cleaned!$D2005,Table4[Product_Name],Table4[Product_Key],"not found")</f>
        <v>10</v>
      </c>
      <c r="P2005" s="32">
        <f>_xlfn.XLOOKUP(Snitch_Fashion_Sales_cleaned!$I2005,Table3[Order_Date],Table3[Date_Key])</f>
        <v>34</v>
      </c>
    </row>
    <row r="2006" spans="1:16" x14ac:dyDescent="0.3">
      <c r="A2006" s="27">
        <v>3004</v>
      </c>
      <c r="B2006" s="25" t="s">
        <v>2027</v>
      </c>
      <c r="C2006" s="25" t="s">
        <v>31</v>
      </c>
      <c r="D2006" s="26" t="s">
        <v>32</v>
      </c>
      <c r="E2006" s="27">
        <v>3</v>
      </c>
      <c r="F2006" s="28">
        <v>1759.66</v>
      </c>
      <c r="G2006" s="29">
        <v>0.51</v>
      </c>
      <c r="H2006" s="28">
        <f t="shared" si="64"/>
        <v>5278.9800000000005</v>
      </c>
      <c r="I2006" s="30">
        <v>45751</v>
      </c>
      <c r="J2006" s="26" t="s">
        <v>22</v>
      </c>
      <c r="K2006" s="26" t="s">
        <v>23</v>
      </c>
      <c r="L2006" s="31">
        <f t="shared" si="65"/>
        <v>2586.7002000000002</v>
      </c>
      <c r="M2006" s="31">
        <v>1133.07</v>
      </c>
      <c r="N2006" s="22">
        <f>_xlfn.XLOOKUP(Snitch_Fashion_Sales_cleaned!$J2006,Table2[City],Table2[City_Key],"not found")</f>
        <v>3</v>
      </c>
      <c r="O2006" s="21">
        <f>_xlfn.XLOOKUP(Snitch_Fashion_Sales_cleaned!$D2006,Table4[Product_Name],Table4[Product_Key],"not found")</f>
        <v>5</v>
      </c>
      <c r="P2006" s="25">
        <f>_xlfn.XLOOKUP(Snitch_Fashion_Sales_cleaned!$I2006,Table3[Order_Date],Table3[Date_Key])</f>
        <v>113</v>
      </c>
    </row>
    <row r="2007" spans="1:16" x14ac:dyDescent="0.3">
      <c r="A2007" s="34">
        <v>3005</v>
      </c>
      <c r="B2007" s="32" t="s">
        <v>2028</v>
      </c>
      <c r="C2007" s="32" t="s">
        <v>20</v>
      </c>
      <c r="D2007" s="33" t="s">
        <v>76</v>
      </c>
      <c r="E2007" s="34">
        <v>3</v>
      </c>
      <c r="F2007" s="35">
        <v>2229.4899999999998</v>
      </c>
      <c r="G2007" s="36">
        <v>0.51</v>
      </c>
      <c r="H2007" s="35">
        <f t="shared" si="64"/>
        <v>6688.4699999999993</v>
      </c>
      <c r="I2007" s="37">
        <v>45420</v>
      </c>
      <c r="J2007" s="33" t="s">
        <v>52</v>
      </c>
      <c r="K2007" s="33" t="s">
        <v>16</v>
      </c>
      <c r="L2007" s="38">
        <f t="shared" si="65"/>
        <v>3277.3502999999996</v>
      </c>
      <c r="M2007" s="38">
        <v>2378.14</v>
      </c>
      <c r="N2007" s="24">
        <f>_xlfn.XLOOKUP(Snitch_Fashion_Sales_cleaned!$J2007,Table2[City],Table2[City_Key],"not found")</f>
        <v>5</v>
      </c>
      <c r="O2007" s="23">
        <f>_xlfn.XLOOKUP(Snitch_Fashion_Sales_cleaned!$D2007,Table4[Product_Name],Table4[Product_Key],"not found")</f>
        <v>16</v>
      </c>
      <c r="P2007" s="32">
        <f>_xlfn.XLOOKUP(Snitch_Fashion_Sales_cleaned!$I2007,Table3[Order_Date],Table3[Date_Key])</f>
        <v>264</v>
      </c>
    </row>
    <row r="2008" spans="1:16" x14ac:dyDescent="0.3">
      <c r="A2008" s="27">
        <v>3006</v>
      </c>
      <c r="B2008" s="25" t="s">
        <v>2029</v>
      </c>
      <c r="C2008" s="25" t="s">
        <v>25</v>
      </c>
      <c r="D2008" s="26" t="s">
        <v>26</v>
      </c>
      <c r="E2008" s="27">
        <v>4</v>
      </c>
      <c r="F2008" s="28">
        <v>2933.45</v>
      </c>
      <c r="G2008" s="29">
        <v>0.51</v>
      </c>
      <c r="H2008" s="28">
        <f t="shared" si="64"/>
        <v>11733.8</v>
      </c>
      <c r="I2008" s="30">
        <v>45647</v>
      </c>
      <c r="J2008" s="26" t="s">
        <v>43</v>
      </c>
      <c r="K2008" s="26" t="s">
        <v>23</v>
      </c>
      <c r="L2008" s="31">
        <f t="shared" si="65"/>
        <v>5749.5619999999999</v>
      </c>
      <c r="M2008" s="31">
        <v>1441.9</v>
      </c>
      <c r="N2008" s="22">
        <f>_xlfn.XLOOKUP(Snitch_Fashion_Sales_cleaned!$J2008,Table2[City],Table2[City_Key],"not found")</f>
        <v>6</v>
      </c>
      <c r="O2008" s="21">
        <f>_xlfn.XLOOKUP(Snitch_Fashion_Sales_cleaned!$D2008,Table4[Product_Name],Table4[Product_Key],"not found")</f>
        <v>3</v>
      </c>
      <c r="P2008" s="25">
        <f>_xlfn.XLOOKUP(Snitch_Fashion_Sales_cleaned!$I2008,Table3[Order_Date],Table3[Date_Key])</f>
        <v>5</v>
      </c>
    </row>
    <row r="2009" spans="1:16" x14ac:dyDescent="0.3">
      <c r="A2009" s="34">
        <v>3007</v>
      </c>
      <c r="B2009" s="32" t="s">
        <v>2030</v>
      </c>
      <c r="C2009" s="32" t="s">
        <v>25</v>
      </c>
      <c r="D2009" s="33" t="s">
        <v>26</v>
      </c>
      <c r="E2009" s="34">
        <v>4</v>
      </c>
      <c r="F2009" s="35">
        <v>3922.01</v>
      </c>
      <c r="G2009" s="36">
        <v>0.51</v>
      </c>
      <c r="H2009" s="35">
        <f t="shared" si="64"/>
        <v>15688.04</v>
      </c>
      <c r="I2009" s="37">
        <v>45726</v>
      </c>
      <c r="J2009" s="33" t="s">
        <v>2540</v>
      </c>
      <c r="K2009" s="33" t="s">
        <v>23</v>
      </c>
      <c r="L2009" s="38">
        <f t="shared" si="65"/>
        <v>7687.1396000000004</v>
      </c>
      <c r="M2009" s="38">
        <v>2186.58</v>
      </c>
      <c r="N2009" s="24">
        <f>_xlfn.XLOOKUP(Snitch_Fashion_Sales_cleaned!$J2009,Table2[City],Table2[City_Key],"not found")</f>
        <v>4</v>
      </c>
      <c r="O2009" s="23">
        <f>_xlfn.XLOOKUP(Snitch_Fashion_Sales_cleaned!$D2009,Table4[Product_Name],Table4[Product_Key],"not found")</f>
        <v>3</v>
      </c>
      <c r="P2009" s="32">
        <f>_xlfn.XLOOKUP(Snitch_Fashion_Sales_cleaned!$I2009,Table3[Order_Date],Table3[Date_Key])</f>
        <v>237</v>
      </c>
    </row>
    <row r="2010" spans="1:16" x14ac:dyDescent="0.3">
      <c r="A2010" s="27">
        <v>3008</v>
      </c>
      <c r="B2010" s="25" t="s">
        <v>2031</v>
      </c>
      <c r="C2010" s="25" t="s">
        <v>28</v>
      </c>
      <c r="D2010" s="26" t="s">
        <v>39</v>
      </c>
      <c r="E2010" s="27">
        <v>3</v>
      </c>
      <c r="F2010" s="28">
        <v>2880.85</v>
      </c>
      <c r="G2010" s="29">
        <v>0.51</v>
      </c>
      <c r="H2010" s="28">
        <f t="shared" si="64"/>
        <v>8642.5499999999993</v>
      </c>
      <c r="I2010" s="30">
        <v>45798</v>
      </c>
      <c r="J2010" s="26" t="s">
        <v>15</v>
      </c>
      <c r="K2010" s="26" t="s">
        <v>16</v>
      </c>
      <c r="L2010" s="31">
        <f t="shared" si="65"/>
        <v>4234.8494999999994</v>
      </c>
      <c r="M2010" s="31">
        <v>2519.23</v>
      </c>
      <c r="N2010" s="22">
        <f>_xlfn.XLOOKUP(Snitch_Fashion_Sales_cleaned!$J2010,Table2[City],Table2[City_Key],"not found")</f>
        <v>1</v>
      </c>
      <c r="O2010" s="21">
        <f>_xlfn.XLOOKUP(Snitch_Fashion_Sales_cleaned!$D2010,Table4[Product_Name],Table4[Product_Key],"not found")</f>
        <v>8</v>
      </c>
      <c r="P2010" s="25">
        <f>_xlfn.XLOOKUP(Snitch_Fashion_Sales_cleaned!$I2010,Table3[Order_Date],Table3[Date_Key])</f>
        <v>419</v>
      </c>
    </row>
    <row r="2011" spans="1:16" x14ac:dyDescent="0.3">
      <c r="A2011" s="34">
        <v>3009</v>
      </c>
      <c r="B2011" s="32" t="s">
        <v>2032</v>
      </c>
      <c r="C2011" s="32" t="s">
        <v>13</v>
      </c>
      <c r="D2011" s="33" t="s">
        <v>14</v>
      </c>
      <c r="E2011" s="34">
        <v>4</v>
      </c>
      <c r="F2011" s="35">
        <v>2366.6149999999998</v>
      </c>
      <c r="G2011" s="36">
        <v>0.51</v>
      </c>
      <c r="H2011" s="35">
        <f t="shared" si="64"/>
        <v>9466.4599999999991</v>
      </c>
      <c r="I2011" s="37">
        <v>45730</v>
      </c>
      <c r="J2011" s="33" t="s">
        <v>2540</v>
      </c>
      <c r="K2011" s="33" t="s">
        <v>16</v>
      </c>
      <c r="L2011" s="38">
        <f t="shared" si="65"/>
        <v>4638.5653999999995</v>
      </c>
      <c r="M2011" s="38">
        <v>25.22</v>
      </c>
      <c r="N2011" s="24">
        <f>_xlfn.XLOOKUP(Snitch_Fashion_Sales_cleaned!$J2011,Table2[City],Table2[City_Key],"not found")</f>
        <v>4</v>
      </c>
      <c r="O2011" s="23">
        <f>_xlfn.XLOOKUP(Snitch_Fashion_Sales_cleaned!$D2011,Table4[Product_Name],Table4[Product_Key],"not found")</f>
        <v>1</v>
      </c>
      <c r="P2011" s="32">
        <f>_xlfn.XLOOKUP(Snitch_Fashion_Sales_cleaned!$I2011,Table3[Order_Date],Table3[Date_Key])</f>
        <v>481</v>
      </c>
    </row>
    <row r="2012" spans="1:16" x14ac:dyDescent="0.3">
      <c r="A2012" s="27">
        <v>3010</v>
      </c>
      <c r="B2012" s="25" t="s">
        <v>2033</v>
      </c>
      <c r="C2012" s="25" t="s">
        <v>20</v>
      </c>
      <c r="D2012" s="26" t="s">
        <v>21</v>
      </c>
      <c r="E2012" s="27">
        <v>4</v>
      </c>
      <c r="F2012" s="28">
        <v>2579.8000000000002</v>
      </c>
      <c r="G2012" s="29">
        <v>0.68</v>
      </c>
      <c r="H2012" s="28">
        <f t="shared" si="64"/>
        <v>10319.200000000001</v>
      </c>
      <c r="I2012" s="30">
        <v>45565</v>
      </c>
      <c r="J2012" s="26" t="s">
        <v>52</v>
      </c>
      <c r="K2012" s="26" t="s">
        <v>16</v>
      </c>
      <c r="L2012" s="31">
        <f t="shared" si="65"/>
        <v>3302.1439999999998</v>
      </c>
      <c r="M2012" s="31">
        <v>671.7</v>
      </c>
      <c r="N2012" s="22">
        <f>_xlfn.XLOOKUP(Snitch_Fashion_Sales_cleaned!$J2012,Table2[City],Table2[City_Key],"not found")</f>
        <v>5</v>
      </c>
      <c r="O2012" s="21">
        <f>_xlfn.XLOOKUP(Snitch_Fashion_Sales_cleaned!$D2012,Table4[Product_Name],Table4[Product_Key],"not found")</f>
        <v>2</v>
      </c>
      <c r="P2012" s="25">
        <f>_xlfn.XLOOKUP(Snitch_Fashion_Sales_cleaned!$I2012,Table3[Order_Date],Table3[Date_Key])</f>
        <v>287</v>
      </c>
    </row>
    <row r="2013" spans="1:16" x14ac:dyDescent="0.3">
      <c r="A2013" s="34">
        <v>3011</v>
      </c>
      <c r="B2013" s="32" t="s">
        <v>2034</v>
      </c>
      <c r="C2013" s="32" t="s">
        <v>28</v>
      </c>
      <c r="D2013" s="33" t="s">
        <v>29</v>
      </c>
      <c r="E2013" s="34">
        <v>3</v>
      </c>
      <c r="F2013" s="35">
        <v>4016.78</v>
      </c>
      <c r="G2013" s="36">
        <v>0.51</v>
      </c>
      <c r="H2013" s="35">
        <f t="shared" si="64"/>
        <v>12050.34</v>
      </c>
      <c r="I2013" s="37">
        <v>45780</v>
      </c>
      <c r="J2013" s="33" t="s">
        <v>15</v>
      </c>
      <c r="K2013" s="33" t="s">
        <v>23</v>
      </c>
      <c r="L2013" s="38">
        <f t="shared" si="65"/>
        <v>5904.6665999999996</v>
      </c>
      <c r="M2013" s="38">
        <v>729.73</v>
      </c>
      <c r="N2013" s="24">
        <f>_xlfn.XLOOKUP(Snitch_Fashion_Sales_cleaned!$J2013,Table2[City],Table2[City_Key],"not found")</f>
        <v>1</v>
      </c>
      <c r="O2013" s="23">
        <f>_xlfn.XLOOKUP(Snitch_Fashion_Sales_cleaned!$D2013,Table4[Product_Name],Table4[Product_Key],"not found")</f>
        <v>4</v>
      </c>
      <c r="P2013" s="32">
        <f>_xlfn.XLOOKUP(Snitch_Fashion_Sales_cleaned!$I2013,Table3[Order_Date],Table3[Date_Key])</f>
        <v>305</v>
      </c>
    </row>
    <row r="2014" spans="1:16" x14ac:dyDescent="0.3">
      <c r="A2014" s="27">
        <v>3012</v>
      </c>
      <c r="B2014" s="25" t="s">
        <v>2035</v>
      </c>
      <c r="C2014" s="25" t="s">
        <v>28</v>
      </c>
      <c r="D2014" s="26" t="s">
        <v>137</v>
      </c>
      <c r="E2014" s="27">
        <v>3.5</v>
      </c>
      <c r="F2014" s="28">
        <v>673.96</v>
      </c>
      <c r="G2014" s="29">
        <v>0.51</v>
      </c>
      <c r="H2014" s="28">
        <f t="shared" si="64"/>
        <v>2358.86</v>
      </c>
      <c r="I2014" s="30">
        <v>45647</v>
      </c>
      <c r="J2014" s="26" t="s">
        <v>2540</v>
      </c>
      <c r="K2014" s="26" t="s">
        <v>23</v>
      </c>
      <c r="L2014" s="31">
        <f t="shared" si="65"/>
        <v>1155.8414</v>
      </c>
      <c r="M2014" s="31">
        <v>799.35</v>
      </c>
      <c r="N2014" s="22">
        <f>_xlfn.XLOOKUP(Snitch_Fashion_Sales_cleaned!$J2014,Table2[City],Table2[City_Key],"not found")</f>
        <v>4</v>
      </c>
      <c r="O2014" s="21">
        <f>_xlfn.XLOOKUP(Snitch_Fashion_Sales_cleaned!$D2014,Table4[Product_Name],Table4[Product_Key],"not found")</f>
        <v>24</v>
      </c>
      <c r="P2014" s="25">
        <f>_xlfn.XLOOKUP(Snitch_Fashion_Sales_cleaned!$I2014,Table3[Order_Date],Table3[Date_Key])</f>
        <v>5</v>
      </c>
    </row>
    <row r="2015" spans="1:16" x14ac:dyDescent="0.3">
      <c r="A2015" s="34">
        <v>3013</v>
      </c>
      <c r="B2015" s="32" t="s">
        <v>2036</v>
      </c>
      <c r="C2015" s="32" t="s">
        <v>31</v>
      </c>
      <c r="D2015" s="33" t="s">
        <v>78</v>
      </c>
      <c r="E2015" s="34">
        <v>4</v>
      </c>
      <c r="F2015" s="35">
        <v>2599.75</v>
      </c>
      <c r="G2015" s="36">
        <v>0.66</v>
      </c>
      <c r="H2015" s="35">
        <f t="shared" si="64"/>
        <v>10399</v>
      </c>
      <c r="I2015" s="37">
        <v>45689</v>
      </c>
      <c r="J2015" s="33" t="s">
        <v>2540</v>
      </c>
      <c r="K2015" s="33" t="s">
        <v>23</v>
      </c>
      <c r="L2015" s="38">
        <f t="shared" si="65"/>
        <v>3535.66</v>
      </c>
      <c r="M2015" s="38">
        <v>-572.35</v>
      </c>
      <c r="N2015" s="24">
        <f>_xlfn.XLOOKUP(Snitch_Fashion_Sales_cleaned!$J2015,Table2[City],Table2[City_Key],"not found")</f>
        <v>4</v>
      </c>
      <c r="O2015" s="23">
        <f>_xlfn.XLOOKUP(Snitch_Fashion_Sales_cleaned!$D2015,Table4[Product_Name],Table4[Product_Key],"not found")</f>
        <v>17</v>
      </c>
      <c r="P2015" s="32">
        <f>_xlfn.XLOOKUP(Snitch_Fashion_Sales_cleaned!$I2015,Table3[Order_Date],Table3[Date_Key])</f>
        <v>403</v>
      </c>
    </row>
    <row r="2016" spans="1:16" x14ac:dyDescent="0.3">
      <c r="A2016" s="27">
        <v>3014</v>
      </c>
      <c r="B2016" s="25" t="s">
        <v>2037</v>
      </c>
      <c r="C2016" s="25" t="s">
        <v>31</v>
      </c>
      <c r="D2016" s="26" t="s">
        <v>78</v>
      </c>
      <c r="E2016" s="27">
        <v>2</v>
      </c>
      <c r="F2016" s="28">
        <v>2599.75</v>
      </c>
      <c r="G2016" s="29">
        <v>0.51</v>
      </c>
      <c r="H2016" s="28">
        <f t="shared" si="64"/>
        <v>5199.5</v>
      </c>
      <c r="I2016" s="30">
        <v>45840</v>
      </c>
      <c r="J2016" s="26" t="s">
        <v>15</v>
      </c>
      <c r="K2016" s="26" t="s">
        <v>23</v>
      </c>
      <c r="L2016" s="31">
        <f t="shared" si="65"/>
        <v>2547.7550000000001</v>
      </c>
      <c r="M2016" s="31">
        <v>1056.99</v>
      </c>
      <c r="N2016" s="22">
        <f>_xlfn.XLOOKUP(Snitch_Fashion_Sales_cleaned!$J2016,Table2[City],Table2[City_Key],"not found")</f>
        <v>1</v>
      </c>
      <c r="O2016" s="21">
        <f>_xlfn.XLOOKUP(Snitch_Fashion_Sales_cleaned!$D2016,Table4[Product_Name],Table4[Product_Key],"not found")</f>
        <v>17</v>
      </c>
      <c r="P2016" s="25">
        <f>_xlfn.XLOOKUP(Snitch_Fashion_Sales_cleaned!$I2016,Table3[Order_Date],Table3[Date_Key])</f>
        <v>322</v>
      </c>
    </row>
    <row r="2017" spans="1:16" x14ac:dyDescent="0.3">
      <c r="A2017" s="34">
        <v>3015</v>
      </c>
      <c r="B2017" s="32" t="s">
        <v>2038</v>
      </c>
      <c r="C2017" s="32" t="s">
        <v>13</v>
      </c>
      <c r="D2017" s="33" t="s">
        <v>98</v>
      </c>
      <c r="E2017" s="34">
        <v>5</v>
      </c>
      <c r="F2017" s="35">
        <v>3211</v>
      </c>
      <c r="G2017" s="36">
        <v>0.56000000000000005</v>
      </c>
      <c r="H2017" s="35">
        <f t="shared" si="64"/>
        <v>16055</v>
      </c>
      <c r="I2017" s="37">
        <v>45601</v>
      </c>
      <c r="J2017" s="33" t="s">
        <v>15</v>
      </c>
      <c r="K2017" s="33" t="s">
        <v>16</v>
      </c>
      <c r="L2017" s="38">
        <f t="shared" si="65"/>
        <v>7064.1999999999989</v>
      </c>
      <c r="M2017" s="38">
        <v>-659.55</v>
      </c>
      <c r="N2017" s="24">
        <f>_xlfn.XLOOKUP(Snitch_Fashion_Sales_cleaned!$J2017,Table2[City],Table2[City_Key],"not found")</f>
        <v>1</v>
      </c>
      <c r="O2017" s="23">
        <f>_xlfn.XLOOKUP(Snitch_Fashion_Sales_cleaned!$D2017,Table4[Product_Name],Table4[Product_Key],"not found")</f>
        <v>21</v>
      </c>
      <c r="P2017" s="32">
        <f>_xlfn.XLOOKUP(Snitch_Fashion_Sales_cleaned!$I2017,Table3[Order_Date],Table3[Date_Key])</f>
        <v>45</v>
      </c>
    </row>
    <row r="2018" spans="1:16" x14ac:dyDescent="0.3">
      <c r="A2018" s="27">
        <v>3016</v>
      </c>
      <c r="B2018" s="25" t="s">
        <v>2039</v>
      </c>
      <c r="C2018" s="25" t="s">
        <v>28</v>
      </c>
      <c r="D2018" s="26" t="s">
        <v>29</v>
      </c>
      <c r="E2018" s="27">
        <v>5</v>
      </c>
      <c r="F2018" s="28">
        <v>2515.415</v>
      </c>
      <c r="G2018" s="29">
        <v>0.51</v>
      </c>
      <c r="H2018" s="28">
        <f t="shared" si="64"/>
        <v>12577.075000000001</v>
      </c>
      <c r="I2018" s="30">
        <v>45642</v>
      </c>
      <c r="J2018" s="26" t="s">
        <v>52</v>
      </c>
      <c r="K2018" s="26" t="s">
        <v>16</v>
      </c>
      <c r="L2018" s="31">
        <f t="shared" si="65"/>
        <v>6162.7667500000007</v>
      </c>
      <c r="M2018" s="31">
        <v>426.15</v>
      </c>
      <c r="N2018" s="22">
        <f>_xlfn.XLOOKUP(Snitch_Fashion_Sales_cleaned!$J2018,Table2[City],Table2[City_Key],"not found")</f>
        <v>5</v>
      </c>
      <c r="O2018" s="21">
        <f>_xlfn.XLOOKUP(Snitch_Fashion_Sales_cleaned!$D2018,Table4[Product_Name],Table4[Product_Key],"not found")</f>
        <v>4</v>
      </c>
      <c r="P2018" s="25">
        <f>_xlfn.XLOOKUP(Snitch_Fashion_Sales_cleaned!$I2018,Table3[Order_Date],Table3[Date_Key])</f>
        <v>73</v>
      </c>
    </row>
    <row r="2019" spans="1:16" x14ac:dyDescent="0.3">
      <c r="A2019" s="34">
        <v>3017</v>
      </c>
      <c r="B2019" s="32" t="s">
        <v>2040</v>
      </c>
      <c r="C2019" s="32" t="s">
        <v>25</v>
      </c>
      <c r="D2019" s="33" t="s">
        <v>82</v>
      </c>
      <c r="E2019" s="34">
        <v>3</v>
      </c>
      <c r="F2019" s="35">
        <v>2385.5749999999998</v>
      </c>
      <c r="G2019" s="36">
        <v>0.51</v>
      </c>
      <c r="H2019" s="35">
        <f t="shared" si="64"/>
        <v>7156.7249999999995</v>
      </c>
      <c r="I2019" s="37">
        <v>45641</v>
      </c>
      <c r="J2019" s="33" t="s">
        <v>18</v>
      </c>
      <c r="K2019" s="33" t="s">
        <v>16</v>
      </c>
      <c r="L2019" s="38">
        <f t="shared" si="65"/>
        <v>3506.7952499999997</v>
      </c>
      <c r="M2019" s="38">
        <v>1237.1300000000001</v>
      </c>
      <c r="N2019" s="24">
        <f>_xlfn.XLOOKUP(Snitch_Fashion_Sales_cleaned!$J2019,Table2[City],Table2[City_Key],"not found")</f>
        <v>2</v>
      </c>
      <c r="O2019" s="23">
        <f>_xlfn.XLOOKUP(Snitch_Fashion_Sales_cleaned!$D2019,Table4[Product_Name],Table4[Product_Key],"not found")</f>
        <v>18</v>
      </c>
      <c r="P2019" s="32">
        <f>_xlfn.XLOOKUP(Snitch_Fashion_Sales_cleaned!$I2019,Table3[Order_Date],Table3[Date_Key])</f>
        <v>99</v>
      </c>
    </row>
    <row r="2020" spans="1:16" x14ac:dyDescent="0.3">
      <c r="A2020" s="27">
        <v>3018</v>
      </c>
      <c r="B2020" s="25" t="s">
        <v>2041</v>
      </c>
      <c r="C2020" s="25" t="s">
        <v>13</v>
      </c>
      <c r="D2020" s="26" t="s">
        <v>14</v>
      </c>
      <c r="E2020" s="27">
        <v>4</v>
      </c>
      <c r="F2020" s="28">
        <v>4744.8599999999997</v>
      </c>
      <c r="G2020" s="29">
        <v>0.51</v>
      </c>
      <c r="H2020" s="28">
        <f t="shared" si="64"/>
        <v>18979.439999999999</v>
      </c>
      <c r="I2020" s="30">
        <v>45623</v>
      </c>
      <c r="J2020" s="26" t="s">
        <v>52</v>
      </c>
      <c r="K2020" s="26" t="s">
        <v>23</v>
      </c>
      <c r="L2020" s="31">
        <f t="shared" si="65"/>
        <v>9299.9255999999987</v>
      </c>
      <c r="M2020" s="31">
        <v>2963.16</v>
      </c>
      <c r="N2020" s="22">
        <f>_xlfn.XLOOKUP(Snitch_Fashion_Sales_cleaned!$J2020,Table2[City],Table2[City_Key],"not found")</f>
        <v>5</v>
      </c>
      <c r="O2020" s="21">
        <f>_xlfn.XLOOKUP(Snitch_Fashion_Sales_cleaned!$D2020,Table4[Product_Name],Table4[Product_Key],"not found")</f>
        <v>1</v>
      </c>
      <c r="P2020" s="25">
        <f>_xlfn.XLOOKUP(Snitch_Fashion_Sales_cleaned!$I2020,Table3[Order_Date],Table3[Date_Key])</f>
        <v>373</v>
      </c>
    </row>
    <row r="2021" spans="1:16" x14ac:dyDescent="0.3">
      <c r="A2021" s="34">
        <v>3019</v>
      </c>
      <c r="B2021" s="32" t="s">
        <v>2042</v>
      </c>
      <c r="C2021" s="32" t="s">
        <v>13</v>
      </c>
      <c r="D2021" s="33" t="s">
        <v>14</v>
      </c>
      <c r="E2021" s="34">
        <v>4</v>
      </c>
      <c r="F2021" s="35">
        <v>2705.09</v>
      </c>
      <c r="G2021" s="36">
        <v>0.51</v>
      </c>
      <c r="H2021" s="35">
        <f t="shared" si="64"/>
        <v>10820.36</v>
      </c>
      <c r="I2021" s="37">
        <v>45570</v>
      </c>
      <c r="J2021" s="33" t="s">
        <v>52</v>
      </c>
      <c r="K2021" s="33" t="s">
        <v>16</v>
      </c>
      <c r="L2021" s="38">
        <f t="shared" si="65"/>
        <v>5301.9764000000005</v>
      </c>
      <c r="M2021" s="38">
        <v>-546.72</v>
      </c>
      <c r="N2021" s="24">
        <f>_xlfn.XLOOKUP(Snitch_Fashion_Sales_cleaned!$J2021,Table2[City],Table2[City_Key],"not found")</f>
        <v>5</v>
      </c>
      <c r="O2021" s="23">
        <f>_xlfn.XLOOKUP(Snitch_Fashion_Sales_cleaned!$D2021,Table4[Product_Name],Table4[Product_Key],"not found")</f>
        <v>1</v>
      </c>
      <c r="P2021" s="32">
        <f>_xlfn.XLOOKUP(Snitch_Fashion_Sales_cleaned!$I2021,Table3[Order_Date],Table3[Date_Key])</f>
        <v>95</v>
      </c>
    </row>
    <row r="2022" spans="1:16" x14ac:dyDescent="0.3">
      <c r="A2022" s="27">
        <v>3020</v>
      </c>
      <c r="B2022" s="25" t="s">
        <v>2043</v>
      </c>
      <c r="C2022" s="25" t="s">
        <v>25</v>
      </c>
      <c r="D2022" s="26" t="s">
        <v>82</v>
      </c>
      <c r="E2022" s="27">
        <v>3</v>
      </c>
      <c r="F2022" s="28">
        <v>2385.5749999999998</v>
      </c>
      <c r="G2022" s="29">
        <v>0.51</v>
      </c>
      <c r="H2022" s="28">
        <f t="shared" si="64"/>
        <v>7156.7249999999995</v>
      </c>
      <c r="I2022" s="30">
        <v>45525</v>
      </c>
      <c r="J2022" s="26" t="s">
        <v>2540</v>
      </c>
      <c r="K2022" s="26" t="s">
        <v>23</v>
      </c>
      <c r="L2022" s="31">
        <f t="shared" si="65"/>
        <v>3506.7952499999997</v>
      </c>
      <c r="M2022" s="31">
        <v>134.93</v>
      </c>
      <c r="N2022" s="22">
        <f>_xlfn.XLOOKUP(Snitch_Fashion_Sales_cleaned!$J2022,Table2[City],Table2[City_Key],"not found")</f>
        <v>4</v>
      </c>
      <c r="O2022" s="21">
        <f>_xlfn.XLOOKUP(Snitch_Fashion_Sales_cleaned!$D2022,Table4[Product_Name],Table4[Product_Key],"not found")</f>
        <v>18</v>
      </c>
      <c r="P2022" s="25">
        <f>_xlfn.XLOOKUP(Snitch_Fashion_Sales_cleaned!$I2022,Table3[Order_Date],Table3[Date_Key])</f>
        <v>169</v>
      </c>
    </row>
    <row r="2023" spans="1:16" x14ac:dyDescent="0.3">
      <c r="A2023" s="34">
        <v>3021</v>
      </c>
      <c r="B2023" s="32" t="s">
        <v>2044</v>
      </c>
      <c r="C2023" s="32" t="s">
        <v>20</v>
      </c>
      <c r="D2023" s="33" t="s">
        <v>76</v>
      </c>
      <c r="E2023" s="34">
        <v>3</v>
      </c>
      <c r="F2023" s="35">
        <v>2229.4899999999998</v>
      </c>
      <c r="G2023" s="36">
        <v>0.51</v>
      </c>
      <c r="H2023" s="35">
        <f t="shared" si="64"/>
        <v>6688.4699999999993</v>
      </c>
      <c r="I2023" s="37">
        <v>45692</v>
      </c>
      <c r="J2023" s="33" t="s">
        <v>22</v>
      </c>
      <c r="K2023" s="33" t="s">
        <v>23</v>
      </c>
      <c r="L2023" s="38">
        <f t="shared" si="65"/>
        <v>3277.3502999999996</v>
      </c>
      <c r="M2023" s="38">
        <v>-571.78</v>
      </c>
      <c r="N2023" s="24">
        <f>_xlfn.XLOOKUP(Snitch_Fashion_Sales_cleaned!$J2023,Table2[City],Table2[City_Key],"not found")</f>
        <v>3</v>
      </c>
      <c r="O2023" s="23">
        <f>_xlfn.XLOOKUP(Snitch_Fashion_Sales_cleaned!$D2023,Table4[Product_Name],Table4[Product_Key],"not found")</f>
        <v>16</v>
      </c>
      <c r="P2023" s="32">
        <f>_xlfn.XLOOKUP(Snitch_Fashion_Sales_cleaned!$I2023,Table3[Order_Date],Table3[Date_Key])</f>
        <v>152</v>
      </c>
    </row>
    <row r="2024" spans="1:16" x14ac:dyDescent="0.3">
      <c r="A2024" s="27">
        <v>3022</v>
      </c>
      <c r="B2024" s="25" t="s">
        <v>2045</v>
      </c>
      <c r="C2024" s="25" t="s">
        <v>28</v>
      </c>
      <c r="D2024" s="26" t="s">
        <v>29</v>
      </c>
      <c r="E2024" s="27">
        <v>3</v>
      </c>
      <c r="F2024" s="28">
        <v>1695.61</v>
      </c>
      <c r="G2024" s="29">
        <v>0.51</v>
      </c>
      <c r="H2024" s="28">
        <f t="shared" si="64"/>
        <v>5086.83</v>
      </c>
      <c r="I2024" s="30">
        <v>45512</v>
      </c>
      <c r="J2024" s="26" t="s">
        <v>15</v>
      </c>
      <c r="K2024" s="26" t="s">
        <v>16</v>
      </c>
      <c r="L2024" s="31">
        <f t="shared" si="65"/>
        <v>2492.5466999999999</v>
      </c>
      <c r="M2024" s="31">
        <v>297.83</v>
      </c>
      <c r="N2024" s="22">
        <f>_xlfn.XLOOKUP(Snitch_Fashion_Sales_cleaned!$J2024,Table2[City],Table2[City_Key],"not found")</f>
        <v>1</v>
      </c>
      <c r="O2024" s="21">
        <f>_xlfn.XLOOKUP(Snitch_Fashion_Sales_cleaned!$D2024,Table4[Product_Name],Table4[Product_Key],"not found")</f>
        <v>4</v>
      </c>
      <c r="P2024" s="25">
        <f>_xlfn.XLOOKUP(Snitch_Fashion_Sales_cleaned!$I2024,Table3[Order_Date],Table3[Date_Key])</f>
        <v>119</v>
      </c>
    </row>
    <row r="2025" spans="1:16" x14ac:dyDescent="0.3">
      <c r="A2025" s="34">
        <v>3023</v>
      </c>
      <c r="B2025" s="32" t="s">
        <v>2046</v>
      </c>
      <c r="C2025" s="32" t="s">
        <v>31</v>
      </c>
      <c r="D2025" s="33" t="s">
        <v>41</v>
      </c>
      <c r="E2025" s="34">
        <v>3</v>
      </c>
      <c r="F2025" s="35">
        <v>3027.66</v>
      </c>
      <c r="G2025" s="36">
        <v>0.51</v>
      </c>
      <c r="H2025" s="35">
        <f t="shared" si="64"/>
        <v>9082.98</v>
      </c>
      <c r="I2025" s="37">
        <v>45166</v>
      </c>
      <c r="J2025" s="33" t="s">
        <v>15</v>
      </c>
      <c r="K2025" s="33" t="s">
        <v>16</v>
      </c>
      <c r="L2025" s="38">
        <f t="shared" si="65"/>
        <v>4450.6601999999993</v>
      </c>
      <c r="M2025" s="38">
        <v>2001.88</v>
      </c>
      <c r="N2025" s="24">
        <f>_xlfn.XLOOKUP(Snitch_Fashion_Sales_cleaned!$J2025,Table2[City],Table2[City_Key],"not found")</f>
        <v>1</v>
      </c>
      <c r="O2025" s="23">
        <f>_xlfn.XLOOKUP(Snitch_Fashion_Sales_cleaned!$D2025,Table4[Product_Name],Table4[Product_Key],"not found")</f>
        <v>9</v>
      </c>
      <c r="P2025" s="32">
        <f>_xlfn.XLOOKUP(Snitch_Fashion_Sales_cleaned!$I2025,Table3[Order_Date],Table3[Date_Key])</f>
        <v>528</v>
      </c>
    </row>
    <row r="2026" spans="1:16" x14ac:dyDescent="0.3">
      <c r="A2026" s="27">
        <v>3024</v>
      </c>
      <c r="B2026" s="25" t="s">
        <v>2047</v>
      </c>
      <c r="C2026" s="25" t="s">
        <v>31</v>
      </c>
      <c r="D2026" s="26" t="s">
        <v>68</v>
      </c>
      <c r="E2026" s="27">
        <v>4</v>
      </c>
      <c r="F2026" s="28">
        <v>2765.79</v>
      </c>
      <c r="G2026" s="29">
        <v>0.18</v>
      </c>
      <c r="H2026" s="28">
        <f t="shared" si="64"/>
        <v>11063.16</v>
      </c>
      <c r="I2026" s="30">
        <v>45647</v>
      </c>
      <c r="J2026" s="26" t="s">
        <v>22</v>
      </c>
      <c r="K2026" s="26" t="s">
        <v>23</v>
      </c>
      <c r="L2026" s="31">
        <f t="shared" si="65"/>
        <v>9071.7911999999997</v>
      </c>
      <c r="M2026" s="31">
        <v>1505.68</v>
      </c>
      <c r="N2026" s="22">
        <f>_xlfn.XLOOKUP(Snitch_Fashion_Sales_cleaned!$J2026,Table2[City],Table2[City_Key],"not found")</f>
        <v>3</v>
      </c>
      <c r="O2026" s="21">
        <f>_xlfn.XLOOKUP(Snitch_Fashion_Sales_cleaned!$D2026,Table4[Product_Name],Table4[Product_Key],"not found")</f>
        <v>15</v>
      </c>
      <c r="P2026" s="25">
        <f>_xlfn.XLOOKUP(Snitch_Fashion_Sales_cleaned!$I2026,Table3[Order_Date],Table3[Date_Key])</f>
        <v>5</v>
      </c>
    </row>
    <row r="2027" spans="1:16" x14ac:dyDescent="0.3">
      <c r="A2027" s="34">
        <v>3025</v>
      </c>
      <c r="B2027" s="32" t="s">
        <v>2048</v>
      </c>
      <c r="C2027" s="32" t="s">
        <v>28</v>
      </c>
      <c r="D2027" s="33" t="s">
        <v>29</v>
      </c>
      <c r="E2027" s="34">
        <v>2</v>
      </c>
      <c r="F2027" s="35">
        <v>2515.415</v>
      </c>
      <c r="G2027" s="36">
        <v>0.51</v>
      </c>
      <c r="H2027" s="35">
        <f t="shared" si="64"/>
        <v>5030.83</v>
      </c>
      <c r="I2027" s="37">
        <v>45284</v>
      </c>
      <c r="J2027" s="33" t="s">
        <v>2540</v>
      </c>
      <c r="K2027" s="33" t="s">
        <v>16</v>
      </c>
      <c r="L2027" s="38">
        <f t="shared" si="65"/>
        <v>2465.1066999999998</v>
      </c>
      <c r="M2027" s="38">
        <v>2275.0700000000002</v>
      </c>
      <c r="N2027" s="24">
        <f>_xlfn.XLOOKUP(Snitch_Fashion_Sales_cleaned!$J2027,Table2[City],Table2[City_Key],"not found")</f>
        <v>4</v>
      </c>
      <c r="O2027" s="23">
        <f>_xlfn.XLOOKUP(Snitch_Fashion_Sales_cleaned!$D2027,Table4[Product_Name],Table4[Product_Key],"not found")</f>
        <v>4</v>
      </c>
      <c r="P2027" s="32">
        <f>_xlfn.XLOOKUP(Snitch_Fashion_Sales_cleaned!$I2027,Table3[Order_Date],Table3[Date_Key])</f>
        <v>184</v>
      </c>
    </row>
    <row r="2028" spans="1:16" x14ac:dyDescent="0.3">
      <c r="A2028" s="27">
        <v>3026</v>
      </c>
      <c r="B2028" s="25" t="s">
        <v>2049</v>
      </c>
      <c r="C2028" s="25" t="s">
        <v>13</v>
      </c>
      <c r="D2028" s="26" t="s">
        <v>46</v>
      </c>
      <c r="E2028" s="27">
        <v>4</v>
      </c>
      <c r="F2028" s="28">
        <v>3345.45</v>
      </c>
      <c r="G2028" s="29">
        <v>0.51</v>
      </c>
      <c r="H2028" s="28">
        <f t="shared" si="64"/>
        <v>13381.8</v>
      </c>
      <c r="I2028" s="30">
        <v>45512</v>
      </c>
      <c r="J2028" s="26" t="s">
        <v>52</v>
      </c>
      <c r="K2028" s="26" t="s">
        <v>16</v>
      </c>
      <c r="L2028" s="31">
        <f t="shared" si="65"/>
        <v>6557.0819999999994</v>
      </c>
      <c r="M2028" s="31">
        <v>2896.95</v>
      </c>
      <c r="N2028" s="22">
        <f>_xlfn.XLOOKUP(Snitch_Fashion_Sales_cleaned!$J2028,Table2[City],Table2[City_Key],"not found")</f>
        <v>5</v>
      </c>
      <c r="O2028" s="21">
        <f>_xlfn.XLOOKUP(Snitch_Fashion_Sales_cleaned!$D2028,Table4[Product_Name],Table4[Product_Key],"not found")</f>
        <v>10</v>
      </c>
      <c r="P2028" s="25">
        <f>_xlfn.XLOOKUP(Snitch_Fashion_Sales_cleaned!$I2028,Table3[Order_Date],Table3[Date_Key])</f>
        <v>119</v>
      </c>
    </row>
    <row r="2029" spans="1:16" x14ac:dyDescent="0.3">
      <c r="A2029" s="34">
        <v>3027</v>
      </c>
      <c r="B2029" s="32" t="s">
        <v>2050</v>
      </c>
      <c r="C2029" s="32" t="s">
        <v>28</v>
      </c>
      <c r="D2029" s="33" t="s">
        <v>116</v>
      </c>
      <c r="E2029" s="34">
        <v>4</v>
      </c>
      <c r="F2029" s="35">
        <v>2785.79</v>
      </c>
      <c r="G2029" s="36">
        <v>0.51</v>
      </c>
      <c r="H2029" s="35">
        <f t="shared" si="64"/>
        <v>11143.16</v>
      </c>
      <c r="I2029" s="37">
        <v>45595</v>
      </c>
      <c r="J2029" s="33" t="s">
        <v>22</v>
      </c>
      <c r="K2029" s="33" t="s">
        <v>23</v>
      </c>
      <c r="L2029" s="38">
        <f t="shared" si="65"/>
        <v>5460.1484</v>
      </c>
      <c r="M2029" s="38">
        <v>1256.47</v>
      </c>
      <c r="N2029" s="24">
        <f>_xlfn.XLOOKUP(Snitch_Fashion_Sales_cleaned!$J2029,Table2[City],Table2[City_Key],"not found")</f>
        <v>3</v>
      </c>
      <c r="O2029" s="23">
        <f>_xlfn.XLOOKUP(Snitch_Fashion_Sales_cleaned!$D2029,Table4[Product_Name],Table4[Product_Key],"not found")</f>
        <v>22</v>
      </c>
      <c r="P2029" s="32">
        <f>_xlfn.XLOOKUP(Snitch_Fashion_Sales_cleaned!$I2029,Table3[Order_Date],Table3[Date_Key])</f>
        <v>135</v>
      </c>
    </row>
    <row r="2030" spans="1:16" x14ac:dyDescent="0.3">
      <c r="A2030" s="27">
        <v>3028</v>
      </c>
      <c r="B2030" s="25" t="s">
        <v>2051</v>
      </c>
      <c r="C2030" s="25" t="s">
        <v>25</v>
      </c>
      <c r="D2030" s="26" t="s">
        <v>62</v>
      </c>
      <c r="E2030" s="27">
        <v>4</v>
      </c>
      <c r="F2030" s="28">
        <v>2538.0450000000001</v>
      </c>
      <c r="G2030" s="29">
        <v>0.74</v>
      </c>
      <c r="H2030" s="28">
        <f t="shared" si="64"/>
        <v>10152.18</v>
      </c>
      <c r="I2030" s="30">
        <v>45664</v>
      </c>
      <c r="J2030" s="26" t="s">
        <v>2540</v>
      </c>
      <c r="K2030" s="26" t="s">
        <v>23</v>
      </c>
      <c r="L2030" s="31">
        <f t="shared" si="65"/>
        <v>2639.5668000000001</v>
      </c>
      <c r="M2030" s="31">
        <v>-436.73</v>
      </c>
      <c r="N2030" s="22">
        <f>_xlfn.XLOOKUP(Snitch_Fashion_Sales_cleaned!$J2030,Table2[City],Table2[City_Key],"not found")</f>
        <v>4</v>
      </c>
      <c r="O2030" s="21">
        <f>_xlfn.XLOOKUP(Snitch_Fashion_Sales_cleaned!$D2030,Table4[Product_Name],Table4[Product_Key],"not found")</f>
        <v>14</v>
      </c>
      <c r="P2030" s="25">
        <f>_xlfn.XLOOKUP(Snitch_Fashion_Sales_cleaned!$I2030,Table3[Order_Date],Table3[Date_Key])</f>
        <v>52</v>
      </c>
    </row>
    <row r="2031" spans="1:16" x14ac:dyDescent="0.3">
      <c r="A2031" s="34">
        <v>1031</v>
      </c>
      <c r="B2031" s="32" t="s">
        <v>2052</v>
      </c>
      <c r="C2031" s="32" t="s">
        <v>13</v>
      </c>
      <c r="D2031" s="33" t="s">
        <v>14</v>
      </c>
      <c r="E2031" s="34">
        <v>4</v>
      </c>
      <c r="F2031" s="35">
        <v>2267.3000000000002</v>
      </c>
      <c r="G2031" s="36">
        <v>0.91</v>
      </c>
      <c r="H2031" s="35">
        <f t="shared" si="64"/>
        <v>9069.2000000000007</v>
      </c>
      <c r="I2031" s="37">
        <v>45732</v>
      </c>
      <c r="J2031" s="33" t="s">
        <v>2540</v>
      </c>
      <c r="K2031" s="33" t="s">
        <v>16</v>
      </c>
      <c r="L2031" s="38">
        <f t="shared" si="65"/>
        <v>816.22799999999984</v>
      </c>
      <c r="M2031" s="38">
        <v>204.05699999999996</v>
      </c>
      <c r="N2031" s="24">
        <f>_xlfn.XLOOKUP(Snitch_Fashion_Sales_cleaned!$J2031,Table2[City],Table2[City_Key],"not found")</f>
        <v>4</v>
      </c>
      <c r="O2031" s="23">
        <f>_xlfn.XLOOKUP(Snitch_Fashion_Sales_cleaned!$D2031,Table4[Product_Name],Table4[Product_Key],"not found")</f>
        <v>1</v>
      </c>
      <c r="P2031" s="32">
        <f>_xlfn.XLOOKUP(Snitch_Fashion_Sales_cleaned!$I2031,Table3[Order_Date],Table3[Date_Key])</f>
        <v>57</v>
      </c>
    </row>
    <row r="2032" spans="1:16" x14ac:dyDescent="0.3">
      <c r="A2032" s="27">
        <v>3030</v>
      </c>
      <c r="B2032" s="25" t="s">
        <v>274</v>
      </c>
      <c r="C2032" s="25" t="s">
        <v>28</v>
      </c>
      <c r="D2032" s="26" t="s">
        <v>116</v>
      </c>
      <c r="E2032" s="27">
        <v>4</v>
      </c>
      <c r="F2032" s="28">
        <v>4101.8900000000003</v>
      </c>
      <c r="G2032" s="29">
        <v>0.51</v>
      </c>
      <c r="H2032" s="28">
        <f t="shared" si="64"/>
        <v>16407.560000000001</v>
      </c>
      <c r="I2032" s="30">
        <v>45646</v>
      </c>
      <c r="J2032" s="26" t="s">
        <v>15</v>
      </c>
      <c r="K2032" s="26" t="s">
        <v>16</v>
      </c>
      <c r="L2032" s="31">
        <f t="shared" si="65"/>
        <v>8039.7044000000005</v>
      </c>
      <c r="M2032" s="31">
        <v>1196.03</v>
      </c>
      <c r="N2032" s="22">
        <f>_xlfn.XLOOKUP(Snitch_Fashion_Sales_cleaned!$J2032,Table2[City],Table2[City_Key],"not found")</f>
        <v>1</v>
      </c>
      <c r="O2032" s="21">
        <f>_xlfn.XLOOKUP(Snitch_Fashion_Sales_cleaned!$D2032,Table4[Product_Name],Table4[Product_Key],"not found")</f>
        <v>22</v>
      </c>
      <c r="P2032" s="25">
        <f>_xlfn.XLOOKUP(Snitch_Fashion_Sales_cleaned!$I2032,Table3[Order_Date],Table3[Date_Key])</f>
        <v>529</v>
      </c>
    </row>
    <row r="2033" spans="1:16" x14ac:dyDescent="0.3">
      <c r="A2033" s="34">
        <v>3031</v>
      </c>
      <c r="B2033" s="32" t="s">
        <v>2053</v>
      </c>
      <c r="C2033" s="32" t="s">
        <v>20</v>
      </c>
      <c r="D2033" s="33" t="s">
        <v>118</v>
      </c>
      <c r="E2033" s="34">
        <v>3.5</v>
      </c>
      <c r="F2033" s="35">
        <v>2752.99</v>
      </c>
      <c r="G2033" s="36">
        <v>0.51</v>
      </c>
      <c r="H2033" s="35">
        <f t="shared" si="64"/>
        <v>9635.4650000000001</v>
      </c>
      <c r="I2033" s="37">
        <v>45501</v>
      </c>
      <c r="J2033" s="33" t="s">
        <v>52</v>
      </c>
      <c r="K2033" s="33" t="s">
        <v>16</v>
      </c>
      <c r="L2033" s="38">
        <f t="shared" si="65"/>
        <v>4721.3778499999999</v>
      </c>
      <c r="M2033" s="38">
        <v>-970.17</v>
      </c>
      <c r="N2033" s="24">
        <f>_xlfn.XLOOKUP(Snitch_Fashion_Sales_cleaned!$J2033,Table2[City],Table2[City_Key],"not found")</f>
        <v>5</v>
      </c>
      <c r="O2033" s="23">
        <f>_xlfn.XLOOKUP(Snitch_Fashion_Sales_cleaned!$D2033,Table4[Product_Name],Table4[Product_Key],"not found")</f>
        <v>23</v>
      </c>
      <c r="P2033" s="32">
        <f>_xlfn.XLOOKUP(Snitch_Fashion_Sales_cleaned!$I2033,Table3[Order_Date],Table3[Date_Key])</f>
        <v>417</v>
      </c>
    </row>
    <row r="2034" spans="1:16" x14ac:dyDescent="0.3">
      <c r="A2034" s="27">
        <v>3032</v>
      </c>
      <c r="B2034" s="25" t="s">
        <v>2054</v>
      </c>
      <c r="C2034" s="25" t="s">
        <v>25</v>
      </c>
      <c r="D2034" s="26" t="s">
        <v>62</v>
      </c>
      <c r="E2034" s="27">
        <v>5</v>
      </c>
      <c r="F2034" s="28">
        <v>3654.9</v>
      </c>
      <c r="G2034" s="29">
        <v>0.51</v>
      </c>
      <c r="H2034" s="28">
        <f t="shared" si="64"/>
        <v>18274.5</v>
      </c>
      <c r="I2034" s="30">
        <v>45647</v>
      </c>
      <c r="J2034" s="26" t="s">
        <v>18</v>
      </c>
      <c r="K2034" s="26" t="s">
        <v>23</v>
      </c>
      <c r="L2034" s="31">
        <f t="shared" si="65"/>
        <v>8954.5049999999992</v>
      </c>
      <c r="M2034" s="31">
        <v>1069.81</v>
      </c>
      <c r="N2034" s="22">
        <f>_xlfn.XLOOKUP(Snitch_Fashion_Sales_cleaned!$J2034,Table2[City],Table2[City_Key],"not found")</f>
        <v>2</v>
      </c>
      <c r="O2034" s="21">
        <f>_xlfn.XLOOKUP(Snitch_Fashion_Sales_cleaned!$D2034,Table4[Product_Name],Table4[Product_Key],"not found")</f>
        <v>14</v>
      </c>
      <c r="P2034" s="25">
        <f>_xlfn.XLOOKUP(Snitch_Fashion_Sales_cleaned!$I2034,Table3[Order_Date],Table3[Date_Key])</f>
        <v>5</v>
      </c>
    </row>
    <row r="2035" spans="1:16" x14ac:dyDescent="0.3">
      <c r="A2035" s="34">
        <v>3033</v>
      </c>
      <c r="B2035" s="32" t="s">
        <v>2055</v>
      </c>
      <c r="C2035" s="32" t="s">
        <v>31</v>
      </c>
      <c r="D2035" s="33" t="s">
        <v>68</v>
      </c>
      <c r="E2035" s="34">
        <v>4</v>
      </c>
      <c r="F2035" s="35">
        <v>1787.52</v>
      </c>
      <c r="G2035" s="36">
        <v>0.51</v>
      </c>
      <c r="H2035" s="35">
        <f t="shared" si="64"/>
        <v>7150.08</v>
      </c>
      <c r="I2035" s="37">
        <v>45702</v>
      </c>
      <c r="J2035" s="33" t="s">
        <v>52</v>
      </c>
      <c r="K2035" s="33" t="s">
        <v>23</v>
      </c>
      <c r="L2035" s="38">
        <f t="shared" si="65"/>
        <v>3503.5391999999997</v>
      </c>
      <c r="M2035" s="38">
        <v>2626.27</v>
      </c>
      <c r="N2035" s="24">
        <f>_xlfn.XLOOKUP(Snitch_Fashion_Sales_cleaned!$J2035,Table2[City],Table2[City_Key],"not found")</f>
        <v>5</v>
      </c>
      <c r="O2035" s="23">
        <f>_xlfn.XLOOKUP(Snitch_Fashion_Sales_cleaned!$D2035,Table4[Product_Name],Table4[Product_Key],"not found")</f>
        <v>15</v>
      </c>
      <c r="P2035" s="32">
        <f>_xlfn.XLOOKUP(Snitch_Fashion_Sales_cleaned!$I2035,Table3[Order_Date],Table3[Date_Key])</f>
        <v>154</v>
      </c>
    </row>
    <row r="2036" spans="1:16" x14ac:dyDescent="0.3">
      <c r="A2036" s="27">
        <v>3034</v>
      </c>
      <c r="B2036" s="25" t="s">
        <v>2056</v>
      </c>
      <c r="C2036" s="25" t="s">
        <v>31</v>
      </c>
      <c r="D2036" s="26" t="s">
        <v>41</v>
      </c>
      <c r="E2036" s="27">
        <v>3</v>
      </c>
      <c r="F2036" s="28">
        <v>3027.66</v>
      </c>
      <c r="G2036" s="29">
        <v>0.51</v>
      </c>
      <c r="H2036" s="28">
        <f t="shared" si="64"/>
        <v>9082.98</v>
      </c>
      <c r="I2036" s="30">
        <v>45647</v>
      </c>
      <c r="J2036" s="26" t="s">
        <v>18</v>
      </c>
      <c r="K2036" s="26" t="s">
        <v>23</v>
      </c>
      <c r="L2036" s="31">
        <f t="shared" si="65"/>
        <v>4450.6601999999993</v>
      </c>
      <c r="M2036" s="31">
        <v>2599.13</v>
      </c>
      <c r="N2036" s="22">
        <f>_xlfn.XLOOKUP(Snitch_Fashion_Sales_cleaned!$J2036,Table2[City],Table2[City_Key],"not found")</f>
        <v>2</v>
      </c>
      <c r="O2036" s="21">
        <f>_xlfn.XLOOKUP(Snitch_Fashion_Sales_cleaned!$D2036,Table4[Product_Name],Table4[Product_Key],"not found")</f>
        <v>9</v>
      </c>
      <c r="P2036" s="25">
        <f>_xlfn.XLOOKUP(Snitch_Fashion_Sales_cleaned!$I2036,Table3[Order_Date],Table3[Date_Key])</f>
        <v>5</v>
      </c>
    </row>
    <row r="2037" spans="1:16" x14ac:dyDescent="0.3">
      <c r="A2037" s="34">
        <v>3035</v>
      </c>
      <c r="B2037" s="32" t="s">
        <v>2057</v>
      </c>
      <c r="C2037" s="32" t="s">
        <v>36</v>
      </c>
      <c r="D2037" s="33" t="s">
        <v>37</v>
      </c>
      <c r="E2037" s="34">
        <v>4</v>
      </c>
      <c r="F2037" s="35">
        <v>2975.64</v>
      </c>
      <c r="G2037" s="36">
        <v>1</v>
      </c>
      <c r="H2037" s="35">
        <f t="shared" si="64"/>
        <v>11902.56</v>
      </c>
      <c r="I2037" s="37">
        <v>45647</v>
      </c>
      <c r="J2037" s="33" t="s">
        <v>2540</v>
      </c>
      <c r="K2037" s="33" t="s">
        <v>23</v>
      </c>
      <c r="L2037" s="38">
        <f t="shared" si="65"/>
        <v>0</v>
      </c>
      <c r="M2037" s="38">
        <v>0</v>
      </c>
      <c r="N2037" s="24">
        <f>_xlfn.XLOOKUP(Snitch_Fashion_Sales_cleaned!$J2037,Table2[City],Table2[City_Key],"not found")</f>
        <v>4</v>
      </c>
      <c r="O2037" s="23">
        <f>_xlfn.XLOOKUP(Snitch_Fashion_Sales_cleaned!$D2037,Table4[Product_Name],Table4[Product_Key],"not found")</f>
        <v>7</v>
      </c>
      <c r="P2037" s="32">
        <f>_xlfn.XLOOKUP(Snitch_Fashion_Sales_cleaned!$I2037,Table3[Order_Date],Table3[Date_Key])</f>
        <v>5</v>
      </c>
    </row>
    <row r="2038" spans="1:16" x14ac:dyDescent="0.3">
      <c r="A2038" s="27">
        <v>3036</v>
      </c>
      <c r="B2038" s="25" t="s">
        <v>2058</v>
      </c>
      <c r="C2038" s="25" t="s">
        <v>36</v>
      </c>
      <c r="D2038" s="26" t="s">
        <v>87</v>
      </c>
      <c r="E2038" s="27">
        <v>4</v>
      </c>
      <c r="F2038" s="28">
        <v>3997.83</v>
      </c>
      <c r="G2038" s="29">
        <v>0.51</v>
      </c>
      <c r="H2038" s="28">
        <f t="shared" si="64"/>
        <v>15991.32</v>
      </c>
      <c r="I2038" s="30">
        <v>45784</v>
      </c>
      <c r="J2038" s="26" t="s">
        <v>15</v>
      </c>
      <c r="K2038" s="26" t="s">
        <v>23</v>
      </c>
      <c r="L2038" s="31">
        <f t="shared" si="65"/>
        <v>7835.7467999999999</v>
      </c>
      <c r="M2038" s="31">
        <v>1399.12</v>
      </c>
      <c r="N2038" s="22">
        <f>_xlfn.XLOOKUP(Snitch_Fashion_Sales_cleaned!$J2038,Table2[City],Table2[City_Key],"not found")</f>
        <v>1</v>
      </c>
      <c r="O2038" s="21">
        <f>_xlfn.XLOOKUP(Snitch_Fashion_Sales_cleaned!$D2038,Table4[Product_Name],Table4[Product_Key],"not found")</f>
        <v>20</v>
      </c>
      <c r="P2038" s="25">
        <f>_xlfn.XLOOKUP(Snitch_Fashion_Sales_cleaned!$I2038,Table3[Order_Date],Table3[Date_Key])</f>
        <v>512</v>
      </c>
    </row>
    <row r="2039" spans="1:16" x14ac:dyDescent="0.3">
      <c r="A2039" s="34">
        <v>3037</v>
      </c>
      <c r="B2039" s="32" t="s">
        <v>2059</v>
      </c>
      <c r="C2039" s="32" t="s">
        <v>20</v>
      </c>
      <c r="D2039" s="33" t="s">
        <v>21</v>
      </c>
      <c r="E2039" s="34">
        <v>4</v>
      </c>
      <c r="F2039" s="35">
        <v>2579.8000000000002</v>
      </c>
      <c r="G2039" s="36">
        <v>0.85</v>
      </c>
      <c r="H2039" s="35">
        <f t="shared" si="64"/>
        <v>10319.200000000001</v>
      </c>
      <c r="I2039" s="37">
        <v>45518</v>
      </c>
      <c r="J2039" s="33" t="s">
        <v>15</v>
      </c>
      <c r="K2039" s="33" t="s">
        <v>16</v>
      </c>
      <c r="L2039" s="38">
        <f t="shared" si="65"/>
        <v>1547.8800000000003</v>
      </c>
      <c r="M2039" s="38">
        <v>-298.81</v>
      </c>
      <c r="N2039" s="24">
        <f>_xlfn.XLOOKUP(Snitch_Fashion_Sales_cleaned!$J2039,Table2[City],Table2[City_Key],"not found")</f>
        <v>1</v>
      </c>
      <c r="O2039" s="23">
        <f>_xlfn.XLOOKUP(Snitch_Fashion_Sales_cleaned!$D2039,Table4[Product_Name],Table4[Product_Key],"not found")</f>
        <v>2</v>
      </c>
      <c r="P2039" s="32">
        <f>_xlfn.XLOOKUP(Snitch_Fashion_Sales_cleaned!$I2039,Table3[Order_Date],Table3[Date_Key])</f>
        <v>43</v>
      </c>
    </row>
    <row r="2040" spans="1:16" x14ac:dyDescent="0.3">
      <c r="A2040" s="27">
        <v>3038</v>
      </c>
      <c r="B2040" s="25" t="s">
        <v>2060</v>
      </c>
      <c r="C2040" s="25" t="s">
        <v>20</v>
      </c>
      <c r="D2040" s="26" t="s">
        <v>76</v>
      </c>
      <c r="E2040" s="27">
        <v>3</v>
      </c>
      <c r="F2040" s="28">
        <v>1318.04</v>
      </c>
      <c r="G2040" s="29">
        <v>0.51</v>
      </c>
      <c r="H2040" s="28">
        <f t="shared" si="64"/>
        <v>3954.12</v>
      </c>
      <c r="I2040" s="30">
        <v>45696</v>
      </c>
      <c r="J2040" s="26" t="s">
        <v>18</v>
      </c>
      <c r="K2040" s="26" t="s">
        <v>16</v>
      </c>
      <c r="L2040" s="31">
        <f t="shared" si="65"/>
        <v>1937.5187999999998</v>
      </c>
      <c r="M2040" s="31">
        <v>-19.53</v>
      </c>
      <c r="N2040" s="22">
        <f>_xlfn.XLOOKUP(Snitch_Fashion_Sales_cleaned!$J2040,Table2[City],Table2[City_Key],"not found")</f>
        <v>2</v>
      </c>
      <c r="O2040" s="21">
        <f>_xlfn.XLOOKUP(Snitch_Fashion_Sales_cleaned!$D2040,Table4[Product_Name],Table4[Product_Key],"not found")</f>
        <v>16</v>
      </c>
      <c r="P2040" s="25">
        <f>_xlfn.XLOOKUP(Snitch_Fashion_Sales_cleaned!$I2040,Table3[Order_Date],Table3[Date_Key])</f>
        <v>367</v>
      </c>
    </row>
    <row r="2041" spans="1:16" x14ac:dyDescent="0.3">
      <c r="A2041" s="34">
        <v>3039</v>
      </c>
      <c r="B2041" s="32" t="s">
        <v>2061</v>
      </c>
      <c r="C2041" s="32" t="s">
        <v>13</v>
      </c>
      <c r="D2041" s="33" t="s">
        <v>14</v>
      </c>
      <c r="E2041" s="34">
        <v>4</v>
      </c>
      <c r="F2041" s="35">
        <v>2366.6149999999998</v>
      </c>
      <c r="G2041" s="36">
        <v>0.51</v>
      </c>
      <c r="H2041" s="35">
        <f t="shared" si="64"/>
        <v>9466.4599999999991</v>
      </c>
      <c r="I2041" s="37">
        <v>45647</v>
      </c>
      <c r="J2041" s="33" t="s">
        <v>43</v>
      </c>
      <c r="K2041" s="33" t="s">
        <v>23</v>
      </c>
      <c r="L2041" s="38">
        <f t="shared" si="65"/>
        <v>4638.5653999999995</v>
      </c>
      <c r="M2041" s="38">
        <v>748.79</v>
      </c>
      <c r="N2041" s="24">
        <f>_xlfn.XLOOKUP(Snitch_Fashion_Sales_cleaned!$J2041,Table2[City],Table2[City_Key],"not found")</f>
        <v>6</v>
      </c>
      <c r="O2041" s="23">
        <f>_xlfn.XLOOKUP(Snitch_Fashion_Sales_cleaned!$D2041,Table4[Product_Name],Table4[Product_Key],"not found")</f>
        <v>1</v>
      </c>
      <c r="P2041" s="32">
        <f>_xlfn.XLOOKUP(Snitch_Fashion_Sales_cleaned!$I2041,Table3[Order_Date],Table3[Date_Key])</f>
        <v>5</v>
      </c>
    </row>
    <row r="2042" spans="1:16" x14ac:dyDescent="0.3">
      <c r="A2042" s="27">
        <v>3040</v>
      </c>
      <c r="B2042" s="25" t="s">
        <v>2062</v>
      </c>
      <c r="C2042" s="25" t="s">
        <v>25</v>
      </c>
      <c r="D2042" s="26" t="s">
        <v>62</v>
      </c>
      <c r="E2042" s="27">
        <v>4</v>
      </c>
      <c r="F2042" s="28">
        <v>2538.0450000000001</v>
      </c>
      <c r="G2042" s="29">
        <v>0.51</v>
      </c>
      <c r="H2042" s="28">
        <f t="shared" si="64"/>
        <v>10152.18</v>
      </c>
      <c r="I2042" s="30">
        <v>45735</v>
      </c>
      <c r="J2042" s="26" t="s">
        <v>52</v>
      </c>
      <c r="K2042" s="26" t="s">
        <v>23</v>
      </c>
      <c r="L2042" s="31">
        <f t="shared" si="65"/>
        <v>4974.5681999999997</v>
      </c>
      <c r="M2042" s="31">
        <v>2991.73</v>
      </c>
      <c r="N2042" s="22">
        <f>_xlfn.XLOOKUP(Snitch_Fashion_Sales_cleaned!$J2042,Table2[City],Table2[City_Key],"not found")</f>
        <v>5</v>
      </c>
      <c r="O2042" s="21">
        <f>_xlfn.XLOOKUP(Snitch_Fashion_Sales_cleaned!$D2042,Table4[Product_Name],Table4[Product_Key],"not found")</f>
        <v>14</v>
      </c>
      <c r="P2042" s="25">
        <f>_xlfn.XLOOKUP(Snitch_Fashion_Sales_cleaned!$I2042,Table3[Order_Date],Table3[Date_Key])</f>
        <v>15</v>
      </c>
    </row>
    <row r="2043" spans="1:16" x14ac:dyDescent="0.3">
      <c r="A2043" s="34">
        <v>3041</v>
      </c>
      <c r="B2043" s="32" t="s">
        <v>2063</v>
      </c>
      <c r="C2043" s="32" t="s">
        <v>20</v>
      </c>
      <c r="D2043" s="33" t="s">
        <v>76</v>
      </c>
      <c r="E2043" s="34">
        <v>3</v>
      </c>
      <c r="F2043" s="35">
        <v>2229.4899999999998</v>
      </c>
      <c r="G2043" s="36">
        <v>0.51</v>
      </c>
      <c r="H2043" s="35">
        <f t="shared" si="64"/>
        <v>6688.4699999999993</v>
      </c>
      <c r="I2043" s="37">
        <v>45631</v>
      </c>
      <c r="J2043" s="33" t="s">
        <v>52</v>
      </c>
      <c r="K2043" s="33" t="s">
        <v>23</v>
      </c>
      <c r="L2043" s="38">
        <f t="shared" si="65"/>
        <v>3277.3502999999996</v>
      </c>
      <c r="M2043" s="38">
        <v>2179.9299999999998</v>
      </c>
      <c r="N2043" s="24">
        <f>_xlfn.XLOOKUP(Snitch_Fashion_Sales_cleaned!$J2043,Table2[City],Table2[City_Key],"not found")</f>
        <v>5</v>
      </c>
      <c r="O2043" s="23">
        <f>_xlfn.XLOOKUP(Snitch_Fashion_Sales_cleaned!$D2043,Table4[Product_Name],Table4[Product_Key],"not found")</f>
        <v>16</v>
      </c>
      <c r="P2043" s="32">
        <f>_xlfn.XLOOKUP(Snitch_Fashion_Sales_cleaned!$I2043,Table3[Order_Date],Table3[Date_Key])</f>
        <v>397</v>
      </c>
    </row>
    <row r="2044" spans="1:16" x14ac:dyDescent="0.3">
      <c r="A2044" s="27">
        <v>3042</v>
      </c>
      <c r="B2044" s="25" t="s">
        <v>2064</v>
      </c>
      <c r="C2044" s="25" t="s">
        <v>20</v>
      </c>
      <c r="D2044" s="26" t="s">
        <v>118</v>
      </c>
      <c r="E2044" s="27">
        <v>3</v>
      </c>
      <c r="F2044" s="28">
        <v>848.45</v>
      </c>
      <c r="G2044" s="29">
        <v>0.51</v>
      </c>
      <c r="H2044" s="28">
        <f t="shared" si="64"/>
        <v>2545.3500000000004</v>
      </c>
      <c r="I2044" s="30">
        <v>45647</v>
      </c>
      <c r="J2044" s="26" t="s">
        <v>2540</v>
      </c>
      <c r="K2044" s="26" t="s">
        <v>16</v>
      </c>
      <c r="L2044" s="31">
        <f t="shared" si="65"/>
        <v>1247.2215000000001</v>
      </c>
      <c r="M2044" s="31">
        <v>311.80537500000003</v>
      </c>
      <c r="N2044" s="22">
        <f>_xlfn.XLOOKUP(Snitch_Fashion_Sales_cleaned!$J2044,Table2[City],Table2[City_Key],"not found")</f>
        <v>4</v>
      </c>
      <c r="O2044" s="21">
        <f>_xlfn.XLOOKUP(Snitch_Fashion_Sales_cleaned!$D2044,Table4[Product_Name],Table4[Product_Key],"not found")</f>
        <v>23</v>
      </c>
      <c r="P2044" s="25">
        <f>_xlfn.XLOOKUP(Snitch_Fashion_Sales_cleaned!$I2044,Table3[Order_Date],Table3[Date_Key])</f>
        <v>5</v>
      </c>
    </row>
    <row r="2045" spans="1:16" x14ac:dyDescent="0.3">
      <c r="A2045" s="34">
        <v>3043</v>
      </c>
      <c r="B2045" s="32" t="s">
        <v>2065</v>
      </c>
      <c r="C2045" s="32" t="s">
        <v>28</v>
      </c>
      <c r="D2045" s="33" t="s">
        <v>137</v>
      </c>
      <c r="E2045" s="34">
        <v>3.5</v>
      </c>
      <c r="F2045" s="35">
        <v>1137.77</v>
      </c>
      <c r="G2045" s="36">
        <v>0.51</v>
      </c>
      <c r="H2045" s="35">
        <f t="shared" si="64"/>
        <v>3982.1949999999997</v>
      </c>
      <c r="I2045" s="37">
        <v>45264</v>
      </c>
      <c r="J2045" s="33" t="s">
        <v>15</v>
      </c>
      <c r="K2045" s="33" t="s">
        <v>16</v>
      </c>
      <c r="L2045" s="38">
        <f t="shared" si="65"/>
        <v>1951.2755499999998</v>
      </c>
      <c r="M2045" s="38">
        <v>-471.37</v>
      </c>
      <c r="N2045" s="24">
        <f>_xlfn.XLOOKUP(Snitch_Fashion_Sales_cleaned!$J2045,Table2[City],Table2[City_Key],"not found")</f>
        <v>1</v>
      </c>
      <c r="O2045" s="23">
        <f>_xlfn.XLOOKUP(Snitch_Fashion_Sales_cleaned!$D2045,Table4[Product_Name],Table4[Product_Key],"not found")</f>
        <v>24</v>
      </c>
      <c r="P2045" s="32">
        <f>_xlfn.XLOOKUP(Snitch_Fashion_Sales_cleaned!$I2045,Table3[Order_Date],Table3[Date_Key])</f>
        <v>530</v>
      </c>
    </row>
    <row r="2046" spans="1:16" x14ac:dyDescent="0.3">
      <c r="A2046" s="27">
        <v>3044</v>
      </c>
      <c r="B2046" s="25" t="s">
        <v>2066</v>
      </c>
      <c r="C2046" s="25" t="s">
        <v>31</v>
      </c>
      <c r="D2046" s="26" t="s">
        <v>41</v>
      </c>
      <c r="E2046" s="27">
        <v>3</v>
      </c>
      <c r="F2046" s="28">
        <v>431.31</v>
      </c>
      <c r="G2046" s="29">
        <v>0.51</v>
      </c>
      <c r="H2046" s="28">
        <f t="shared" si="64"/>
        <v>1293.93</v>
      </c>
      <c r="I2046" s="30">
        <v>45811</v>
      </c>
      <c r="J2046" s="26" t="s">
        <v>22</v>
      </c>
      <c r="K2046" s="26" t="s">
        <v>16</v>
      </c>
      <c r="L2046" s="31">
        <f t="shared" si="65"/>
        <v>634.02570000000003</v>
      </c>
      <c r="M2046" s="31">
        <v>158.50642500000001</v>
      </c>
      <c r="N2046" s="22">
        <f>_xlfn.XLOOKUP(Snitch_Fashion_Sales_cleaned!$J2046,Table2[City],Table2[City_Key],"not found")</f>
        <v>3</v>
      </c>
      <c r="O2046" s="21">
        <f>_xlfn.XLOOKUP(Snitch_Fashion_Sales_cleaned!$D2046,Table4[Product_Name],Table4[Product_Key],"not found")</f>
        <v>9</v>
      </c>
      <c r="P2046" s="25">
        <f>_xlfn.XLOOKUP(Snitch_Fashion_Sales_cleaned!$I2046,Table3[Order_Date],Table3[Date_Key])</f>
        <v>368</v>
      </c>
    </row>
    <row r="2047" spans="1:16" x14ac:dyDescent="0.3">
      <c r="A2047" s="34">
        <v>3045</v>
      </c>
      <c r="B2047" s="32" t="s">
        <v>2067</v>
      </c>
      <c r="C2047" s="32" t="s">
        <v>36</v>
      </c>
      <c r="D2047" s="33" t="s">
        <v>37</v>
      </c>
      <c r="E2047" s="34">
        <v>4</v>
      </c>
      <c r="F2047" s="35">
        <v>3180.69</v>
      </c>
      <c r="G2047" s="36">
        <v>0.51</v>
      </c>
      <c r="H2047" s="35">
        <f t="shared" si="64"/>
        <v>12722.76</v>
      </c>
      <c r="I2047" s="37">
        <v>45151</v>
      </c>
      <c r="J2047" s="33" t="s">
        <v>52</v>
      </c>
      <c r="K2047" s="33" t="s">
        <v>23</v>
      </c>
      <c r="L2047" s="38">
        <f t="shared" si="65"/>
        <v>6234.1523999999999</v>
      </c>
      <c r="M2047" s="38">
        <v>2237.56</v>
      </c>
      <c r="N2047" s="24">
        <f>_xlfn.XLOOKUP(Snitch_Fashion_Sales_cleaned!$J2047,Table2[City],Table2[City_Key],"not found")</f>
        <v>5</v>
      </c>
      <c r="O2047" s="23">
        <f>_xlfn.XLOOKUP(Snitch_Fashion_Sales_cleaned!$D2047,Table4[Product_Name],Table4[Product_Key],"not found")</f>
        <v>7</v>
      </c>
      <c r="P2047" s="32">
        <f>_xlfn.XLOOKUP(Snitch_Fashion_Sales_cleaned!$I2047,Table3[Order_Date],Table3[Date_Key])</f>
        <v>272</v>
      </c>
    </row>
    <row r="2048" spans="1:16" x14ac:dyDescent="0.3">
      <c r="A2048" s="27">
        <v>3046</v>
      </c>
      <c r="B2048" s="25" t="s">
        <v>2068</v>
      </c>
      <c r="C2048" s="25" t="s">
        <v>13</v>
      </c>
      <c r="D2048" s="26" t="s">
        <v>46</v>
      </c>
      <c r="E2048" s="27">
        <v>4</v>
      </c>
      <c r="F2048" s="28">
        <v>2891.64</v>
      </c>
      <c r="G2048" s="29">
        <v>0.51</v>
      </c>
      <c r="H2048" s="28">
        <f t="shared" si="64"/>
        <v>11566.56</v>
      </c>
      <c r="I2048" s="30">
        <v>45647</v>
      </c>
      <c r="J2048" s="26" t="s">
        <v>52</v>
      </c>
      <c r="K2048" s="26" t="s">
        <v>23</v>
      </c>
      <c r="L2048" s="31">
        <f t="shared" si="65"/>
        <v>5667.6143999999995</v>
      </c>
      <c r="M2048" s="31">
        <v>372.98</v>
      </c>
      <c r="N2048" s="22">
        <f>_xlfn.XLOOKUP(Snitch_Fashion_Sales_cleaned!$J2048,Table2[City],Table2[City_Key],"not found")</f>
        <v>5</v>
      </c>
      <c r="O2048" s="21">
        <f>_xlfn.XLOOKUP(Snitch_Fashion_Sales_cleaned!$D2048,Table4[Product_Name],Table4[Product_Key],"not found")</f>
        <v>10</v>
      </c>
      <c r="P2048" s="25">
        <f>_xlfn.XLOOKUP(Snitch_Fashion_Sales_cleaned!$I2048,Table3[Order_Date],Table3[Date_Key])</f>
        <v>5</v>
      </c>
    </row>
    <row r="2049" spans="1:16" x14ac:dyDescent="0.3">
      <c r="A2049" s="34">
        <v>1037</v>
      </c>
      <c r="B2049" s="32" t="s">
        <v>2069</v>
      </c>
      <c r="C2049" s="32" t="s">
        <v>31</v>
      </c>
      <c r="D2049" s="33" t="s">
        <v>41</v>
      </c>
      <c r="E2049" s="34">
        <v>3</v>
      </c>
      <c r="F2049" s="35">
        <v>3027.66</v>
      </c>
      <c r="G2049" s="36">
        <v>0.51</v>
      </c>
      <c r="H2049" s="35">
        <f t="shared" si="64"/>
        <v>9082.98</v>
      </c>
      <c r="I2049" s="37">
        <v>45647</v>
      </c>
      <c r="J2049" s="33" t="s">
        <v>22</v>
      </c>
      <c r="K2049" s="33" t="s">
        <v>16</v>
      </c>
      <c r="L2049" s="38">
        <f t="shared" si="65"/>
        <v>4450.6601999999993</v>
      </c>
      <c r="M2049" s="38">
        <v>1396.38</v>
      </c>
      <c r="N2049" s="24">
        <f>_xlfn.XLOOKUP(Snitch_Fashion_Sales_cleaned!$J2049,Table2[City],Table2[City_Key],"not found")</f>
        <v>3</v>
      </c>
      <c r="O2049" s="23">
        <f>_xlfn.XLOOKUP(Snitch_Fashion_Sales_cleaned!$D2049,Table4[Product_Name],Table4[Product_Key],"not found")</f>
        <v>9</v>
      </c>
      <c r="P2049" s="32">
        <f>_xlfn.XLOOKUP(Snitch_Fashion_Sales_cleaned!$I2049,Table3[Order_Date],Table3[Date_Key])</f>
        <v>5</v>
      </c>
    </row>
    <row r="2050" spans="1:16" x14ac:dyDescent="0.3">
      <c r="A2050" s="27">
        <v>3048</v>
      </c>
      <c r="B2050" s="25" t="s">
        <v>2070</v>
      </c>
      <c r="C2050" s="25" t="s">
        <v>20</v>
      </c>
      <c r="D2050" s="26" t="s">
        <v>21</v>
      </c>
      <c r="E2050" s="27">
        <v>4</v>
      </c>
      <c r="F2050" s="28">
        <v>1136.4100000000001</v>
      </c>
      <c r="G2050" s="29">
        <v>0.51</v>
      </c>
      <c r="H2050" s="28">
        <f t="shared" si="64"/>
        <v>4545.6400000000003</v>
      </c>
      <c r="I2050" s="30">
        <v>45699</v>
      </c>
      <c r="J2050" s="26" t="s">
        <v>18</v>
      </c>
      <c r="K2050" s="26" t="s">
        <v>23</v>
      </c>
      <c r="L2050" s="31">
        <f t="shared" si="65"/>
        <v>2227.3636000000001</v>
      </c>
      <c r="M2050" s="31">
        <v>556.84090000000003</v>
      </c>
      <c r="N2050" s="22">
        <f>_xlfn.XLOOKUP(Snitch_Fashion_Sales_cleaned!$J2050,Table2[City],Table2[City_Key],"not found")</f>
        <v>2</v>
      </c>
      <c r="O2050" s="21">
        <f>_xlfn.XLOOKUP(Snitch_Fashion_Sales_cleaned!$D2050,Table4[Product_Name],Table4[Product_Key],"not found")</f>
        <v>2</v>
      </c>
      <c r="P2050" s="25">
        <f>_xlfn.XLOOKUP(Snitch_Fashion_Sales_cleaned!$I2050,Table3[Order_Date],Table3[Date_Key])</f>
        <v>461</v>
      </c>
    </row>
    <row r="2051" spans="1:16" x14ac:dyDescent="0.3">
      <c r="A2051" s="34">
        <v>3049</v>
      </c>
      <c r="B2051" s="32" t="s">
        <v>2071</v>
      </c>
      <c r="C2051" s="32" t="s">
        <v>36</v>
      </c>
      <c r="D2051" s="33" t="s">
        <v>59</v>
      </c>
      <c r="E2051" s="34">
        <v>3</v>
      </c>
      <c r="F2051" s="35">
        <v>2765.26</v>
      </c>
      <c r="G2051" s="36">
        <v>0.51</v>
      </c>
      <c r="H2051" s="35">
        <f t="shared" si="64"/>
        <v>8295.7800000000007</v>
      </c>
      <c r="I2051" s="37">
        <v>45794</v>
      </c>
      <c r="J2051" s="33" t="s">
        <v>22</v>
      </c>
      <c r="K2051" s="33" t="s">
        <v>23</v>
      </c>
      <c r="L2051" s="38">
        <f t="shared" si="65"/>
        <v>4064.9322000000002</v>
      </c>
      <c r="M2051" s="38">
        <v>2001.07</v>
      </c>
      <c r="N2051" s="24">
        <f>_xlfn.XLOOKUP(Snitch_Fashion_Sales_cleaned!$J2051,Table2[City],Table2[City_Key],"not found")</f>
        <v>3</v>
      </c>
      <c r="O2051" s="23">
        <f>_xlfn.XLOOKUP(Snitch_Fashion_Sales_cleaned!$D2051,Table4[Product_Name],Table4[Product_Key],"not found")</f>
        <v>13</v>
      </c>
      <c r="P2051" s="32">
        <f>_xlfn.XLOOKUP(Snitch_Fashion_Sales_cleaned!$I2051,Table3[Order_Date],Table3[Date_Key])</f>
        <v>482</v>
      </c>
    </row>
    <row r="2052" spans="1:16" x14ac:dyDescent="0.3">
      <c r="A2052" s="27">
        <v>3050</v>
      </c>
      <c r="B2052" s="25" t="s">
        <v>2072</v>
      </c>
      <c r="C2052" s="25" t="s">
        <v>13</v>
      </c>
      <c r="D2052" s="26" t="s">
        <v>98</v>
      </c>
      <c r="E2052" s="27">
        <v>5</v>
      </c>
      <c r="F2052" s="28">
        <v>3177.78</v>
      </c>
      <c r="G2052" s="29">
        <v>0.51</v>
      </c>
      <c r="H2052" s="28">
        <f t="shared" si="64"/>
        <v>15888.900000000001</v>
      </c>
      <c r="I2052" s="30">
        <v>45593</v>
      </c>
      <c r="J2052" s="26" t="s">
        <v>18</v>
      </c>
      <c r="K2052" s="26" t="s">
        <v>16</v>
      </c>
      <c r="L2052" s="31">
        <f t="shared" si="65"/>
        <v>7785.5610000000006</v>
      </c>
      <c r="M2052" s="31">
        <v>407.14</v>
      </c>
      <c r="N2052" s="22">
        <f>_xlfn.XLOOKUP(Snitch_Fashion_Sales_cleaned!$J2052,Table2[City],Table2[City_Key],"not found")</f>
        <v>2</v>
      </c>
      <c r="O2052" s="21">
        <f>_xlfn.XLOOKUP(Snitch_Fashion_Sales_cleaned!$D2052,Table4[Product_Name],Table4[Product_Key],"not found")</f>
        <v>21</v>
      </c>
      <c r="P2052" s="25">
        <f>_xlfn.XLOOKUP(Snitch_Fashion_Sales_cleaned!$I2052,Table3[Order_Date],Table3[Date_Key])</f>
        <v>88</v>
      </c>
    </row>
    <row r="2053" spans="1:16" x14ac:dyDescent="0.3">
      <c r="A2053" s="34">
        <v>3051</v>
      </c>
      <c r="B2053" s="32" t="s">
        <v>2073</v>
      </c>
      <c r="C2053" s="32" t="s">
        <v>25</v>
      </c>
      <c r="D2053" s="33" t="s">
        <v>26</v>
      </c>
      <c r="E2053" s="34">
        <v>4</v>
      </c>
      <c r="F2053" s="35">
        <v>2933.45</v>
      </c>
      <c r="G2053" s="36">
        <v>0.51</v>
      </c>
      <c r="H2053" s="35">
        <f t="shared" si="64"/>
        <v>11733.8</v>
      </c>
      <c r="I2053" s="37">
        <v>45647</v>
      </c>
      <c r="J2053" s="33" t="s">
        <v>2540</v>
      </c>
      <c r="K2053" s="33" t="s">
        <v>23</v>
      </c>
      <c r="L2053" s="38">
        <f t="shared" si="65"/>
        <v>5749.5619999999999</v>
      </c>
      <c r="M2053" s="38">
        <v>1877.82</v>
      </c>
      <c r="N2053" s="24">
        <f>_xlfn.XLOOKUP(Snitch_Fashion_Sales_cleaned!$J2053,Table2[City],Table2[City_Key],"not found")</f>
        <v>4</v>
      </c>
      <c r="O2053" s="23">
        <f>_xlfn.XLOOKUP(Snitch_Fashion_Sales_cleaned!$D2053,Table4[Product_Name],Table4[Product_Key],"not found")</f>
        <v>3</v>
      </c>
      <c r="P2053" s="32">
        <f>_xlfn.XLOOKUP(Snitch_Fashion_Sales_cleaned!$I2053,Table3[Order_Date],Table3[Date_Key])</f>
        <v>5</v>
      </c>
    </row>
    <row r="2054" spans="1:16" x14ac:dyDescent="0.3">
      <c r="A2054" s="27">
        <v>3052</v>
      </c>
      <c r="B2054" s="25" t="s">
        <v>2074</v>
      </c>
      <c r="C2054" s="25" t="s">
        <v>28</v>
      </c>
      <c r="D2054" s="26" t="s">
        <v>29</v>
      </c>
      <c r="E2054" s="27">
        <v>3</v>
      </c>
      <c r="F2054" s="28">
        <v>1290.42</v>
      </c>
      <c r="G2054" s="29">
        <v>0.51</v>
      </c>
      <c r="H2054" s="28">
        <f t="shared" ref="H2054:H2117" si="66">E2054*F2054</f>
        <v>3871.26</v>
      </c>
      <c r="I2054" s="30">
        <v>45403</v>
      </c>
      <c r="J2054" s="26" t="s">
        <v>18</v>
      </c>
      <c r="K2054" s="26" t="s">
        <v>23</v>
      </c>
      <c r="L2054" s="31">
        <f t="shared" ref="L2054:L2117" si="67">H2054*(1-G2054)</f>
        <v>1896.9174</v>
      </c>
      <c r="M2054" s="31">
        <v>-196.63</v>
      </c>
      <c r="N2054" s="22">
        <f>_xlfn.XLOOKUP(Snitch_Fashion_Sales_cleaned!$J2054,Table2[City],Table2[City_Key],"not found")</f>
        <v>2</v>
      </c>
      <c r="O2054" s="21">
        <f>_xlfn.XLOOKUP(Snitch_Fashion_Sales_cleaned!$D2054,Table4[Product_Name],Table4[Product_Key],"not found")</f>
        <v>4</v>
      </c>
      <c r="P2054" s="25">
        <f>_xlfn.XLOOKUP(Snitch_Fashion_Sales_cleaned!$I2054,Table3[Order_Date],Table3[Date_Key])</f>
        <v>531</v>
      </c>
    </row>
    <row r="2055" spans="1:16" x14ac:dyDescent="0.3">
      <c r="A2055" s="34">
        <v>3053</v>
      </c>
      <c r="B2055" s="32" t="s">
        <v>2075</v>
      </c>
      <c r="C2055" s="32" t="s">
        <v>25</v>
      </c>
      <c r="D2055" s="33" t="s">
        <v>50</v>
      </c>
      <c r="E2055" s="34">
        <v>5</v>
      </c>
      <c r="F2055" s="35">
        <v>2666.2200000000003</v>
      </c>
      <c r="G2055" s="36">
        <v>0.51</v>
      </c>
      <c r="H2055" s="35">
        <f t="shared" si="66"/>
        <v>13331.100000000002</v>
      </c>
      <c r="I2055" s="37">
        <v>45647</v>
      </c>
      <c r="J2055" s="33" t="s">
        <v>18</v>
      </c>
      <c r="K2055" s="33" t="s">
        <v>16</v>
      </c>
      <c r="L2055" s="38">
        <f t="shared" si="67"/>
        <v>6532.2390000000014</v>
      </c>
      <c r="M2055" s="38">
        <v>612.53</v>
      </c>
      <c r="N2055" s="24">
        <f>_xlfn.XLOOKUP(Snitch_Fashion_Sales_cleaned!$J2055,Table2[City],Table2[City_Key],"not found")</f>
        <v>2</v>
      </c>
      <c r="O2055" s="23">
        <f>_xlfn.XLOOKUP(Snitch_Fashion_Sales_cleaned!$D2055,Table4[Product_Name],Table4[Product_Key],"not found")</f>
        <v>11</v>
      </c>
      <c r="P2055" s="32">
        <f>_xlfn.XLOOKUP(Snitch_Fashion_Sales_cleaned!$I2055,Table3[Order_Date],Table3[Date_Key])</f>
        <v>5</v>
      </c>
    </row>
    <row r="2056" spans="1:16" x14ac:dyDescent="0.3">
      <c r="A2056" s="27">
        <v>3054</v>
      </c>
      <c r="B2056" s="25" t="s">
        <v>2076</v>
      </c>
      <c r="C2056" s="25" t="s">
        <v>36</v>
      </c>
      <c r="D2056" s="26" t="s">
        <v>59</v>
      </c>
      <c r="E2056" s="27">
        <v>5</v>
      </c>
      <c r="F2056" s="28">
        <v>1722.34</v>
      </c>
      <c r="G2056" s="29">
        <v>0.51</v>
      </c>
      <c r="H2056" s="28">
        <f t="shared" si="66"/>
        <v>8611.6999999999989</v>
      </c>
      <c r="I2056" s="30">
        <v>45505</v>
      </c>
      <c r="J2056" s="26" t="s">
        <v>15</v>
      </c>
      <c r="K2056" s="26" t="s">
        <v>23</v>
      </c>
      <c r="L2056" s="31">
        <f t="shared" si="67"/>
        <v>4219.7329999999993</v>
      </c>
      <c r="M2056" s="31">
        <v>2459.2800000000002</v>
      </c>
      <c r="N2056" s="22">
        <f>_xlfn.XLOOKUP(Snitch_Fashion_Sales_cleaned!$J2056,Table2[City],Table2[City_Key],"not found")</f>
        <v>1</v>
      </c>
      <c r="O2056" s="21">
        <f>_xlfn.XLOOKUP(Snitch_Fashion_Sales_cleaned!$D2056,Table4[Product_Name],Table4[Product_Key],"not found")</f>
        <v>13</v>
      </c>
      <c r="P2056" s="25">
        <f>_xlfn.XLOOKUP(Snitch_Fashion_Sales_cleaned!$I2056,Table3[Order_Date],Table3[Date_Key])</f>
        <v>363</v>
      </c>
    </row>
    <row r="2057" spans="1:16" x14ac:dyDescent="0.3">
      <c r="A2057" s="34">
        <v>3055</v>
      </c>
      <c r="B2057" s="32" t="s">
        <v>2077</v>
      </c>
      <c r="C2057" s="32" t="s">
        <v>36</v>
      </c>
      <c r="D2057" s="33" t="s">
        <v>37</v>
      </c>
      <c r="E2057" s="34">
        <v>1</v>
      </c>
      <c r="F2057" s="35">
        <v>2975.64</v>
      </c>
      <c r="G2057" s="36">
        <v>0.51</v>
      </c>
      <c r="H2057" s="35">
        <f t="shared" si="66"/>
        <v>2975.64</v>
      </c>
      <c r="I2057" s="37">
        <v>45821</v>
      </c>
      <c r="J2057" s="33" t="s">
        <v>22</v>
      </c>
      <c r="K2057" s="33" t="s">
        <v>16</v>
      </c>
      <c r="L2057" s="38">
        <f t="shared" si="67"/>
        <v>1458.0636</v>
      </c>
      <c r="M2057" s="38">
        <v>364.51589999999999</v>
      </c>
      <c r="N2057" s="24">
        <f>_xlfn.XLOOKUP(Snitch_Fashion_Sales_cleaned!$J2057,Table2[City],Table2[City_Key],"not found")</f>
        <v>3</v>
      </c>
      <c r="O2057" s="23">
        <f>_xlfn.XLOOKUP(Snitch_Fashion_Sales_cleaned!$D2057,Table4[Product_Name],Table4[Product_Key],"not found")</f>
        <v>7</v>
      </c>
      <c r="P2057" s="32">
        <f>_xlfn.XLOOKUP(Snitch_Fashion_Sales_cleaned!$I2057,Table3[Order_Date],Table3[Date_Key])</f>
        <v>273</v>
      </c>
    </row>
    <row r="2058" spans="1:16" x14ac:dyDescent="0.3">
      <c r="A2058" s="27">
        <v>3056</v>
      </c>
      <c r="B2058" s="25" t="s">
        <v>2078</v>
      </c>
      <c r="C2058" s="25" t="s">
        <v>25</v>
      </c>
      <c r="D2058" s="26" t="s">
        <v>50</v>
      </c>
      <c r="E2058" s="27">
        <v>4</v>
      </c>
      <c r="F2058" s="28">
        <v>2666.2200000000003</v>
      </c>
      <c r="G2058" s="29">
        <v>0.51</v>
      </c>
      <c r="H2058" s="28">
        <f t="shared" si="66"/>
        <v>10664.880000000001</v>
      </c>
      <c r="I2058" s="30">
        <v>45632</v>
      </c>
      <c r="J2058" s="26" t="s">
        <v>22</v>
      </c>
      <c r="K2058" s="26" t="s">
        <v>23</v>
      </c>
      <c r="L2058" s="31">
        <f t="shared" si="67"/>
        <v>5225.7912000000006</v>
      </c>
      <c r="M2058" s="31">
        <v>2126.75</v>
      </c>
      <c r="N2058" s="22">
        <f>_xlfn.XLOOKUP(Snitch_Fashion_Sales_cleaned!$J2058,Table2[City],Table2[City_Key],"not found")</f>
        <v>3</v>
      </c>
      <c r="O2058" s="21">
        <f>_xlfn.XLOOKUP(Snitch_Fashion_Sales_cleaned!$D2058,Table4[Product_Name],Table4[Product_Key],"not found")</f>
        <v>11</v>
      </c>
      <c r="P2058" s="25">
        <f>_xlfn.XLOOKUP(Snitch_Fashion_Sales_cleaned!$I2058,Table3[Order_Date],Table3[Date_Key])</f>
        <v>93</v>
      </c>
    </row>
    <row r="2059" spans="1:16" x14ac:dyDescent="0.3">
      <c r="A2059" s="34">
        <v>3057</v>
      </c>
      <c r="B2059" s="32" t="s">
        <v>2079</v>
      </c>
      <c r="C2059" s="32" t="s">
        <v>20</v>
      </c>
      <c r="D2059" s="33" t="s">
        <v>76</v>
      </c>
      <c r="E2059" s="34">
        <v>3</v>
      </c>
      <c r="F2059" s="35">
        <v>2229.4899999999998</v>
      </c>
      <c r="G2059" s="36">
        <v>0.51</v>
      </c>
      <c r="H2059" s="35">
        <f t="shared" si="66"/>
        <v>6688.4699999999993</v>
      </c>
      <c r="I2059" s="37">
        <v>45839</v>
      </c>
      <c r="J2059" s="33" t="s">
        <v>18</v>
      </c>
      <c r="K2059" s="33" t="s">
        <v>23</v>
      </c>
      <c r="L2059" s="38">
        <f t="shared" si="67"/>
        <v>3277.3502999999996</v>
      </c>
      <c r="M2059" s="38">
        <v>2241.83</v>
      </c>
      <c r="N2059" s="24">
        <f>_xlfn.XLOOKUP(Snitch_Fashion_Sales_cleaned!$J2059,Table2[City],Table2[City_Key],"not found")</f>
        <v>2</v>
      </c>
      <c r="O2059" s="23">
        <f>_xlfn.XLOOKUP(Snitch_Fashion_Sales_cleaned!$D2059,Table4[Product_Name],Table4[Product_Key],"not found")</f>
        <v>16</v>
      </c>
      <c r="P2059" s="32">
        <f>_xlfn.XLOOKUP(Snitch_Fashion_Sales_cleaned!$I2059,Table3[Order_Date],Table3[Date_Key])</f>
        <v>200</v>
      </c>
    </row>
    <row r="2060" spans="1:16" x14ac:dyDescent="0.3">
      <c r="A2060" s="27">
        <v>3058</v>
      </c>
      <c r="B2060" s="25" t="s">
        <v>2080</v>
      </c>
      <c r="C2060" s="25" t="s">
        <v>31</v>
      </c>
      <c r="D2060" s="26" t="s">
        <v>78</v>
      </c>
      <c r="E2060" s="27">
        <v>4</v>
      </c>
      <c r="F2060" s="28">
        <v>2948.36</v>
      </c>
      <c r="G2060" s="29">
        <v>0.51</v>
      </c>
      <c r="H2060" s="28">
        <f t="shared" si="66"/>
        <v>11793.44</v>
      </c>
      <c r="I2060" s="30">
        <v>45647</v>
      </c>
      <c r="J2060" s="26" t="s">
        <v>43</v>
      </c>
      <c r="K2060" s="26" t="s">
        <v>23</v>
      </c>
      <c r="L2060" s="31">
        <f t="shared" si="67"/>
        <v>5778.7856000000002</v>
      </c>
      <c r="M2060" s="31">
        <v>1074.3499999999999</v>
      </c>
      <c r="N2060" s="22">
        <f>_xlfn.XLOOKUP(Snitch_Fashion_Sales_cleaned!$J2060,Table2[City],Table2[City_Key],"not found")</f>
        <v>6</v>
      </c>
      <c r="O2060" s="21">
        <f>_xlfn.XLOOKUP(Snitch_Fashion_Sales_cleaned!$D2060,Table4[Product_Name],Table4[Product_Key],"not found")</f>
        <v>17</v>
      </c>
      <c r="P2060" s="25">
        <f>_xlfn.XLOOKUP(Snitch_Fashion_Sales_cleaned!$I2060,Table3[Order_Date],Table3[Date_Key])</f>
        <v>5</v>
      </c>
    </row>
    <row r="2061" spans="1:16" x14ac:dyDescent="0.3">
      <c r="A2061" s="34">
        <v>3059</v>
      </c>
      <c r="B2061" s="32" t="s">
        <v>2081</v>
      </c>
      <c r="C2061" s="32" t="s">
        <v>31</v>
      </c>
      <c r="D2061" s="33" t="s">
        <v>32</v>
      </c>
      <c r="E2061" s="34">
        <v>4</v>
      </c>
      <c r="F2061" s="35">
        <v>4949.17</v>
      </c>
      <c r="G2061" s="36">
        <v>0.51</v>
      </c>
      <c r="H2061" s="35">
        <f t="shared" si="66"/>
        <v>19796.68</v>
      </c>
      <c r="I2061" s="37">
        <v>45785</v>
      </c>
      <c r="J2061" s="33" t="s">
        <v>2540</v>
      </c>
      <c r="K2061" s="33" t="s">
        <v>23</v>
      </c>
      <c r="L2061" s="38">
        <f t="shared" si="67"/>
        <v>9700.3732</v>
      </c>
      <c r="M2061" s="38">
        <v>1267.49</v>
      </c>
      <c r="N2061" s="24">
        <f>_xlfn.XLOOKUP(Snitch_Fashion_Sales_cleaned!$J2061,Table2[City],Table2[City_Key],"not found")</f>
        <v>4</v>
      </c>
      <c r="O2061" s="23">
        <f>_xlfn.XLOOKUP(Snitch_Fashion_Sales_cleaned!$D2061,Table4[Product_Name],Table4[Product_Key],"not found")</f>
        <v>5</v>
      </c>
      <c r="P2061" s="32">
        <f>_xlfn.XLOOKUP(Snitch_Fashion_Sales_cleaned!$I2061,Table3[Order_Date],Table3[Date_Key])</f>
        <v>58</v>
      </c>
    </row>
    <row r="2062" spans="1:16" x14ac:dyDescent="0.3">
      <c r="A2062" s="27">
        <v>3060</v>
      </c>
      <c r="B2062" s="25" t="s">
        <v>2082</v>
      </c>
      <c r="C2062" s="25" t="s">
        <v>28</v>
      </c>
      <c r="D2062" s="26" t="s">
        <v>116</v>
      </c>
      <c r="E2062" s="27">
        <v>4</v>
      </c>
      <c r="F2062" s="28">
        <v>2785.79</v>
      </c>
      <c r="G2062" s="29">
        <v>0.71</v>
      </c>
      <c r="H2062" s="28">
        <f t="shared" si="66"/>
        <v>11143.16</v>
      </c>
      <c r="I2062" s="30">
        <v>45679</v>
      </c>
      <c r="J2062" s="26" t="s">
        <v>22</v>
      </c>
      <c r="K2062" s="26" t="s">
        <v>23</v>
      </c>
      <c r="L2062" s="31">
        <f t="shared" si="67"/>
        <v>3231.5164000000004</v>
      </c>
      <c r="M2062" s="31">
        <v>1011.23</v>
      </c>
      <c r="N2062" s="22">
        <f>_xlfn.XLOOKUP(Snitch_Fashion_Sales_cleaned!$J2062,Table2[City],Table2[City_Key],"not found")</f>
        <v>3</v>
      </c>
      <c r="O2062" s="21">
        <f>_xlfn.XLOOKUP(Snitch_Fashion_Sales_cleaned!$D2062,Table4[Product_Name],Table4[Product_Key],"not found")</f>
        <v>22</v>
      </c>
      <c r="P2062" s="25">
        <f>_xlfn.XLOOKUP(Snitch_Fashion_Sales_cleaned!$I2062,Table3[Order_Date],Table3[Date_Key])</f>
        <v>217</v>
      </c>
    </row>
    <row r="2063" spans="1:16" x14ac:dyDescent="0.3">
      <c r="A2063" s="34">
        <v>3061</v>
      </c>
      <c r="B2063" s="32" t="s">
        <v>2083</v>
      </c>
      <c r="C2063" s="32" t="s">
        <v>31</v>
      </c>
      <c r="D2063" s="33" t="s">
        <v>32</v>
      </c>
      <c r="E2063" s="34">
        <v>4</v>
      </c>
      <c r="F2063" s="35">
        <v>1873.39</v>
      </c>
      <c r="G2063" s="36">
        <v>0.74</v>
      </c>
      <c r="H2063" s="35">
        <f t="shared" si="66"/>
        <v>7493.56</v>
      </c>
      <c r="I2063" s="37">
        <v>45646</v>
      </c>
      <c r="J2063" s="33" t="s">
        <v>52</v>
      </c>
      <c r="K2063" s="33" t="s">
        <v>23</v>
      </c>
      <c r="L2063" s="38">
        <f t="shared" si="67"/>
        <v>1948.3256000000001</v>
      </c>
      <c r="M2063" s="38">
        <v>1596.53</v>
      </c>
      <c r="N2063" s="24">
        <f>_xlfn.XLOOKUP(Snitch_Fashion_Sales_cleaned!$J2063,Table2[City],Table2[City_Key],"not found")</f>
        <v>5</v>
      </c>
      <c r="O2063" s="23">
        <f>_xlfn.XLOOKUP(Snitch_Fashion_Sales_cleaned!$D2063,Table4[Product_Name],Table4[Product_Key],"not found")</f>
        <v>5</v>
      </c>
      <c r="P2063" s="32">
        <f>_xlfn.XLOOKUP(Snitch_Fashion_Sales_cleaned!$I2063,Table3[Order_Date],Table3[Date_Key])</f>
        <v>529</v>
      </c>
    </row>
    <row r="2064" spans="1:16" x14ac:dyDescent="0.3">
      <c r="A2064" s="27">
        <v>3062</v>
      </c>
      <c r="B2064" s="25" t="s">
        <v>2084</v>
      </c>
      <c r="C2064" s="25" t="s">
        <v>31</v>
      </c>
      <c r="D2064" s="26" t="s">
        <v>68</v>
      </c>
      <c r="E2064" s="27">
        <v>4</v>
      </c>
      <c r="F2064" s="28">
        <v>4312.55</v>
      </c>
      <c r="G2064" s="29">
        <v>0.51</v>
      </c>
      <c r="H2064" s="28">
        <f t="shared" si="66"/>
        <v>17250.2</v>
      </c>
      <c r="I2064" s="30">
        <v>45666</v>
      </c>
      <c r="J2064" s="26" t="s">
        <v>52</v>
      </c>
      <c r="K2064" s="26" t="s">
        <v>23</v>
      </c>
      <c r="L2064" s="31">
        <f t="shared" si="67"/>
        <v>8452.598</v>
      </c>
      <c r="M2064" s="31">
        <v>496.16</v>
      </c>
      <c r="N2064" s="22">
        <f>_xlfn.XLOOKUP(Snitch_Fashion_Sales_cleaned!$J2064,Table2[City],Table2[City_Key],"not found")</f>
        <v>5</v>
      </c>
      <c r="O2064" s="21">
        <f>_xlfn.XLOOKUP(Snitch_Fashion_Sales_cleaned!$D2064,Table4[Product_Name],Table4[Product_Key],"not found")</f>
        <v>15</v>
      </c>
      <c r="P2064" s="25">
        <f>_xlfn.XLOOKUP(Snitch_Fashion_Sales_cleaned!$I2064,Table3[Order_Date],Table3[Date_Key])</f>
        <v>107</v>
      </c>
    </row>
    <row r="2065" spans="1:16" x14ac:dyDescent="0.3">
      <c r="A2065" s="34">
        <v>3063</v>
      </c>
      <c r="B2065" s="32" t="s">
        <v>2085</v>
      </c>
      <c r="C2065" s="32" t="s">
        <v>31</v>
      </c>
      <c r="D2065" s="33" t="s">
        <v>78</v>
      </c>
      <c r="E2065" s="34">
        <v>4</v>
      </c>
      <c r="F2065" s="35">
        <v>4971.93</v>
      </c>
      <c r="G2065" s="36">
        <v>0.51</v>
      </c>
      <c r="H2065" s="35">
        <f t="shared" si="66"/>
        <v>19887.72</v>
      </c>
      <c r="I2065" s="37">
        <v>45760</v>
      </c>
      <c r="J2065" s="33" t="s">
        <v>52</v>
      </c>
      <c r="K2065" s="33" t="s">
        <v>23</v>
      </c>
      <c r="L2065" s="38">
        <f t="shared" si="67"/>
        <v>9744.9827999999998</v>
      </c>
      <c r="M2065" s="38">
        <v>1941.61</v>
      </c>
      <c r="N2065" s="24">
        <f>_xlfn.XLOOKUP(Snitch_Fashion_Sales_cleaned!$J2065,Table2[City],Table2[City_Key],"not found")</f>
        <v>5</v>
      </c>
      <c r="O2065" s="23">
        <f>_xlfn.XLOOKUP(Snitch_Fashion_Sales_cleaned!$D2065,Table4[Product_Name],Table4[Product_Key],"not found")</f>
        <v>17</v>
      </c>
      <c r="P2065" s="32">
        <f>_xlfn.XLOOKUP(Snitch_Fashion_Sales_cleaned!$I2065,Table3[Order_Date],Table3[Date_Key])</f>
        <v>458</v>
      </c>
    </row>
    <row r="2066" spans="1:16" x14ac:dyDescent="0.3">
      <c r="A2066" s="27">
        <v>3064</v>
      </c>
      <c r="B2066" s="25" t="s">
        <v>2086</v>
      </c>
      <c r="C2066" s="25" t="s">
        <v>20</v>
      </c>
      <c r="D2066" s="26" t="s">
        <v>21</v>
      </c>
      <c r="E2066" s="27">
        <v>4</v>
      </c>
      <c r="F2066" s="28">
        <v>2579.8000000000002</v>
      </c>
      <c r="G2066" s="29">
        <v>0.51</v>
      </c>
      <c r="H2066" s="28">
        <f t="shared" si="66"/>
        <v>10319.200000000001</v>
      </c>
      <c r="I2066" s="30">
        <v>45779</v>
      </c>
      <c r="J2066" s="26" t="s">
        <v>52</v>
      </c>
      <c r="K2066" s="26" t="s">
        <v>23</v>
      </c>
      <c r="L2066" s="31">
        <f t="shared" si="67"/>
        <v>5056.4080000000004</v>
      </c>
      <c r="M2066" s="31">
        <v>2520.12</v>
      </c>
      <c r="N2066" s="22">
        <f>_xlfn.XLOOKUP(Snitch_Fashion_Sales_cleaned!$J2066,Table2[City],Table2[City_Key],"not found")</f>
        <v>5</v>
      </c>
      <c r="O2066" s="21">
        <f>_xlfn.XLOOKUP(Snitch_Fashion_Sales_cleaned!$D2066,Table4[Product_Name],Table4[Product_Key],"not found")</f>
        <v>2</v>
      </c>
      <c r="P2066" s="25">
        <f>_xlfn.XLOOKUP(Snitch_Fashion_Sales_cleaned!$I2066,Table3[Order_Date],Table3[Date_Key])</f>
        <v>74</v>
      </c>
    </row>
    <row r="2067" spans="1:16" x14ac:dyDescent="0.3">
      <c r="A2067" s="34">
        <v>3065</v>
      </c>
      <c r="B2067" s="32" t="s">
        <v>2087</v>
      </c>
      <c r="C2067" s="32" t="s">
        <v>31</v>
      </c>
      <c r="D2067" s="33" t="s">
        <v>32</v>
      </c>
      <c r="E2067" s="34">
        <v>4</v>
      </c>
      <c r="F2067" s="35">
        <v>873.64</v>
      </c>
      <c r="G2067" s="36">
        <v>0.17</v>
      </c>
      <c r="H2067" s="35">
        <f t="shared" si="66"/>
        <v>3494.56</v>
      </c>
      <c r="I2067" s="37">
        <v>45736</v>
      </c>
      <c r="J2067" s="33" t="s">
        <v>43</v>
      </c>
      <c r="K2067" s="33" t="s">
        <v>23</v>
      </c>
      <c r="L2067" s="38">
        <f t="shared" si="67"/>
        <v>2900.4847999999997</v>
      </c>
      <c r="M2067" s="38">
        <v>1107.8499999999999</v>
      </c>
      <c r="N2067" s="24">
        <f>_xlfn.XLOOKUP(Snitch_Fashion_Sales_cleaned!$J2067,Table2[City],Table2[City_Key],"not found")</f>
        <v>6</v>
      </c>
      <c r="O2067" s="23">
        <f>_xlfn.XLOOKUP(Snitch_Fashion_Sales_cleaned!$D2067,Table4[Product_Name],Table4[Product_Key],"not found")</f>
        <v>5</v>
      </c>
      <c r="P2067" s="32">
        <f>_xlfn.XLOOKUP(Snitch_Fashion_Sales_cleaned!$I2067,Table3[Order_Date],Table3[Date_Key])</f>
        <v>423</v>
      </c>
    </row>
    <row r="2068" spans="1:16" x14ac:dyDescent="0.3">
      <c r="A2068" s="27">
        <v>3066</v>
      </c>
      <c r="B2068" s="25" t="s">
        <v>2088</v>
      </c>
      <c r="C2068" s="25" t="s">
        <v>25</v>
      </c>
      <c r="D2068" s="26" t="s">
        <v>82</v>
      </c>
      <c r="E2068" s="27">
        <v>3</v>
      </c>
      <c r="F2068" s="28">
        <v>2385.5749999999998</v>
      </c>
      <c r="G2068" s="29">
        <v>0.51</v>
      </c>
      <c r="H2068" s="28">
        <f t="shared" si="66"/>
        <v>7156.7249999999995</v>
      </c>
      <c r="I2068" s="30">
        <v>45806</v>
      </c>
      <c r="J2068" s="26" t="s">
        <v>22</v>
      </c>
      <c r="K2068" s="26" t="s">
        <v>16</v>
      </c>
      <c r="L2068" s="31">
        <f t="shared" si="67"/>
        <v>3506.7952499999997</v>
      </c>
      <c r="M2068" s="31">
        <v>80.290000000000006</v>
      </c>
      <c r="N2068" s="22">
        <f>_xlfn.XLOOKUP(Snitch_Fashion_Sales_cleaned!$J2068,Table2[City],Table2[City_Key],"not found")</f>
        <v>3</v>
      </c>
      <c r="O2068" s="21">
        <f>_xlfn.XLOOKUP(Snitch_Fashion_Sales_cleaned!$D2068,Table4[Product_Name],Table4[Product_Key],"not found")</f>
        <v>18</v>
      </c>
      <c r="P2068" s="25">
        <f>_xlfn.XLOOKUP(Snitch_Fashion_Sales_cleaned!$I2068,Table3[Order_Date],Table3[Date_Key])</f>
        <v>183</v>
      </c>
    </row>
    <row r="2069" spans="1:16" x14ac:dyDescent="0.3">
      <c r="A2069" s="34">
        <v>3067</v>
      </c>
      <c r="B2069" s="32" t="s">
        <v>2089</v>
      </c>
      <c r="C2069" s="32" t="s">
        <v>31</v>
      </c>
      <c r="D2069" s="33" t="s">
        <v>41</v>
      </c>
      <c r="E2069" s="34">
        <v>3</v>
      </c>
      <c r="F2069" s="35">
        <v>3027.66</v>
      </c>
      <c r="G2069" s="36">
        <v>0.51</v>
      </c>
      <c r="H2069" s="35">
        <f t="shared" si="66"/>
        <v>9082.98</v>
      </c>
      <c r="I2069" s="37">
        <v>45575</v>
      </c>
      <c r="J2069" s="33" t="s">
        <v>2540</v>
      </c>
      <c r="K2069" s="33" t="s">
        <v>23</v>
      </c>
      <c r="L2069" s="38">
        <f t="shared" si="67"/>
        <v>4450.6601999999993</v>
      </c>
      <c r="M2069" s="38">
        <v>2711.03</v>
      </c>
      <c r="N2069" s="24">
        <f>_xlfn.XLOOKUP(Snitch_Fashion_Sales_cleaned!$J2069,Table2[City],Table2[City_Key],"not found")</f>
        <v>4</v>
      </c>
      <c r="O2069" s="23">
        <f>_xlfn.XLOOKUP(Snitch_Fashion_Sales_cleaned!$D2069,Table4[Product_Name],Table4[Product_Key],"not found")</f>
        <v>9</v>
      </c>
      <c r="P2069" s="32">
        <f>_xlfn.XLOOKUP(Snitch_Fashion_Sales_cleaned!$I2069,Table3[Order_Date],Table3[Date_Key])</f>
        <v>100</v>
      </c>
    </row>
    <row r="2070" spans="1:16" x14ac:dyDescent="0.3">
      <c r="A2070" s="27">
        <v>3068</v>
      </c>
      <c r="B2070" s="25" t="s">
        <v>2090</v>
      </c>
      <c r="C2070" s="25" t="s">
        <v>25</v>
      </c>
      <c r="D2070" s="26" t="s">
        <v>50</v>
      </c>
      <c r="E2070" s="27">
        <v>4</v>
      </c>
      <c r="F2070" s="28">
        <v>2666.2200000000003</v>
      </c>
      <c r="G2070" s="29">
        <v>0.99</v>
      </c>
      <c r="H2070" s="28">
        <f t="shared" si="66"/>
        <v>10664.880000000001</v>
      </c>
      <c r="I2070" s="30">
        <v>45647</v>
      </c>
      <c r="J2070" s="26" t="s">
        <v>43</v>
      </c>
      <c r="K2070" s="26" t="s">
        <v>16</v>
      </c>
      <c r="L2070" s="31">
        <f t="shared" si="67"/>
        <v>106.64880000000011</v>
      </c>
      <c r="M2070" s="31">
        <v>26.662200000000027</v>
      </c>
      <c r="N2070" s="22">
        <f>_xlfn.XLOOKUP(Snitch_Fashion_Sales_cleaned!$J2070,Table2[City],Table2[City_Key],"not found")</f>
        <v>6</v>
      </c>
      <c r="O2070" s="21">
        <f>_xlfn.XLOOKUP(Snitch_Fashion_Sales_cleaned!$D2070,Table4[Product_Name],Table4[Product_Key],"not found")</f>
        <v>11</v>
      </c>
      <c r="P2070" s="25">
        <f>_xlfn.XLOOKUP(Snitch_Fashion_Sales_cleaned!$I2070,Table3[Order_Date],Table3[Date_Key])</f>
        <v>5</v>
      </c>
    </row>
    <row r="2071" spans="1:16" x14ac:dyDescent="0.3">
      <c r="A2071" s="34">
        <v>3069</v>
      </c>
      <c r="B2071" s="32" t="s">
        <v>2091</v>
      </c>
      <c r="C2071" s="32" t="s">
        <v>20</v>
      </c>
      <c r="D2071" s="33" t="s">
        <v>21</v>
      </c>
      <c r="E2071" s="34">
        <v>4</v>
      </c>
      <c r="F2071" s="35">
        <v>2579.8000000000002</v>
      </c>
      <c r="G2071" s="36">
        <v>0.51</v>
      </c>
      <c r="H2071" s="35">
        <f t="shared" si="66"/>
        <v>10319.200000000001</v>
      </c>
      <c r="I2071" s="37">
        <v>45591</v>
      </c>
      <c r="J2071" s="33" t="s">
        <v>2540</v>
      </c>
      <c r="K2071" s="33" t="s">
        <v>23</v>
      </c>
      <c r="L2071" s="38">
        <f t="shared" si="67"/>
        <v>5056.4080000000004</v>
      </c>
      <c r="M2071" s="38">
        <v>-524.33000000000004</v>
      </c>
      <c r="N2071" s="24">
        <f>_xlfn.XLOOKUP(Snitch_Fashion_Sales_cleaned!$J2071,Table2[City],Table2[City_Key],"not found")</f>
        <v>4</v>
      </c>
      <c r="O2071" s="23">
        <f>_xlfn.XLOOKUP(Snitch_Fashion_Sales_cleaned!$D2071,Table4[Product_Name],Table4[Product_Key],"not found")</f>
        <v>2</v>
      </c>
      <c r="P2071" s="32">
        <f>_xlfn.XLOOKUP(Snitch_Fashion_Sales_cleaned!$I2071,Table3[Order_Date],Table3[Date_Key])</f>
        <v>12</v>
      </c>
    </row>
    <row r="2072" spans="1:16" x14ac:dyDescent="0.3">
      <c r="A2072" s="27">
        <v>3070</v>
      </c>
      <c r="B2072" s="25" t="s">
        <v>2092</v>
      </c>
      <c r="C2072" s="25" t="s">
        <v>20</v>
      </c>
      <c r="D2072" s="26" t="s">
        <v>118</v>
      </c>
      <c r="E2072" s="27">
        <v>3.5</v>
      </c>
      <c r="F2072" s="28">
        <v>2752.99</v>
      </c>
      <c r="G2072" s="29">
        <v>0.51</v>
      </c>
      <c r="H2072" s="28">
        <f t="shared" si="66"/>
        <v>9635.4650000000001</v>
      </c>
      <c r="I2072" s="30">
        <v>45525</v>
      </c>
      <c r="J2072" s="26" t="s">
        <v>15</v>
      </c>
      <c r="K2072" s="26" t="s">
        <v>23</v>
      </c>
      <c r="L2072" s="31">
        <f t="shared" si="67"/>
        <v>4721.3778499999999</v>
      </c>
      <c r="M2072" s="31">
        <v>1136.04</v>
      </c>
      <c r="N2072" s="22">
        <f>_xlfn.XLOOKUP(Snitch_Fashion_Sales_cleaned!$J2072,Table2[City],Table2[City_Key],"not found")</f>
        <v>1</v>
      </c>
      <c r="O2072" s="21">
        <f>_xlfn.XLOOKUP(Snitch_Fashion_Sales_cleaned!$D2072,Table4[Product_Name],Table4[Product_Key],"not found")</f>
        <v>23</v>
      </c>
      <c r="P2072" s="25">
        <f>_xlfn.XLOOKUP(Snitch_Fashion_Sales_cleaned!$I2072,Table3[Order_Date],Table3[Date_Key])</f>
        <v>169</v>
      </c>
    </row>
    <row r="2073" spans="1:16" x14ac:dyDescent="0.3">
      <c r="A2073" s="34">
        <v>3071</v>
      </c>
      <c r="B2073" s="32" t="s">
        <v>2093</v>
      </c>
      <c r="C2073" s="32" t="s">
        <v>25</v>
      </c>
      <c r="D2073" s="33" t="s">
        <v>50</v>
      </c>
      <c r="E2073" s="34">
        <v>4</v>
      </c>
      <c r="F2073" s="35">
        <v>4617.8500000000004</v>
      </c>
      <c r="G2073" s="36">
        <v>0.51</v>
      </c>
      <c r="H2073" s="35">
        <f t="shared" si="66"/>
        <v>18471.400000000001</v>
      </c>
      <c r="I2073" s="37">
        <v>45229</v>
      </c>
      <c r="J2073" s="33" t="s">
        <v>15</v>
      </c>
      <c r="K2073" s="33" t="s">
        <v>16</v>
      </c>
      <c r="L2073" s="38">
        <f t="shared" si="67"/>
        <v>9050.9860000000008</v>
      </c>
      <c r="M2073" s="38">
        <v>1778.15</v>
      </c>
      <c r="N2073" s="24">
        <f>_xlfn.XLOOKUP(Snitch_Fashion_Sales_cleaned!$J2073,Table2[City],Table2[City_Key],"not found")</f>
        <v>1</v>
      </c>
      <c r="O2073" s="23">
        <f>_xlfn.XLOOKUP(Snitch_Fashion_Sales_cleaned!$D2073,Table4[Product_Name],Table4[Product_Key],"not found")</f>
        <v>11</v>
      </c>
      <c r="P2073" s="32">
        <f>_xlfn.XLOOKUP(Snitch_Fashion_Sales_cleaned!$I2073,Table3[Order_Date],Table3[Date_Key])</f>
        <v>532</v>
      </c>
    </row>
    <row r="2074" spans="1:16" x14ac:dyDescent="0.3">
      <c r="A2074" s="27">
        <v>3072</v>
      </c>
      <c r="B2074" s="25" t="s">
        <v>2094</v>
      </c>
      <c r="C2074" s="25" t="s">
        <v>25</v>
      </c>
      <c r="D2074" s="26" t="s">
        <v>82</v>
      </c>
      <c r="E2074" s="27">
        <v>6</v>
      </c>
      <c r="F2074" s="28">
        <v>2385.5749999999998</v>
      </c>
      <c r="G2074" s="29">
        <v>0.51</v>
      </c>
      <c r="H2074" s="28">
        <f t="shared" si="66"/>
        <v>14313.449999999999</v>
      </c>
      <c r="I2074" s="30">
        <v>45664</v>
      </c>
      <c r="J2074" s="26" t="s">
        <v>18</v>
      </c>
      <c r="K2074" s="26" t="s">
        <v>16</v>
      </c>
      <c r="L2074" s="31">
        <f t="shared" si="67"/>
        <v>7013.5904999999993</v>
      </c>
      <c r="M2074" s="31">
        <v>1650.33</v>
      </c>
      <c r="N2074" s="22">
        <f>_xlfn.XLOOKUP(Snitch_Fashion_Sales_cleaned!$J2074,Table2[City],Table2[City_Key],"not found")</f>
        <v>2</v>
      </c>
      <c r="O2074" s="21">
        <f>_xlfn.XLOOKUP(Snitch_Fashion_Sales_cleaned!$D2074,Table4[Product_Name],Table4[Product_Key],"not found")</f>
        <v>18</v>
      </c>
      <c r="P2074" s="25">
        <f>_xlfn.XLOOKUP(Snitch_Fashion_Sales_cleaned!$I2074,Table3[Order_Date],Table3[Date_Key])</f>
        <v>52</v>
      </c>
    </row>
    <row r="2075" spans="1:16" x14ac:dyDescent="0.3">
      <c r="A2075" s="34">
        <v>3073</v>
      </c>
      <c r="B2075" s="32" t="s">
        <v>2095</v>
      </c>
      <c r="C2075" s="32" t="s">
        <v>28</v>
      </c>
      <c r="D2075" s="33" t="s">
        <v>39</v>
      </c>
      <c r="E2075" s="34">
        <v>1</v>
      </c>
      <c r="F2075" s="35">
        <v>478.6</v>
      </c>
      <c r="G2075" s="36">
        <v>0.51</v>
      </c>
      <c r="H2075" s="35">
        <f t="shared" si="66"/>
        <v>478.6</v>
      </c>
      <c r="I2075" s="37">
        <v>45753</v>
      </c>
      <c r="J2075" s="33" t="s">
        <v>2540</v>
      </c>
      <c r="K2075" s="33" t="s">
        <v>23</v>
      </c>
      <c r="L2075" s="38">
        <f t="shared" si="67"/>
        <v>234.51400000000001</v>
      </c>
      <c r="M2075" s="38">
        <v>58.628500000000003</v>
      </c>
      <c r="N2075" s="24">
        <f>_xlfn.XLOOKUP(Snitch_Fashion_Sales_cleaned!$J2075,Table2[City],Table2[City_Key],"not found")</f>
        <v>4</v>
      </c>
      <c r="O2075" s="23">
        <f>_xlfn.XLOOKUP(Snitch_Fashion_Sales_cleaned!$D2075,Table4[Product_Name],Table4[Product_Key],"not found")</f>
        <v>8</v>
      </c>
      <c r="P2075" s="32">
        <f>_xlfn.XLOOKUP(Snitch_Fashion_Sales_cleaned!$I2075,Table3[Order_Date],Table3[Date_Key])</f>
        <v>51</v>
      </c>
    </row>
    <row r="2076" spans="1:16" x14ac:dyDescent="0.3">
      <c r="A2076" s="27">
        <v>3074</v>
      </c>
      <c r="B2076" s="25" t="s">
        <v>2096</v>
      </c>
      <c r="C2076" s="25" t="s">
        <v>28</v>
      </c>
      <c r="D2076" s="26" t="s">
        <v>137</v>
      </c>
      <c r="E2076" s="27">
        <v>2</v>
      </c>
      <c r="F2076" s="28">
        <v>2338.04</v>
      </c>
      <c r="G2076" s="29">
        <v>0.51</v>
      </c>
      <c r="H2076" s="28">
        <f t="shared" si="66"/>
        <v>4676.08</v>
      </c>
      <c r="I2076" s="30">
        <v>45327</v>
      </c>
      <c r="J2076" s="26" t="s">
        <v>22</v>
      </c>
      <c r="K2076" s="26" t="s">
        <v>23</v>
      </c>
      <c r="L2076" s="31">
        <f t="shared" si="67"/>
        <v>2291.2791999999999</v>
      </c>
      <c r="M2076" s="31">
        <v>-906.63</v>
      </c>
      <c r="N2076" s="22">
        <f>_xlfn.XLOOKUP(Snitch_Fashion_Sales_cleaned!$J2076,Table2[City],Table2[City_Key],"not found")</f>
        <v>3</v>
      </c>
      <c r="O2076" s="21">
        <f>_xlfn.XLOOKUP(Snitch_Fashion_Sales_cleaned!$D2076,Table4[Product_Name],Table4[Product_Key],"not found")</f>
        <v>24</v>
      </c>
      <c r="P2076" s="25">
        <f>_xlfn.XLOOKUP(Snitch_Fashion_Sales_cleaned!$I2076,Table3[Order_Date],Table3[Date_Key])</f>
        <v>533</v>
      </c>
    </row>
    <row r="2077" spans="1:16" x14ac:dyDescent="0.3">
      <c r="A2077" s="34">
        <v>3075</v>
      </c>
      <c r="B2077" s="32" t="s">
        <v>2097</v>
      </c>
      <c r="C2077" s="32" t="s">
        <v>28</v>
      </c>
      <c r="D2077" s="33" t="s">
        <v>116</v>
      </c>
      <c r="E2077" s="34">
        <v>4</v>
      </c>
      <c r="F2077" s="35">
        <v>1501.49</v>
      </c>
      <c r="G2077" s="36">
        <v>0.43</v>
      </c>
      <c r="H2077" s="35">
        <f t="shared" si="66"/>
        <v>6005.96</v>
      </c>
      <c r="I2077" s="37">
        <v>45524</v>
      </c>
      <c r="J2077" s="33" t="s">
        <v>52</v>
      </c>
      <c r="K2077" s="33" t="s">
        <v>16</v>
      </c>
      <c r="L2077" s="38">
        <f t="shared" si="67"/>
        <v>3423.3972000000003</v>
      </c>
      <c r="M2077" s="38">
        <v>-100.14</v>
      </c>
      <c r="N2077" s="24">
        <f>_xlfn.XLOOKUP(Snitch_Fashion_Sales_cleaned!$J2077,Table2[City],Table2[City_Key],"not found")</f>
        <v>5</v>
      </c>
      <c r="O2077" s="23">
        <f>_xlfn.XLOOKUP(Snitch_Fashion_Sales_cleaned!$D2077,Table4[Product_Name],Table4[Product_Key],"not found")</f>
        <v>22</v>
      </c>
      <c r="P2077" s="32">
        <f>_xlfn.XLOOKUP(Snitch_Fashion_Sales_cleaned!$I2077,Table3[Order_Date],Table3[Date_Key])</f>
        <v>386</v>
      </c>
    </row>
    <row r="2078" spans="1:16" x14ac:dyDescent="0.3">
      <c r="A2078" s="27">
        <v>3076</v>
      </c>
      <c r="B2078" s="25" t="s">
        <v>2098</v>
      </c>
      <c r="C2078" s="25" t="s">
        <v>31</v>
      </c>
      <c r="D2078" s="26" t="s">
        <v>32</v>
      </c>
      <c r="E2078" s="27">
        <v>4</v>
      </c>
      <c r="F2078" s="28">
        <v>2001.5500000000002</v>
      </c>
      <c r="G2078" s="29">
        <v>0.51</v>
      </c>
      <c r="H2078" s="28">
        <f t="shared" si="66"/>
        <v>8006.2000000000007</v>
      </c>
      <c r="I2078" s="30">
        <v>45538</v>
      </c>
      <c r="J2078" s="26" t="s">
        <v>43</v>
      </c>
      <c r="K2078" s="26" t="s">
        <v>23</v>
      </c>
      <c r="L2078" s="31">
        <f t="shared" si="67"/>
        <v>3923.0380000000005</v>
      </c>
      <c r="M2078" s="31">
        <v>1933.72</v>
      </c>
      <c r="N2078" s="22">
        <f>_xlfn.XLOOKUP(Snitch_Fashion_Sales_cleaned!$J2078,Table2[City],Table2[City_Key],"not found")</f>
        <v>6</v>
      </c>
      <c r="O2078" s="21">
        <f>_xlfn.XLOOKUP(Snitch_Fashion_Sales_cleaned!$D2078,Table4[Product_Name],Table4[Product_Key],"not found")</f>
        <v>5</v>
      </c>
      <c r="P2078" s="25">
        <f>_xlfn.XLOOKUP(Snitch_Fashion_Sales_cleaned!$I2078,Table3[Order_Date],Table3[Date_Key])</f>
        <v>294</v>
      </c>
    </row>
    <row r="2079" spans="1:16" x14ac:dyDescent="0.3">
      <c r="A2079" s="34">
        <v>3077</v>
      </c>
      <c r="B2079" s="32" t="s">
        <v>2099</v>
      </c>
      <c r="C2079" s="32" t="s">
        <v>36</v>
      </c>
      <c r="D2079" s="33" t="s">
        <v>37</v>
      </c>
      <c r="E2079" s="34">
        <v>4</v>
      </c>
      <c r="F2079" s="35">
        <v>2975.64</v>
      </c>
      <c r="G2079" s="36">
        <v>0.92</v>
      </c>
      <c r="H2079" s="35">
        <f t="shared" si="66"/>
        <v>11902.56</v>
      </c>
      <c r="I2079" s="37">
        <v>45766</v>
      </c>
      <c r="J2079" s="33" t="s">
        <v>18</v>
      </c>
      <c r="K2079" s="33" t="s">
        <v>16</v>
      </c>
      <c r="L2079" s="38">
        <f t="shared" si="67"/>
        <v>952.20479999999952</v>
      </c>
      <c r="M2079" s="38">
        <v>-528.22</v>
      </c>
      <c r="N2079" s="24">
        <f>_xlfn.XLOOKUP(Snitch_Fashion_Sales_cleaned!$J2079,Table2[City],Table2[City_Key],"not found")</f>
        <v>2</v>
      </c>
      <c r="O2079" s="23">
        <f>_xlfn.XLOOKUP(Snitch_Fashion_Sales_cleaned!$D2079,Table4[Product_Name],Table4[Product_Key],"not found")</f>
        <v>7</v>
      </c>
      <c r="P2079" s="32">
        <f>_xlfn.XLOOKUP(Snitch_Fashion_Sales_cleaned!$I2079,Table3[Order_Date],Table3[Date_Key])</f>
        <v>534</v>
      </c>
    </row>
    <row r="2080" spans="1:16" x14ac:dyDescent="0.3">
      <c r="A2080" s="27">
        <v>3078</v>
      </c>
      <c r="B2080" s="25" t="s">
        <v>2100</v>
      </c>
      <c r="C2080" s="25" t="s">
        <v>20</v>
      </c>
      <c r="D2080" s="26" t="s">
        <v>21</v>
      </c>
      <c r="E2080" s="27">
        <v>4</v>
      </c>
      <c r="F2080" s="28">
        <v>2563.2399999999998</v>
      </c>
      <c r="G2080" s="29">
        <v>0.51</v>
      </c>
      <c r="H2080" s="28">
        <f t="shared" si="66"/>
        <v>10252.959999999999</v>
      </c>
      <c r="I2080" s="30">
        <v>45647</v>
      </c>
      <c r="J2080" s="26" t="s">
        <v>18</v>
      </c>
      <c r="K2080" s="26" t="s">
        <v>23</v>
      </c>
      <c r="L2080" s="31">
        <f t="shared" si="67"/>
        <v>5023.9503999999997</v>
      </c>
      <c r="M2080" s="31">
        <v>195.81</v>
      </c>
      <c r="N2080" s="22">
        <f>_xlfn.XLOOKUP(Snitch_Fashion_Sales_cleaned!$J2080,Table2[City],Table2[City_Key],"not found")</f>
        <v>2</v>
      </c>
      <c r="O2080" s="21">
        <f>_xlfn.XLOOKUP(Snitch_Fashion_Sales_cleaned!$D2080,Table4[Product_Name],Table4[Product_Key],"not found")</f>
        <v>2</v>
      </c>
      <c r="P2080" s="25">
        <f>_xlfn.XLOOKUP(Snitch_Fashion_Sales_cleaned!$I2080,Table3[Order_Date],Table3[Date_Key])</f>
        <v>5</v>
      </c>
    </row>
    <row r="2081" spans="1:16" x14ac:dyDescent="0.3">
      <c r="A2081" s="34">
        <v>3079</v>
      </c>
      <c r="B2081" s="32" t="s">
        <v>2101</v>
      </c>
      <c r="C2081" s="32" t="s">
        <v>25</v>
      </c>
      <c r="D2081" s="33" t="s">
        <v>82</v>
      </c>
      <c r="E2081" s="34">
        <v>3</v>
      </c>
      <c r="F2081" s="35">
        <v>2839.98</v>
      </c>
      <c r="G2081" s="36">
        <v>0.51</v>
      </c>
      <c r="H2081" s="35">
        <f t="shared" si="66"/>
        <v>8519.94</v>
      </c>
      <c r="I2081" s="37">
        <v>45519</v>
      </c>
      <c r="J2081" s="33" t="s">
        <v>22</v>
      </c>
      <c r="K2081" s="33" t="s">
        <v>23</v>
      </c>
      <c r="L2081" s="38">
        <f t="shared" si="67"/>
        <v>4174.7705999999998</v>
      </c>
      <c r="M2081" s="38">
        <v>-48.25</v>
      </c>
      <c r="N2081" s="24">
        <f>_xlfn.XLOOKUP(Snitch_Fashion_Sales_cleaned!$J2081,Table2[City],Table2[City_Key],"not found")</f>
        <v>3</v>
      </c>
      <c r="O2081" s="23">
        <f>_xlfn.XLOOKUP(Snitch_Fashion_Sales_cleaned!$D2081,Table4[Product_Name],Table4[Product_Key],"not found")</f>
        <v>18</v>
      </c>
      <c r="P2081" s="32">
        <f>_xlfn.XLOOKUP(Snitch_Fashion_Sales_cleaned!$I2081,Table3[Order_Date],Table3[Date_Key])</f>
        <v>248</v>
      </c>
    </row>
    <row r="2082" spans="1:16" x14ac:dyDescent="0.3">
      <c r="A2082" s="27">
        <v>3080</v>
      </c>
      <c r="B2082" s="25" t="s">
        <v>2102</v>
      </c>
      <c r="C2082" s="25" t="s">
        <v>31</v>
      </c>
      <c r="D2082" s="26" t="s">
        <v>32</v>
      </c>
      <c r="E2082" s="27">
        <v>4</v>
      </c>
      <c r="F2082" s="28">
        <v>2001.5500000000002</v>
      </c>
      <c r="G2082" s="29">
        <v>0.51</v>
      </c>
      <c r="H2082" s="28">
        <f t="shared" si="66"/>
        <v>8006.2000000000007</v>
      </c>
      <c r="I2082" s="30">
        <v>45777</v>
      </c>
      <c r="J2082" s="26" t="s">
        <v>2540</v>
      </c>
      <c r="K2082" s="26" t="s">
        <v>23</v>
      </c>
      <c r="L2082" s="31">
        <f t="shared" si="67"/>
        <v>3923.0380000000005</v>
      </c>
      <c r="M2082" s="31">
        <v>2067.89</v>
      </c>
      <c r="N2082" s="22">
        <f>_xlfn.XLOOKUP(Snitch_Fashion_Sales_cleaned!$J2082,Table2[City],Table2[City_Key],"not found")</f>
        <v>4</v>
      </c>
      <c r="O2082" s="21">
        <f>_xlfn.XLOOKUP(Snitch_Fashion_Sales_cleaned!$D2082,Table4[Product_Name],Table4[Product_Key],"not found")</f>
        <v>5</v>
      </c>
      <c r="P2082" s="25">
        <f>_xlfn.XLOOKUP(Snitch_Fashion_Sales_cleaned!$I2082,Table3[Order_Date],Table3[Date_Key])</f>
        <v>282</v>
      </c>
    </row>
    <row r="2083" spans="1:16" x14ac:dyDescent="0.3">
      <c r="A2083" s="34">
        <v>3081</v>
      </c>
      <c r="B2083" s="32" t="s">
        <v>2103</v>
      </c>
      <c r="C2083" s="32" t="s">
        <v>31</v>
      </c>
      <c r="D2083" s="33" t="s">
        <v>41</v>
      </c>
      <c r="E2083" s="34">
        <v>3</v>
      </c>
      <c r="F2083" s="35">
        <v>3027.66</v>
      </c>
      <c r="G2083" s="36">
        <v>0.51</v>
      </c>
      <c r="H2083" s="35">
        <f t="shared" si="66"/>
        <v>9082.98</v>
      </c>
      <c r="I2083" s="37">
        <v>45647</v>
      </c>
      <c r="J2083" s="33" t="s">
        <v>18</v>
      </c>
      <c r="K2083" s="33" t="s">
        <v>23</v>
      </c>
      <c r="L2083" s="38">
        <f t="shared" si="67"/>
        <v>4450.6601999999993</v>
      </c>
      <c r="M2083" s="38">
        <v>-245.42</v>
      </c>
      <c r="N2083" s="24">
        <f>_xlfn.XLOOKUP(Snitch_Fashion_Sales_cleaned!$J2083,Table2[City],Table2[City_Key],"not found")</f>
        <v>2</v>
      </c>
      <c r="O2083" s="23">
        <f>_xlfn.XLOOKUP(Snitch_Fashion_Sales_cleaned!$D2083,Table4[Product_Name],Table4[Product_Key],"not found")</f>
        <v>9</v>
      </c>
      <c r="P2083" s="32">
        <f>_xlfn.XLOOKUP(Snitch_Fashion_Sales_cleaned!$I2083,Table3[Order_Date],Table3[Date_Key])</f>
        <v>5</v>
      </c>
    </row>
    <row r="2084" spans="1:16" x14ac:dyDescent="0.3">
      <c r="A2084" s="27">
        <v>3082</v>
      </c>
      <c r="B2084" s="25" t="s">
        <v>2104</v>
      </c>
      <c r="C2084" s="25" t="s">
        <v>36</v>
      </c>
      <c r="D2084" s="26" t="s">
        <v>55</v>
      </c>
      <c r="E2084" s="27">
        <v>5</v>
      </c>
      <c r="F2084" s="28">
        <v>2731.6350000000002</v>
      </c>
      <c r="G2084" s="29">
        <v>0.51</v>
      </c>
      <c r="H2084" s="28">
        <f t="shared" si="66"/>
        <v>13658.175000000001</v>
      </c>
      <c r="I2084" s="30">
        <v>45797</v>
      </c>
      <c r="J2084" s="26" t="s">
        <v>43</v>
      </c>
      <c r="K2084" s="26" t="s">
        <v>23</v>
      </c>
      <c r="L2084" s="31">
        <f t="shared" si="67"/>
        <v>6692.5057500000003</v>
      </c>
      <c r="M2084" s="31">
        <v>664.73</v>
      </c>
      <c r="N2084" s="22">
        <f>_xlfn.XLOOKUP(Snitch_Fashion_Sales_cleaned!$J2084,Table2[City],Table2[City_Key],"not found")</f>
        <v>6</v>
      </c>
      <c r="O2084" s="21">
        <f>_xlfn.XLOOKUP(Snitch_Fashion_Sales_cleaned!$D2084,Table4[Product_Name],Table4[Product_Key],"not found")</f>
        <v>12</v>
      </c>
      <c r="P2084" s="25">
        <f>_xlfn.XLOOKUP(Snitch_Fashion_Sales_cleaned!$I2084,Table3[Order_Date],Table3[Date_Key])</f>
        <v>26</v>
      </c>
    </row>
    <row r="2085" spans="1:16" x14ac:dyDescent="0.3">
      <c r="A2085" s="34">
        <v>3083</v>
      </c>
      <c r="B2085" s="32" t="s">
        <v>2105</v>
      </c>
      <c r="C2085" s="32" t="s">
        <v>31</v>
      </c>
      <c r="D2085" s="33" t="s">
        <v>32</v>
      </c>
      <c r="E2085" s="34">
        <v>4</v>
      </c>
      <c r="F2085" s="35">
        <v>1573.64</v>
      </c>
      <c r="G2085" s="36">
        <v>0.51</v>
      </c>
      <c r="H2085" s="35">
        <f t="shared" si="66"/>
        <v>6294.56</v>
      </c>
      <c r="I2085" s="37">
        <v>45846</v>
      </c>
      <c r="J2085" s="33" t="s">
        <v>15</v>
      </c>
      <c r="K2085" s="33" t="s">
        <v>23</v>
      </c>
      <c r="L2085" s="38">
        <f t="shared" si="67"/>
        <v>3084.3344000000002</v>
      </c>
      <c r="M2085" s="38">
        <v>792.35</v>
      </c>
      <c r="N2085" s="24">
        <f>_xlfn.XLOOKUP(Snitch_Fashion_Sales_cleaned!$J2085,Table2[City],Table2[City_Key],"not found")</f>
        <v>1</v>
      </c>
      <c r="O2085" s="23">
        <f>_xlfn.XLOOKUP(Snitch_Fashion_Sales_cleaned!$D2085,Table4[Product_Name],Table4[Product_Key],"not found")</f>
        <v>5</v>
      </c>
      <c r="P2085" s="32">
        <f>_xlfn.XLOOKUP(Snitch_Fashion_Sales_cleaned!$I2085,Table3[Order_Date],Table3[Date_Key])</f>
        <v>35</v>
      </c>
    </row>
    <row r="2086" spans="1:16" x14ac:dyDescent="0.3">
      <c r="A2086" s="27">
        <v>3084</v>
      </c>
      <c r="B2086" s="25" t="s">
        <v>2106</v>
      </c>
      <c r="C2086" s="25" t="s">
        <v>31</v>
      </c>
      <c r="D2086" s="26" t="s">
        <v>41</v>
      </c>
      <c r="E2086" s="27">
        <v>3</v>
      </c>
      <c r="F2086" s="28">
        <v>2316.64</v>
      </c>
      <c r="G2086" s="29">
        <v>0.7</v>
      </c>
      <c r="H2086" s="28">
        <f t="shared" si="66"/>
        <v>6949.92</v>
      </c>
      <c r="I2086" s="30">
        <v>45553</v>
      </c>
      <c r="J2086" s="26" t="s">
        <v>18</v>
      </c>
      <c r="K2086" s="26" t="s">
        <v>23</v>
      </c>
      <c r="L2086" s="31">
        <f t="shared" si="67"/>
        <v>2084.9760000000001</v>
      </c>
      <c r="M2086" s="31">
        <v>-657.76</v>
      </c>
      <c r="N2086" s="22">
        <f>_xlfn.XLOOKUP(Snitch_Fashion_Sales_cleaned!$J2086,Table2[City],Table2[City_Key],"not found")</f>
        <v>2</v>
      </c>
      <c r="O2086" s="21">
        <f>_xlfn.XLOOKUP(Snitch_Fashion_Sales_cleaned!$D2086,Table4[Product_Name],Table4[Product_Key],"not found")</f>
        <v>9</v>
      </c>
      <c r="P2086" s="25">
        <f>_xlfn.XLOOKUP(Snitch_Fashion_Sales_cleaned!$I2086,Table3[Order_Date],Table3[Date_Key])</f>
        <v>430</v>
      </c>
    </row>
    <row r="2087" spans="1:16" x14ac:dyDescent="0.3">
      <c r="A2087" s="34">
        <v>3085</v>
      </c>
      <c r="B2087" s="32" t="s">
        <v>2107</v>
      </c>
      <c r="C2087" s="32" t="s">
        <v>31</v>
      </c>
      <c r="D2087" s="33" t="s">
        <v>32</v>
      </c>
      <c r="E2087" s="34">
        <v>4</v>
      </c>
      <c r="F2087" s="35">
        <v>2001.5500000000002</v>
      </c>
      <c r="G2087" s="36">
        <v>0.51</v>
      </c>
      <c r="H2087" s="35">
        <f t="shared" si="66"/>
        <v>8006.2000000000007</v>
      </c>
      <c r="I2087" s="37">
        <v>45532</v>
      </c>
      <c r="J2087" s="33" t="s">
        <v>22</v>
      </c>
      <c r="K2087" s="33" t="s">
        <v>16</v>
      </c>
      <c r="L2087" s="38">
        <f t="shared" si="67"/>
        <v>3923.0380000000005</v>
      </c>
      <c r="M2087" s="38">
        <v>2563.31</v>
      </c>
      <c r="N2087" s="24">
        <f>_xlfn.XLOOKUP(Snitch_Fashion_Sales_cleaned!$J2087,Table2[City],Table2[City_Key],"not found")</f>
        <v>3</v>
      </c>
      <c r="O2087" s="23">
        <f>_xlfn.XLOOKUP(Snitch_Fashion_Sales_cleaned!$D2087,Table4[Product_Name],Table4[Product_Key],"not found")</f>
        <v>5</v>
      </c>
      <c r="P2087" s="32">
        <f>_xlfn.XLOOKUP(Snitch_Fashion_Sales_cleaned!$I2087,Table3[Order_Date],Table3[Date_Key])</f>
        <v>349</v>
      </c>
    </row>
    <row r="2088" spans="1:16" x14ac:dyDescent="0.3">
      <c r="A2088" s="27">
        <v>3086</v>
      </c>
      <c r="B2088" s="25" t="s">
        <v>2108</v>
      </c>
      <c r="C2088" s="25" t="s">
        <v>28</v>
      </c>
      <c r="D2088" s="26" t="s">
        <v>116</v>
      </c>
      <c r="E2088" s="27">
        <v>4</v>
      </c>
      <c r="F2088" s="28">
        <v>2785.79</v>
      </c>
      <c r="G2088" s="29">
        <v>0.51</v>
      </c>
      <c r="H2088" s="28">
        <f t="shared" si="66"/>
        <v>11143.16</v>
      </c>
      <c r="I2088" s="30">
        <v>45253</v>
      </c>
      <c r="J2088" s="26" t="s">
        <v>15</v>
      </c>
      <c r="K2088" s="26" t="s">
        <v>23</v>
      </c>
      <c r="L2088" s="31">
        <f t="shared" si="67"/>
        <v>5460.1484</v>
      </c>
      <c r="M2088" s="31">
        <v>918.53</v>
      </c>
      <c r="N2088" s="22">
        <f>_xlfn.XLOOKUP(Snitch_Fashion_Sales_cleaned!$J2088,Table2[City],Table2[City_Key],"not found")</f>
        <v>1</v>
      </c>
      <c r="O2088" s="21">
        <f>_xlfn.XLOOKUP(Snitch_Fashion_Sales_cleaned!$D2088,Table4[Product_Name],Table4[Product_Key],"not found")</f>
        <v>22</v>
      </c>
      <c r="P2088" s="25">
        <f>_xlfn.XLOOKUP(Snitch_Fashion_Sales_cleaned!$I2088,Table3[Order_Date],Table3[Date_Key])</f>
        <v>234</v>
      </c>
    </row>
    <row r="2089" spans="1:16" x14ac:dyDescent="0.3">
      <c r="A2089" s="34">
        <v>3087</v>
      </c>
      <c r="B2089" s="32" t="s">
        <v>2109</v>
      </c>
      <c r="C2089" s="32" t="s">
        <v>13</v>
      </c>
      <c r="D2089" s="33" t="s">
        <v>14</v>
      </c>
      <c r="E2089" s="34">
        <v>4</v>
      </c>
      <c r="F2089" s="35">
        <v>692.46</v>
      </c>
      <c r="G2089" s="36">
        <v>0.51</v>
      </c>
      <c r="H2089" s="35">
        <f t="shared" si="66"/>
        <v>2769.84</v>
      </c>
      <c r="I2089" s="37">
        <v>45542</v>
      </c>
      <c r="J2089" s="33" t="s">
        <v>2540</v>
      </c>
      <c r="K2089" s="33" t="s">
        <v>23</v>
      </c>
      <c r="L2089" s="38">
        <f t="shared" si="67"/>
        <v>1357.2216000000001</v>
      </c>
      <c r="M2089" s="38">
        <v>-901.21</v>
      </c>
      <c r="N2089" s="24">
        <f>_xlfn.XLOOKUP(Snitch_Fashion_Sales_cleaned!$J2089,Table2[City],Table2[City_Key],"not found")</f>
        <v>4</v>
      </c>
      <c r="O2089" s="23">
        <f>_xlfn.XLOOKUP(Snitch_Fashion_Sales_cleaned!$D2089,Table4[Product_Name],Table4[Product_Key],"not found")</f>
        <v>1</v>
      </c>
      <c r="P2089" s="32">
        <f>_xlfn.XLOOKUP(Snitch_Fashion_Sales_cleaned!$I2089,Table3[Order_Date],Table3[Date_Key])</f>
        <v>495</v>
      </c>
    </row>
    <row r="2090" spans="1:16" x14ac:dyDescent="0.3">
      <c r="A2090" s="27">
        <v>1028</v>
      </c>
      <c r="B2090" s="25" t="s">
        <v>2110</v>
      </c>
      <c r="C2090" s="25" t="s">
        <v>13</v>
      </c>
      <c r="D2090" s="26" t="s">
        <v>14</v>
      </c>
      <c r="E2090" s="27">
        <v>4</v>
      </c>
      <c r="F2090" s="28">
        <v>3344.74</v>
      </c>
      <c r="G2090" s="29">
        <v>0.51</v>
      </c>
      <c r="H2090" s="28">
        <f t="shared" si="66"/>
        <v>13378.96</v>
      </c>
      <c r="I2090" s="30">
        <v>45692</v>
      </c>
      <c r="J2090" s="26" t="s">
        <v>18</v>
      </c>
      <c r="K2090" s="26" t="s">
        <v>23</v>
      </c>
      <c r="L2090" s="31">
        <f t="shared" si="67"/>
        <v>6555.6903999999995</v>
      </c>
      <c r="M2090" s="31">
        <v>2728.08</v>
      </c>
      <c r="N2090" s="22">
        <f>_xlfn.XLOOKUP(Snitch_Fashion_Sales_cleaned!$J2090,Table2[City],Table2[City_Key],"not found")</f>
        <v>2</v>
      </c>
      <c r="O2090" s="21">
        <f>_xlfn.XLOOKUP(Snitch_Fashion_Sales_cleaned!$D2090,Table4[Product_Name],Table4[Product_Key],"not found")</f>
        <v>1</v>
      </c>
      <c r="P2090" s="25">
        <f>_xlfn.XLOOKUP(Snitch_Fashion_Sales_cleaned!$I2090,Table3[Order_Date],Table3[Date_Key])</f>
        <v>152</v>
      </c>
    </row>
    <row r="2091" spans="1:16" x14ac:dyDescent="0.3">
      <c r="A2091" s="34">
        <v>3089</v>
      </c>
      <c r="B2091" s="32" t="s">
        <v>2111</v>
      </c>
      <c r="C2091" s="32" t="s">
        <v>28</v>
      </c>
      <c r="D2091" s="33" t="s">
        <v>29</v>
      </c>
      <c r="E2091" s="34">
        <v>3</v>
      </c>
      <c r="F2091" s="35">
        <v>3153.72</v>
      </c>
      <c r="G2091" s="36">
        <v>0.51</v>
      </c>
      <c r="H2091" s="35">
        <f t="shared" si="66"/>
        <v>9461.16</v>
      </c>
      <c r="I2091" s="37">
        <v>45692</v>
      </c>
      <c r="J2091" s="33" t="s">
        <v>52</v>
      </c>
      <c r="K2091" s="33" t="s">
        <v>23</v>
      </c>
      <c r="L2091" s="38">
        <f t="shared" si="67"/>
        <v>4635.9683999999997</v>
      </c>
      <c r="M2091" s="38">
        <v>2686.96</v>
      </c>
      <c r="N2091" s="24">
        <f>_xlfn.XLOOKUP(Snitch_Fashion_Sales_cleaned!$J2091,Table2[City],Table2[City_Key],"not found")</f>
        <v>5</v>
      </c>
      <c r="O2091" s="23">
        <f>_xlfn.XLOOKUP(Snitch_Fashion_Sales_cleaned!$D2091,Table4[Product_Name],Table4[Product_Key],"not found")</f>
        <v>4</v>
      </c>
      <c r="P2091" s="32">
        <f>_xlfn.XLOOKUP(Snitch_Fashion_Sales_cleaned!$I2091,Table3[Order_Date],Table3[Date_Key])</f>
        <v>152</v>
      </c>
    </row>
    <row r="2092" spans="1:16" x14ac:dyDescent="0.3">
      <c r="A2092" s="27">
        <v>3090</v>
      </c>
      <c r="B2092" s="25" t="s">
        <v>2112</v>
      </c>
      <c r="C2092" s="25" t="s">
        <v>36</v>
      </c>
      <c r="D2092" s="26" t="s">
        <v>59</v>
      </c>
      <c r="E2092" s="27">
        <v>3</v>
      </c>
      <c r="F2092" s="28">
        <v>3033.2</v>
      </c>
      <c r="G2092" s="29">
        <v>0.51</v>
      </c>
      <c r="H2092" s="28">
        <f t="shared" si="66"/>
        <v>9099.5999999999985</v>
      </c>
      <c r="I2092" s="30">
        <v>45537</v>
      </c>
      <c r="J2092" s="26" t="s">
        <v>43</v>
      </c>
      <c r="K2092" s="26" t="s">
        <v>23</v>
      </c>
      <c r="L2092" s="31">
        <f t="shared" si="67"/>
        <v>4458.8039999999992</v>
      </c>
      <c r="M2092" s="31">
        <v>490.69</v>
      </c>
      <c r="N2092" s="22">
        <f>_xlfn.XLOOKUP(Snitch_Fashion_Sales_cleaned!$J2092,Table2[City],Table2[City_Key],"not found")</f>
        <v>6</v>
      </c>
      <c r="O2092" s="21">
        <f>_xlfn.XLOOKUP(Snitch_Fashion_Sales_cleaned!$D2092,Table4[Product_Name],Table4[Product_Key],"not found")</f>
        <v>13</v>
      </c>
      <c r="P2092" s="25">
        <f>_xlfn.XLOOKUP(Snitch_Fashion_Sales_cleaned!$I2092,Table3[Order_Date],Table3[Date_Key])</f>
        <v>499</v>
      </c>
    </row>
    <row r="2093" spans="1:16" x14ac:dyDescent="0.3">
      <c r="A2093" s="34">
        <v>3091</v>
      </c>
      <c r="B2093" s="32" t="s">
        <v>2113</v>
      </c>
      <c r="C2093" s="32" t="s">
        <v>28</v>
      </c>
      <c r="D2093" s="33" t="s">
        <v>116</v>
      </c>
      <c r="E2093" s="34">
        <v>4</v>
      </c>
      <c r="F2093" s="35">
        <v>1091.76</v>
      </c>
      <c r="G2093" s="36">
        <v>0.54</v>
      </c>
      <c r="H2093" s="35">
        <f t="shared" si="66"/>
        <v>4367.04</v>
      </c>
      <c r="I2093" s="37">
        <v>45613</v>
      </c>
      <c r="J2093" s="33" t="s">
        <v>52</v>
      </c>
      <c r="K2093" s="33" t="s">
        <v>23</v>
      </c>
      <c r="L2093" s="38">
        <f t="shared" si="67"/>
        <v>2008.8383999999999</v>
      </c>
      <c r="M2093" s="38">
        <v>502.20959999999997</v>
      </c>
      <c r="N2093" s="24">
        <f>_xlfn.XLOOKUP(Snitch_Fashion_Sales_cleaned!$J2093,Table2[City],Table2[City_Key],"not found")</f>
        <v>5</v>
      </c>
      <c r="O2093" s="23">
        <f>_xlfn.XLOOKUP(Snitch_Fashion_Sales_cleaned!$D2093,Table4[Product_Name],Table4[Product_Key],"not found")</f>
        <v>22</v>
      </c>
      <c r="P2093" s="32">
        <f>_xlfn.XLOOKUP(Snitch_Fashion_Sales_cleaned!$I2093,Table3[Order_Date],Table3[Date_Key])</f>
        <v>375</v>
      </c>
    </row>
    <row r="2094" spans="1:16" x14ac:dyDescent="0.3">
      <c r="A2094" s="27">
        <v>3092</v>
      </c>
      <c r="B2094" s="25" t="s">
        <v>2114</v>
      </c>
      <c r="C2094" s="25" t="s">
        <v>20</v>
      </c>
      <c r="D2094" s="26" t="s">
        <v>21</v>
      </c>
      <c r="E2094" s="27">
        <v>4</v>
      </c>
      <c r="F2094" s="28">
        <v>2579.8000000000002</v>
      </c>
      <c r="G2094" s="29">
        <v>0.51</v>
      </c>
      <c r="H2094" s="28">
        <f t="shared" si="66"/>
        <v>10319.200000000001</v>
      </c>
      <c r="I2094" s="30">
        <v>45714</v>
      </c>
      <c r="J2094" s="26" t="s">
        <v>2540</v>
      </c>
      <c r="K2094" s="26" t="s">
        <v>23</v>
      </c>
      <c r="L2094" s="31">
        <f t="shared" si="67"/>
        <v>5056.4080000000004</v>
      </c>
      <c r="M2094" s="31">
        <v>250.05</v>
      </c>
      <c r="N2094" s="22">
        <f>_xlfn.XLOOKUP(Snitch_Fashion_Sales_cleaned!$J2094,Table2[City],Table2[City_Key],"not found")</f>
        <v>4</v>
      </c>
      <c r="O2094" s="21">
        <f>_xlfn.XLOOKUP(Snitch_Fashion_Sales_cleaned!$D2094,Table4[Product_Name],Table4[Product_Key],"not found")</f>
        <v>2</v>
      </c>
      <c r="P2094" s="25">
        <f>_xlfn.XLOOKUP(Snitch_Fashion_Sales_cleaned!$I2094,Table3[Order_Date],Table3[Date_Key])</f>
        <v>312</v>
      </c>
    </row>
    <row r="2095" spans="1:16" x14ac:dyDescent="0.3">
      <c r="A2095" s="34">
        <v>3093</v>
      </c>
      <c r="B2095" s="32" t="s">
        <v>2115</v>
      </c>
      <c r="C2095" s="32" t="s">
        <v>25</v>
      </c>
      <c r="D2095" s="33" t="s">
        <v>82</v>
      </c>
      <c r="E2095" s="34">
        <v>2</v>
      </c>
      <c r="F2095" s="35">
        <v>1551.41</v>
      </c>
      <c r="G2095" s="36">
        <v>0.54</v>
      </c>
      <c r="H2095" s="35">
        <f t="shared" si="66"/>
        <v>3102.82</v>
      </c>
      <c r="I2095" s="37">
        <v>45646</v>
      </c>
      <c r="J2095" s="33" t="s">
        <v>15</v>
      </c>
      <c r="K2095" s="33" t="s">
        <v>16</v>
      </c>
      <c r="L2095" s="38">
        <f t="shared" si="67"/>
        <v>1427.2972</v>
      </c>
      <c r="M2095" s="38">
        <v>763.37</v>
      </c>
      <c r="N2095" s="24">
        <f>_xlfn.XLOOKUP(Snitch_Fashion_Sales_cleaned!$J2095,Table2[City],Table2[City_Key],"not found")</f>
        <v>1</v>
      </c>
      <c r="O2095" s="23">
        <f>_xlfn.XLOOKUP(Snitch_Fashion_Sales_cleaned!$D2095,Table4[Product_Name],Table4[Product_Key],"not found")</f>
        <v>18</v>
      </c>
      <c r="P2095" s="32">
        <f>_xlfn.XLOOKUP(Snitch_Fashion_Sales_cleaned!$I2095,Table3[Order_Date],Table3[Date_Key])</f>
        <v>529</v>
      </c>
    </row>
    <row r="2096" spans="1:16" x14ac:dyDescent="0.3">
      <c r="A2096" s="27">
        <v>3094</v>
      </c>
      <c r="B2096" s="25" t="s">
        <v>2116</v>
      </c>
      <c r="C2096" s="25" t="s">
        <v>36</v>
      </c>
      <c r="D2096" s="26" t="s">
        <v>59</v>
      </c>
      <c r="E2096" s="27">
        <v>3</v>
      </c>
      <c r="F2096" s="28">
        <v>4382.8599999999997</v>
      </c>
      <c r="G2096" s="29">
        <v>0.51</v>
      </c>
      <c r="H2096" s="28">
        <f t="shared" si="66"/>
        <v>13148.579999999998</v>
      </c>
      <c r="I2096" s="30">
        <v>45772</v>
      </c>
      <c r="J2096" s="26" t="s">
        <v>43</v>
      </c>
      <c r="K2096" s="26" t="s">
        <v>23</v>
      </c>
      <c r="L2096" s="31">
        <f t="shared" si="67"/>
        <v>6442.8041999999987</v>
      </c>
      <c r="M2096" s="31">
        <v>1172.7</v>
      </c>
      <c r="N2096" s="22">
        <f>_xlfn.XLOOKUP(Snitch_Fashion_Sales_cleaned!$J2096,Table2[City],Table2[City_Key],"not found")</f>
        <v>6</v>
      </c>
      <c r="O2096" s="21">
        <f>_xlfn.XLOOKUP(Snitch_Fashion_Sales_cleaned!$D2096,Table4[Product_Name],Table4[Product_Key],"not found")</f>
        <v>13</v>
      </c>
      <c r="P2096" s="25">
        <f>_xlfn.XLOOKUP(Snitch_Fashion_Sales_cleaned!$I2096,Table3[Order_Date],Table3[Date_Key])</f>
        <v>140</v>
      </c>
    </row>
    <row r="2097" spans="1:16" x14ac:dyDescent="0.3">
      <c r="A2097" s="34">
        <v>3095</v>
      </c>
      <c r="B2097" s="32" t="s">
        <v>2117</v>
      </c>
      <c r="C2097" s="32" t="s">
        <v>28</v>
      </c>
      <c r="D2097" s="33" t="s">
        <v>116</v>
      </c>
      <c r="E2097" s="34">
        <v>1</v>
      </c>
      <c r="F2097" s="35">
        <v>2785.79</v>
      </c>
      <c r="G2097" s="36">
        <v>0.51</v>
      </c>
      <c r="H2097" s="35">
        <f t="shared" si="66"/>
        <v>2785.79</v>
      </c>
      <c r="I2097" s="37">
        <v>45839</v>
      </c>
      <c r="J2097" s="33" t="s">
        <v>43</v>
      </c>
      <c r="K2097" s="33" t="s">
        <v>23</v>
      </c>
      <c r="L2097" s="38">
        <f t="shared" si="67"/>
        <v>1365.0371</v>
      </c>
      <c r="M2097" s="38">
        <v>341.259275</v>
      </c>
      <c r="N2097" s="24">
        <f>_xlfn.XLOOKUP(Snitch_Fashion_Sales_cleaned!$J2097,Table2[City],Table2[City_Key],"not found")</f>
        <v>6</v>
      </c>
      <c r="O2097" s="23">
        <f>_xlfn.XLOOKUP(Snitch_Fashion_Sales_cleaned!$D2097,Table4[Product_Name],Table4[Product_Key],"not found")</f>
        <v>22</v>
      </c>
      <c r="P2097" s="32">
        <f>_xlfn.XLOOKUP(Snitch_Fashion_Sales_cleaned!$I2097,Table3[Order_Date],Table3[Date_Key])</f>
        <v>200</v>
      </c>
    </row>
    <row r="2098" spans="1:16" x14ac:dyDescent="0.3">
      <c r="A2098" s="27">
        <v>3096</v>
      </c>
      <c r="B2098" s="25" t="s">
        <v>2118</v>
      </c>
      <c r="C2098" s="25" t="s">
        <v>25</v>
      </c>
      <c r="D2098" s="26" t="s">
        <v>82</v>
      </c>
      <c r="E2098" s="27">
        <v>2</v>
      </c>
      <c r="F2098" s="28">
        <v>2312.09</v>
      </c>
      <c r="G2098" s="29">
        <v>0.51</v>
      </c>
      <c r="H2098" s="28">
        <f t="shared" si="66"/>
        <v>4624.18</v>
      </c>
      <c r="I2098" s="30">
        <v>45821</v>
      </c>
      <c r="J2098" s="26" t="s">
        <v>2540</v>
      </c>
      <c r="K2098" s="26" t="s">
        <v>23</v>
      </c>
      <c r="L2098" s="31">
        <f t="shared" si="67"/>
        <v>2265.8481999999999</v>
      </c>
      <c r="M2098" s="31">
        <v>508.96</v>
      </c>
      <c r="N2098" s="22">
        <f>_xlfn.XLOOKUP(Snitch_Fashion_Sales_cleaned!$J2098,Table2[City],Table2[City_Key],"not found")</f>
        <v>4</v>
      </c>
      <c r="O2098" s="21">
        <f>_xlfn.XLOOKUP(Snitch_Fashion_Sales_cleaned!$D2098,Table4[Product_Name],Table4[Product_Key],"not found")</f>
        <v>18</v>
      </c>
      <c r="P2098" s="25">
        <f>_xlfn.XLOOKUP(Snitch_Fashion_Sales_cleaned!$I2098,Table3[Order_Date],Table3[Date_Key])</f>
        <v>273</v>
      </c>
    </row>
    <row r="2099" spans="1:16" x14ac:dyDescent="0.3">
      <c r="A2099" s="34">
        <v>3097</v>
      </c>
      <c r="B2099" s="32" t="s">
        <v>2119</v>
      </c>
      <c r="C2099" s="32" t="s">
        <v>25</v>
      </c>
      <c r="D2099" s="33" t="s">
        <v>82</v>
      </c>
      <c r="E2099" s="34">
        <v>3</v>
      </c>
      <c r="F2099" s="35">
        <v>3111.65</v>
      </c>
      <c r="G2099" s="36">
        <v>0.51</v>
      </c>
      <c r="H2099" s="35">
        <f t="shared" si="66"/>
        <v>9334.9500000000007</v>
      </c>
      <c r="I2099" s="37">
        <v>45538</v>
      </c>
      <c r="J2099" s="33" t="s">
        <v>52</v>
      </c>
      <c r="K2099" s="33" t="s">
        <v>23</v>
      </c>
      <c r="L2099" s="38">
        <f t="shared" si="67"/>
        <v>4574.1255000000001</v>
      </c>
      <c r="M2099" s="38">
        <v>2868.09</v>
      </c>
      <c r="N2099" s="24">
        <f>_xlfn.XLOOKUP(Snitch_Fashion_Sales_cleaned!$J2099,Table2[City],Table2[City_Key],"not found")</f>
        <v>5</v>
      </c>
      <c r="O2099" s="23">
        <f>_xlfn.XLOOKUP(Snitch_Fashion_Sales_cleaned!$D2099,Table4[Product_Name],Table4[Product_Key],"not found")</f>
        <v>18</v>
      </c>
      <c r="P2099" s="32">
        <f>_xlfn.XLOOKUP(Snitch_Fashion_Sales_cleaned!$I2099,Table3[Order_Date],Table3[Date_Key])</f>
        <v>294</v>
      </c>
    </row>
    <row r="2100" spans="1:16" x14ac:dyDescent="0.3">
      <c r="A2100" s="27">
        <v>1028</v>
      </c>
      <c r="B2100" s="25" t="s">
        <v>2120</v>
      </c>
      <c r="C2100" s="25" t="s">
        <v>36</v>
      </c>
      <c r="D2100" s="26" t="s">
        <v>55</v>
      </c>
      <c r="E2100" s="27">
        <v>3</v>
      </c>
      <c r="F2100" s="28">
        <v>2996.43</v>
      </c>
      <c r="G2100" s="29">
        <v>0.51</v>
      </c>
      <c r="H2100" s="28">
        <f t="shared" si="66"/>
        <v>8989.2899999999991</v>
      </c>
      <c r="I2100" s="30">
        <v>45647</v>
      </c>
      <c r="J2100" s="26" t="s">
        <v>43</v>
      </c>
      <c r="K2100" s="26" t="s">
        <v>16</v>
      </c>
      <c r="L2100" s="31">
        <f t="shared" si="67"/>
        <v>4404.7520999999997</v>
      </c>
      <c r="M2100" s="31">
        <v>2205.5700000000002</v>
      </c>
      <c r="N2100" s="22">
        <f>_xlfn.XLOOKUP(Snitch_Fashion_Sales_cleaned!$J2100,Table2[City],Table2[City_Key],"not found")</f>
        <v>6</v>
      </c>
      <c r="O2100" s="21">
        <f>_xlfn.XLOOKUP(Snitch_Fashion_Sales_cleaned!$D2100,Table4[Product_Name],Table4[Product_Key],"not found")</f>
        <v>12</v>
      </c>
      <c r="P2100" s="25">
        <f>_xlfn.XLOOKUP(Snitch_Fashion_Sales_cleaned!$I2100,Table3[Order_Date],Table3[Date_Key])</f>
        <v>5</v>
      </c>
    </row>
    <row r="2101" spans="1:16" x14ac:dyDescent="0.3">
      <c r="A2101" s="34">
        <v>3099</v>
      </c>
      <c r="B2101" s="32" t="s">
        <v>2121</v>
      </c>
      <c r="C2101" s="32" t="s">
        <v>28</v>
      </c>
      <c r="D2101" s="33" t="s">
        <v>116</v>
      </c>
      <c r="E2101" s="34">
        <v>4</v>
      </c>
      <c r="F2101" s="35">
        <v>4426.87</v>
      </c>
      <c r="G2101" s="36">
        <v>0.51</v>
      </c>
      <c r="H2101" s="35">
        <f t="shared" si="66"/>
        <v>17707.48</v>
      </c>
      <c r="I2101" s="37">
        <v>45647</v>
      </c>
      <c r="J2101" s="33" t="s">
        <v>43</v>
      </c>
      <c r="K2101" s="33" t="s">
        <v>23</v>
      </c>
      <c r="L2101" s="38">
        <f t="shared" si="67"/>
        <v>8676.6651999999995</v>
      </c>
      <c r="M2101" s="38">
        <v>2480.9499999999998</v>
      </c>
      <c r="N2101" s="24">
        <f>_xlfn.XLOOKUP(Snitch_Fashion_Sales_cleaned!$J2101,Table2[City],Table2[City_Key],"not found")</f>
        <v>6</v>
      </c>
      <c r="O2101" s="23">
        <f>_xlfn.XLOOKUP(Snitch_Fashion_Sales_cleaned!$D2101,Table4[Product_Name],Table4[Product_Key],"not found")</f>
        <v>22</v>
      </c>
      <c r="P2101" s="32">
        <f>_xlfn.XLOOKUP(Snitch_Fashion_Sales_cleaned!$I2101,Table3[Order_Date],Table3[Date_Key])</f>
        <v>5</v>
      </c>
    </row>
    <row r="2102" spans="1:16" x14ac:dyDescent="0.3">
      <c r="A2102" s="27">
        <v>3100</v>
      </c>
      <c r="B2102" s="25" t="s">
        <v>2122</v>
      </c>
      <c r="C2102" s="25" t="s">
        <v>20</v>
      </c>
      <c r="D2102" s="26" t="s">
        <v>118</v>
      </c>
      <c r="E2102" s="27">
        <v>3.5</v>
      </c>
      <c r="F2102" s="28">
        <v>2752.99</v>
      </c>
      <c r="G2102" s="29">
        <v>0.51</v>
      </c>
      <c r="H2102" s="28">
        <f t="shared" si="66"/>
        <v>9635.4650000000001</v>
      </c>
      <c r="I2102" s="30">
        <v>45533</v>
      </c>
      <c r="J2102" s="26" t="s">
        <v>18</v>
      </c>
      <c r="K2102" s="26" t="s">
        <v>23</v>
      </c>
      <c r="L2102" s="31">
        <f t="shared" si="67"/>
        <v>4721.3778499999999</v>
      </c>
      <c r="M2102" s="31">
        <v>2379.7399999999998</v>
      </c>
      <c r="N2102" s="22">
        <f>_xlfn.XLOOKUP(Snitch_Fashion_Sales_cleaned!$J2102,Table2[City],Table2[City_Key],"not found")</f>
        <v>2</v>
      </c>
      <c r="O2102" s="21">
        <f>_xlfn.XLOOKUP(Snitch_Fashion_Sales_cleaned!$D2102,Table4[Product_Name],Table4[Product_Key],"not found")</f>
        <v>23</v>
      </c>
      <c r="P2102" s="25">
        <f>_xlfn.XLOOKUP(Snitch_Fashion_Sales_cleaned!$I2102,Table3[Order_Date],Table3[Date_Key])</f>
        <v>232</v>
      </c>
    </row>
    <row r="2103" spans="1:16" x14ac:dyDescent="0.3">
      <c r="A2103" s="34">
        <v>3101</v>
      </c>
      <c r="B2103" s="32" t="s">
        <v>2123</v>
      </c>
      <c r="C2103" s="32" t="s">
        <v>28</v>
      </c>
      <c r="D2103" s="33" t="s">
        <v>29</v>
      </c>
      <c r="E2103" s="34">
        <v>1</v>
      </c>
      <c r="F2103" s="35">
        <v>2515.415</v>
      </c>
      <c r="G2103" s="36">
        <v>0.51</v>
      </c>
      <c r="H2103" s="35">
        <f t="shared" si="66"/>
        <v>2515.415</v>
      </c>
      <c r="I2103" s="37">
        <v>45856</v>
      </c>
      <c r="J2103" s="33" t="s">
        <v>22</v>
      </c>
      <c r="K2103" s="33" t="s">
        <v>23</v>
      </c>
      <c r="L2103" s="38">
        <f t="shared" si="67"/>
        <v>1232.5533499999999</v>
      </c>
      <c r="M2103" s="38">
        <v>478.53</v>
      </c>
      <c r="N2103" s="24">
        <f>_xlfn.XLOOKUP(Snitch_Fashion_Sales_cleaned!$J2103,Table2[City],Table2[City_Key],"not found")</f>
        <v>3</v>
      </c>
      <c r="O2103" s="23">
        <f>_xlfn.XLOOKUP(Snitch_Fashion_Sales_cleaned!$D2103,Table4[Product_Name],Table4[Product_Key],"not found")</f>
        <v>4</v>
      </c>
      <c r="P2103" s="32">
        <f>_xlfn.XLOOKUP(Snitch_Fashion_Sales_cleaned!$I2103,Table3[Order_Date],Table3[Date_Key])</f>
        <v>18</v>
      </c>
    </row>
    <row r="2104" spans="1:16" x14ac:dyDescent="0.3">
      <c r="A2104" s="27">
        <v>1025</v>
      </c>
      <c r="B2104" s="25" t="s">
        <v>2124</v>
      </c>
      <c r="C2104" s="25" t="s">
        <v>36</v>
      </c>
      <c r="D2104" s="26" t="s">
        <v>55</v>
      </c>
      <c r="E2104" s="27">
        <v>3</v>
      </c>
      <c r="F2104" s="28">
        <v>2731.6350000000002</v>
      </c>
      <c r="G2104" s="29">
        <v>0.51</v>
      </c>
      <c r="H2104" s="28">
        <f t="shared" si="66"/>
        <v>8194.9050000000007</v>
      </c>
      <c r="I2104" s="30">
        <v>45607</v>
      </c>
      <c r="J2104" s="26" t="s">
        <v>18</v>
      </c>
      <c r="K2104" s="26" t="s">
        <v>23</v>
      </c>
      <c r="L2104" s="31">
        <f t="shared" si="67"/>
        <v>4015.5034500000002</v>
      </c>
      <c r="M2104" s="31">
        <v>-861.84</v>
      </c>
      <c r="N2104" s="22">
        <f>_xlfn.XLOOKUP(Snitch_Fashion_Sales_cleaned!$J2104,Table2[City],Table2[City_Key],"not found")</f>
        <v>2</v>
      </c>
      <c r="O2104" s="21">
        <f>_xlfn.XLOOKUP(Snitch_Fashion_Sales_cleaned!$D2104,Table4[Product_Name],Table4[Product_Key],"not found")</f>
        <v>12</v>
      </c>
      <c r="P2104" s="25">
        <f>_xlfn.XLOOKUP(Snitch_Fashion_Sales_cleaned!$I2104,Table3[Order_Date],Table3[Date_Key])</f>
        <v>104</v>
      </c>
    </row>
    <row r="2105" spans="1:16" x14ac:dyDescent="0.3">
      <c r="A2105" s="34">
        <v>3103</v>
      </c>
      <c r="B2105" s="32" t="s">
        <v>2125</v>
      </c>
      <c r="C2105" s="32" t="s">
        <v>31</v>
      </c>
      <c r="D2105" s="33" t="s">
        <v>78</v>
      </c>
      <c r="E2105" s="34">
        <v>5</v>
      </c>
      <c r="F2105" s="35">
        <v>2599.75</v>
      </c>
      <c r="G2105" s="36">
        <v>0.51</v>
      </c>
      <c r="H2105" s="35">
        <f t="shared" si="66"/>
        <v>12998.75</v>
      </c>
      <c r="I2105" s="37">
        <v>45614</v>
      </c>
      <c r="J2105" s="33" t="s">
        <v>2540</v>
      </c>
      <c r="K2105" s="33" t="s">
        <v>16</v>
      </c>
      <c r="L2105" s="38">
        <f t="shared" si="67"/>
        <v>6369.3874999999998</v>
      </c>
      <c r="M2105" s="38">
        <v>654.74</v>
      </c>
      <c r="N2105" s="24">
        <f>_xlfn.XLOOKUP(Snitch_Fashion_Sales_cleaned!$J2105,Table2[City],Table2[City_Key],"not found")</f>
        <v>4</v>
      </c>
      <c r="O2105" s="23">
        <f>_xlfn.XLOOKUP(Snitch_Fashion_Sales_cleaned!$D2105,Table4[Product_Name],Table4[Product_Key],"not found")</f>
        <v>17</v>
      </c>
      <c r="P2105" s="32">
        <f>_xlfn.XLOOKUP(Snitch_Fashion_Sales_cleaned!$I2105,Table3[Order_Date],Table3[Date_Key])</f>
        <v>155</v>
      </c>
    </row>
    <row r="2106" spans="1:16" x14ac:dyDescent="0.3">
      <c r="A2106" s="27">
        <v>3104</v>
      </c>
      <c r="B2106" s="25" t="s">
        <v>2126</v>
      </c>
      <c r="C2106" s="25" t="s">
        <v>36</v>
      </c>
      <c r="D2106" s="26" t="s">
        <v>37</v>
      </c>
      <c r="E2106" s="27">
        <v>4</v>
      </c>
      <c r="F2106" s="28">
        <v>4274.01</v>
      </c>
      <c r="G2106" s="29">
        <v>0.28000000000000003</v>
      </c>
      <c r="H2106" s="28">
        <f t="shared" si="66"/>
        <v>17096.04</v>
      </c>
      <c r="I2106" s="30">
        <v>45637</v>
      </c>
      <c r="J2106" s="26" t="s">
        <v>18</v>
      </c>
      <c r="K2106" s="26" t="s">
        <v>23</v>
      </c>
      <c r="L2106" s="31">
        <f t="shared" si="67"/>
        <v>12309.148800000001</v>
      </c>
      <c r="M2106" s="31">
        <v>2263.5700000000002</v>
      </c>
      <c r="N2106" s="22">
        <f>_xlfn.XLOOKUP(Snitch_Fashion_Sales_cleaned!$J2106,Table2[City],Table2[City_Key],"not found")</f>
        <v>2</v>
      </c>
      <c r="O2106" s="21">
        <f>_xlfn.XLOOKUP(Snitch_Fashion_Sales_cleaned!$D2106,Table4[Product_Name],Table4[Product_Key],"not found")</f>
        <v>7</v>
      </c>
      <c r="P2106" s="25">
        <f>_xlfn.XLOOKUP(Snitch_Fashion_Sales_cleaned!$I2106,Table3[Order_Date],Table3[Date_Key])</f>
        <v>289</v>
      </c>
    </row>
    <row r="2107" spans="1:16" x14ac:dyDescent="0.3">
      <c r="A2107" s="34">
        <v>3105</v>
      </c>
      <c r="B2107" s="32" t="s">
        <v>2127</v>
      </c>
      <c r="C2107" s="32" t="s">
        <v>28</v>
      </c>
      <c r="D2107" s="33" t="s">
        <v>29</v>
      </c>
      <c r="E2107" s="34">
        <v>3</v>
      </c>
      <c r="F2107" s="35">
        <v>2515.415</v>
      </c>
      <c r="G2107" s="36">
        <v>0.51</v>
      </c>
      <c r="H2107" s="35">
        <f t="shared" si="66"/>
        <v>7546.2449999999999</v>
      </c>
      <c r="I2107" s="37">
        <v>45786</v>
      </c>
      <c r="J2107" s="33" t="s">
        <v>52</v>
      </c>
      <c r="K2107" s="33" t="s">
        <v>16</v>
      </c>
      <c r="L2107" s="38">
        <f t="shared" si="67"/>
        <v>3697.66005</v>
      </c>
      <c r="M2107" s="38">
        <v>1488.64</v>
      </c>
      <c r="N2107" s="24">
        <f>_xlfn.XLOOKUP(Snitch_Fashion_Sales_cleaned!$J2107,Table2[City],Table2[City_Key],"not found")</f>
        <v>5</v>
      </c>
      <c r="O2107" s="23">
        <f>_xlfn.XLOOKUP(Snitch_Fashion_Sales_cleaned!$D2107,Table4[Product_Name],Table4[Product_Key],"not found")</f>
        <v>4</v>
      </c>
      <c r="P2107" s="32">
        <f>_xlfn.XLOOKUP(Snitch_Fashion_Sales_cleaned!$I2107,Table3[Order_Date],Table3[Date_Key])</f>
        <v>408</v>
      </c>
    </row>
    <row r="2108" spans="1:16" x14ac:dyDescent="0.3">
      <c r="A2108" s="27">
        <v>3106</v>
      </c>
      <c r="B2108" s="25" t="s">
        <v>2128</v>
      </c>
      <c r="C2108" s="25" t="s">
        <v>28</v>
      </c>
      <c r="D2108" s="26" t="s">
        <v>39</v>
      </c>
      <c r="E2108" s="27">
        <v>6</v>
      </c>
      <c r="F2108" s="28">
        <v>2577.6350000000002</v>
      </c>
      <c r="G2108" s="29">
        <v>0.51</v>
      </c>
      <c r="H2108" s="28">
        <f t="shared" si="66"/>
        <v>15465.810000000001</v>
      </c>
      <c r="I2108" s="30">
        <v>45832</v>
      </c>
      <c r="J2108" s="26" t="s">
        <v>15</v>
      </c>
      <c r="K2108" s="26" t="s">
        <v>23</v>
      </c>
      <c r="L2108" s="31">
        <f t="shared" si="67"/>
        <v>7578.2469000000001</v>
      </c>
      <c r="M2108" s="31">
        <v>-521.15</v>
      </c>
      <c r="N2108" s="22">
        <f>_xlfn.XLOOKUP(Snitch_Fashion_Sales_cleaned!$J2108,Table2[City],Table2[City_Key],"not found")</f>
        <v>1</v>
      </c>
      <c r="O2108" s="21">
        <f>_xlfn.XLOOKUP(Snitch_Fashion_Sales_cleaned!$D2108,Table4[Product_Name],Table4[Product_Key],"not found")</f>
        <v>8</v>
      </c>
      <c r="P2108" s="25">
        <f>_xlfn.XLOOKUP(Snitch_Fashion_Sales_cleaned!$I2108,Table3[Order_Date],Table3[Date_Key])</f>
        <v>141</v>
      </c>
    </row>
    <row r="2109" spans="1:16" x14ac:dyDescent="0.3">
      <c r="A2109" s="34">
        <v>3107</v>
      </c>
      <c r="B2109" s="32" t="s">
        <v>2129</v>
      </c>
      <c r="C2109" s="32" t="s">
        <v>13</v>
      </c>
      <c r="D2109" s="33" t="s">
        <v>14</v>
      </c>
      <c r="E2109" s="34">
        <v>4</v>
      </c>
      <c r="F2109" s="35">
        <v>2068.64</v>
      </c>
      <c r="G2109" s="36">
        <v>0.51</v>
      </c>
      <c r="H2109" s="35">
        <f t="shared" si="66"/>
        <v>8274.56</v>
      </c>
      <c r="I2109" s="37">
        <v>45647</v>
      </c>
      <c r="J2109" s="33" t="s">
        <v>22</v>
      </c>
      <c r="K2109" s="33" t="s">
        <v>16</v>
      </c>
      <c r="L2109" s="38">
        <f t="shared" si="67"/>
        <v>4054.5343999999996</v>
      </c>
      <c r="M2109" s="38">
        <v>2447.29</v>
      </c>
      <c r="N2109" s="24">
        <f>_xlfn.XLOOKUP(Snitch_Fashion_Sales_cleaned!$J2109,Table2[City],Table2[City_Key],"not found")</f>
        <v>3</v>
      </c>
      <c r="O2109" s="23">
        <f>_xlfn.XLOOKUP(Snitch_Fashion_Sales_cleaned!$D2109,Table4[Product_Name],Table4[Product_Key],"not found")</f>
        <v>1</v>
      </c>
      <c r="P2109" s="32">
        <f>_xlfn.XLOOKUP(Snitch_Fashion_Sales_cleaned!$I2109,Table3[Order_Date],Table3[Date_Key])</f>
        <v>5</v>
      </c>
    </row>
    <row r="2110" spans="1:16" x14ac:dyDescent="0.3">
      <c r="A2110" s="27">
        <v>3108</v>
      </c>
      <c r="B2110" s="25" t="s">
        <v>2130</v>
      </c>
      <c r="C2110" s="25" t="s">
        <v>36</v>
      </c>
      <c r="D2110" s="26" t="s">
        <v>59</v>
      </c>
      <c r="E2110" s="27">
        <v>3</v>
      </c>
      <c r="F2110" s="28">
        <v>2765.26</v>
      </c>
      <c r="G2110" s="29">
        <v>0.51</v>
      </c>
      <c r="H2110" s="28">
        <f t="shared" si="66"/>
        <v>8295.7800000000007</v>
      </c>
      <c r="I2110" s="30">
        <v>45847</v>
      </c>
      <c r="J2110" s="26" t="s">
        <v>22</v>
      </c>
      <c r="K2110" s="26" t="s">
        <v>23</v>
      </c>
      <c r="L2110" s="31">
        <f t="shared" si="67"/>
        <v>4064.9322000000002</v>
      </c>
      <c r="M2110" s="31">
        <v>-815.76</v>
      </c>
      <c r="N2110" s="22">
        <f>_xlfn.XLOOKUP(Snitch_Fashion_Sales_cleaned!$J2110,Table2[City],Table2[City_Key],"not found")</f>
        <v>3</v>
      </c>
      <c r="O2110" s="21">
        <f>_xlfn.XLOOKUP(Snitch_Fashion_Sales_cleaned!$D2110,Table4[Product_Name],Table4[Product_Key],"not found")</f>
        <v>13</v>
      </c>
      <c r="P2110" s="25">
        <f>_xlfn.XLOOKUP(Snitch_Fashion_Sales_cleaned!$I2110,Table3[Order_Date],Table3[Date_Key])</f>
        <v>120</v>
      </c>
    </row>
    <row r="2111" spans="1:16" x14ac:dyDescent="0.3">
      <c r="A2111" s="34">
        <v>3109</v>
      </c>
      <c r="B2111" s="32" t="s">
        <v>2131</v>
      </c>
      <c r="C2111" s="32" t="s">
        <v>31</v>
      </c>
      <c r="D2111" s="33" t="s">
        <v>32</v>
      </c>
      <c r="E2111" s="34">
        <v>5</v>
      </c>
      <c r="F2111" s="35">
        <v>2001.5500000000002</v>
      </c>
      <c r="G2111" s="36">
        <v>0.35</v>
      </c>
      <c r="H2111" s="35">
        <f t="shared" si="66"/>
        <v>10007.75</v>
      </c>
      <c r="I2111" s="37">
        <v>45647</v>
      </c>
      <c r="J2111" s="33" t="s">
        <v>18</v>
      </c>
      <c r="K2111" s="33" t="s">
        <v>23</v>
      </c>
      <c r="L2111" s="38">
        <f t="shared" si="67"/>
        <v>6505.0375000000004</v>
      </c>
      <c r="M2111" s="38">
        <v>445.05</v>
      </c>
      <c r="N2111" s="24">
        <f>_xlfn.XLOOKUP(Snitch_Fashion_Sales_cleaned!$J2111,Table2[City],Table2[City_Key],"not found")</f>
        <v>2</v>
      </c>
      <c r="O2111" s="23">
        <f>_xlfn.XLOOKUP(Snitch_Fashion_Sales_cleaned!$D2111,Table4[Product_Name],Table4[Product_Key],"not found")</f>
        <v>5</v>
      </c>
      <c r="P2111" s="32">
        <f>_xlfn.XLOOKUP(Snitch_Fashion_Sales_cleaned!$I2111,Table3[Order_Date],Table3[Date_Key])</f>
        <v>5</v>
      </c>
    </row>
    <row r="2112" spans="1:16" x14ac:dyDescent="0.3">
      <c r="A2112" s="27">
        <v>3110</v>
      </c>
      <c r="B2112" s="25" t="s">
        <v>2132</v>
      </c>
      <c r="C2112" s="25" t="s">
        <v>13</v>
      </c>
      <c r="D2112" s="26" t="s">
        <v>34</v>
      </c>
      <c r="E2112" s="27">
        <v>3</v>
      </c>
      <c r="F2112" s="28">
        <v>4103.32</v>
      </c>
      <c r="G2112" s="29">
        <v>0.51</v>
      </c>
      <c r="H2112" s="28">
        <f t="shared" si="66"/>
        <v>12309.96</v>
      </c>
      <c r="I2112" s="30">
        <v>45709</v>
      </c>
      <c r="J2112" s="26" t="s">
        <v>15</v>
      </c>
      <c r="K2112" s="26" t="s">
        <v>23</v>
      </c>
      <c r="L2112" s="31">
        <f t="shared" si="67"/>
        <v>6031.8803999999991</v>
      </c>
      <c r="M2112" s="31">
        <v>-828.25</v>
      </c>
      <c r="N2112" s="22">
        <f>_xlfn.XLOOKUP(Snitch_Fashion_Sales_cleaned!$J2112,Table2[City],Table2[City_Key],"not found")</f>
        <v>1</v>
      </c>
      <c r="O2112" s="21">
        <f>_xlfn.XLOOKUP(Snitch_Fashion_Sales_cleaned!$D2112,Table4[Product_Name],Table4[Product_Key],"not found")</f>
        <v>6</v>
      </c>
      <c r="P2112" s="25">
        <f>_xlfn.XLOOKUP(Snitch_Fashion_Sales_cleaned!$I2112,Table3[Order_Date],Table3[Date_Key])</f>
        <v>359</v>
      </c>
    </row>
    <row r="2113" spans="1:16" x14ac:dyDescent="0.3">
      <c r="A2113" s="34">
        <v>3111</v>
      </c>
      <c r="B2113" s="32" t="s">
        <v>2133</v>
      </c>
      <c r="C2113" s="32" t="s">
        <v>31</v>
      </c>
      <c r="D2113" s="33" t="s">
        <v>68</v>
      </c>
      <c r="E2113" s="34">
        <v>4</v>
      </c>
      <c r="F2113" s="35">
        <v>839.87</v>
      </c>
      <c r="G2113" s="36">
        <v>0.51</v>
      </c>
      <c r="H2113" s="35">
        <f t="shared" si="66"/>
        <v>3359.48</v>
      </c>
      <c r="I2113" s="37">
        <v>45647</v>
      </c>
      <c r="J2113" s="33" t="s">
        <v>2540</v>
      </c>
      <c r="K2113" s="33" t="s">
        <v>16</v>
      </c>
      <c r="L2113" s="38">
        <f t="shared" si="67"/>
        <v>1646.1451999999999</v>
      </c>
      <c r="M2113" s="38">
        <v>-286.10000000000002</v>
      </c>
      <c r="N2113" s="24">
        <f>_xlfn.XLOOKUP(Snitch_Fashion_Sales_cleaned!$J2113,Table2[City],Table2[City_Key],"not found")</f>
        <v>4</v>
      </c>
      <c r="O2113" s="23">
        <f>_xlfn.XLOOKUP(Snitch_Fashion_Sales_cleaned!$D2113,Table4[Product_Name],Table4[Product_Key],"not found")</f>
        <v>15</v>
      </c>
      <c r="P2113" s="32">
        <f>_xlfn.XLOOKUP(Snitch_Fashion_Sales_cleaned!$I2113,Table3[Order_Date],Table3[Date_Key])</f>
        <v>5</v>
      </c>
    </row>
    <row r="2114" spans="1:16" x14ac:dyDescent="0.3">
      <c r="A2114" s="27">
        <v>3112</v>
      </c>
      <c r="B2114" s="25" t="s">
        <v>2134</v>
      </c>
      <c r="C2114" s="25" t="s">
        <v>25</v>
      </c>
      <c r="D2114" s="26" t="s">
        <v>26</v>
      </c>
      <c r="E2114" s="27">
        <v>4</v>
      </c>
      <c r="F2114" s="28">
        <v>3026.75</v>
      </c>
      <c r="G2114" s="29">
        <v>0.51</v>
      </c>
      <c r="H2114" s="28">
        <f t="shared" si="66"/>
        <v>12107</v>
      </c>
      <c r="I2114" s="30">
        <v>45532</v>
      </c>
      <c r="J2114" s="26" t="s">
        <v>15</v>
      </c>
      <c r="K2114" s="26" t="s">
        <v>23</v>
      </c>
      <c r="L2114" s="31">
        <f t="shared" si="67"/>
        <v>5932.43</v>
      </c>
      <c r="M2114" s="31">
        <v>-565.91999999999996</v>
      </c>
      <c r="N2114" s="22">
        <f>_xlfn.XLOOKUP(Snitch_Fashion_Sales_cleaned!$J2114,Table2[City],Table2[City_Key],"not found")</f>
        <v>1</v>
      </c>
      <c r="O2114" s="21">
        <f>_xlfn.XLOOKUP(Snitch_Fashion_Sales_cleaned!$D2114,Table4[Product_Name],Table4[Product_Key],"not found")</f>
        <v>3</v>
      </c>
      <c r="P2114" s="25">
        <f>_xlfn.XLOOKUP(Snitch_Fashion_Sales_cleaned!$I2114,Table3[Order_Date],Table3[Date_Key])</f>
        <v>349</v>
      </c>
    </row>
    <row r="2115" spans="1:16" x14ac:dyDescent="0.3">
      <c r="A2115" s="34">
        <v>3113</v>
      </c>
      <c r="B2115" s="32" t="s">
        <v>2135</v>
      </c>
      <c r="C2115" s="32" t="s">
        <v>25</v>
      </c>
      <c r="D2115" s="33" t="s">
        <v>26</v>
      </c>
      <c r="E2115" s="34">
        <v>4</v>
      </c>
      <c r="F2115" s="35">
        <v>3256.86</v>
      </c>
      <c r="G2115" s="36">
        <v>0.77</v>
      </c>
      <c r="H2115" s="35">
        <f t="shared" si="66"/>
        <v>13027.44</v>
      </c>
      <c r="I2115" s="37">
        <v>45548</v>
      </c>
      <c r="J2115" s="33" t="s">
        <v>2540</v>
      </c>
      <c r="K2115" s="33" t="s">
        <v>23</v>
      </c>
      <c r="L2115" s="38">
        <f t="shared" si="67"/>
        <v>2996.3112000000001</v>
      </c>
      <c r="M2115" s="38">
        <v>-109.08</v>
      </c>
      <c r="N2115" s="24">
        <f>_xlfn.XLOOKUP(Snitch_Fashion_Sales_cleaned!$J2115,Table2[City],Table2[City_Key],"not found")</f>
        <v>4</v>
      </c>
      <c r="O2115" s="23">
        <f>_xlfn.XLOOKUP(Snitch_Fashion_Sales_cleaned!$D2115,Table4[Product_Name],Table4[Product_Key],"not found")</f>
        <v>3</v>
      </c>
      <c r="P2115" s="32">
        <f>_xlfn.XLOOKUP(Snitch_Fashion_Sales_cleaned!$I2115,Table3[Order_Date],Table3[Date_Key])</f>
        <v>487</v>
      </c>
    </row>
    <row r="2116" spans="1:16" x14ac:dyDescent="0.3">
      <c r="A2116" s="27">
        <v>3114</v>
      </c>
      <c r="B2116" s="25" t="s">
        <v>2136</v>
      </c>
      <c r="C2116" s="25" t="s">
        <v>13</v>
      </c>
      <c r="D2116" s="26" t="s">
        <v>14</v>
      </c>
      <c r="E2116" s="27">
        <v>2</v>
      </c>
      <c r="F2116" s="28">
        <v>4082.61</v>
      </c>
      <c r="G2116" s="29">
        <v>0.51</v>
      </c>
      <c r="H2116" s="28">
        <f t="shared" si="66"/>
        <v>8165.22</v>
      </c>
      <c r="I2116" s="30">
        <v>45647</v>
      </c>
      <c r="J2116" s="26" t="s">
        <v>43</v>
      </c>
      <c r="K2116" s="26" t="s">
        <v>23</v>
      </c>
      <c r="L2116" s="31">
        <f t="shared" si="67"/>
        <v>4000.9578000000001</v>
      </c>
      <c r="M2116" s="31">
        <v>-454.61</v>
      </c>
      <c r="N2116" s="22">
        <f>_xlfn.XLOOKUP(Snitch_Fashion_Sales_cleaned!$J2116,Table2[City],Table2[City_Key],"not found")</f>
        <v>6</v>
      </c>
      <c r="O2116" s="21">
        <f>_xlfn.XLOOKUP(Snitch_Fashion_Sales_cleaned!$D2116,Table4[Product_Name],Table4[Product_Key],"not found")</f>
        <v>1</v>
      </c>
      <c r="P2116" s="25">
        <f>_xlfn.XLOOKUP(Snitch_Fashion_Sales_cleaned!$I2116,Table3[Order_Date],Table3[Date_Key])</f>
        <v>5</v>
      </c>
    </row>
    <row r="2117" spans="1:16" x14ac:dyDescent="0.3">
      <c r="A2117" s="34">
        <v>3115</v>
      </c>
      <c r="B2117" s="32" t="s">
        <v>2137</v>
      </c>
      <c r="C2117" s="32" t="s">
        <v>28</v>
      </c>
      <c r="D2117" s="33" t="s">
        <v>137</v>
      </c>
      <c r="E2117" s="34">
        <v>3.5</v>
      </c>
      <c r="F2117" s="35">
        <v>2338.04</v>
      </c>
      <c r="G2117" s="36">
        <v>0.51</v>
      </c>
      <c r="H2117" s="35">
        <f t="shared" si="66"/>
        <v>8183.1399999999994</v>
      </c>
      <c r="I2117" s="37">
        <v>45527</v>
      </c>
      <c r="J2117" s="33" t="s">
        <v>52</v>
      </c>
      <c r="K2117" s="33" t="s">
        <v>23</v>
      </c>
      <c r="L2117" s="38">
        <f t="shared" si="67"/>
        <v>4009.7385999999997</v>
      </c>
      <c r="M2117" s="38">
        <v>-546.69000000000005</v>
      </c>
      <c r="N2117" s="24">
        <f>_xlfn.XLOOKUP(Snitch_Fashion_Sales_cleaned!$J2117,Table2[City],Table2[City_Key],"not found")</f>
        <v>5</v>
      </c>
      <c r="O2117" s="23">
        <f>_xlfn.XLOOKUP(Snitch_Fashion_Sales_cleaned!$D2117,Table4[Product_Name],Table4[Product_Key],"not found")</f>
        <v>24</v>
      </c>
      <c r="P2117" s="32">
        <f>_xlfn.XLOOKUP(Snitch_Fashion_Sales_cleaned!$I2117,Table3[Order_Date],Table3[Date_Key])</f>
        <v>452</v>
      </c>
    </row>
    <row r="2118" spans="1:16" x14ac:dyDescent="0.3">
      <c r="A2118" s="27">
        <v>3116</v>
      </c>
      <c r="B2118" s="25" t="s">
        <v>2138</v>
      </c>
      <c r="C2118" s="25" t="s">
        <v>36</v>
      </c>
      <c r="D2118" s="26" t="s">
        <v>59</v>
      </c>
      <c r="E2118" s="27">
        <v>3</v>
      </c>
      <c r="F2118" s="28">
        <v>1237.1500000000001</v>
      </c>
      <c r="G2118" s="29">
        <v>0.51</v>
      </c>
      <c r="H2118" s="28">
        <f t="shared" ref="H2118:H2181" si="68">E2118*F2118</f>
        <v>3711.4500000000003</v>
      </c>
      <c r="I2118" s="30">
        <v>45740</v>
      </c>
      <c r="J2118" s="26" t="s">
        <v>2540</v>
      </c>
      <c r="K2118" s="26" t="s">
        <v>23</v>
      </c>
      <c r="L2118" s="31">
        <f t="shared" ref="L2118:L2181" si="69">H2118*(1-G2118)</f>
        <v>1818.6105</v>
      </c>
      <c r="M2118" s="31">
        <v>1357.42</v>
      </c>
      <c r="N2118" s="22">
        <f>_xlfn.XLOOKUP(Snitch_Fashion_Sales_cleaned!$J2118,Table2[City],Table2[City_Key],"not found")</f>
        <v>4</v>
      </c>
      <c r="O2118" s="21">
        <f>_xlfn.XLOOKUP(Snitch_Fashion_Sales_cleaned!$D2118,Table4[Product_Name],Table4[Product_Key],"not found")</f>
        <v>13</v>
      </c>
      <c r="P2118" s="25">
        <f>_xlfn.XLOOKUP(Snitch_Fashion_Sales_cleaned!$I2118,Table3[Order_Date],Table3[Date_Key])</f>
        <v>160</v>
      </c>
    </row>
    <row r="2119" spans="1:16" x14ac:dyDescent="0.3">
      <c r="A2119" s="34">
        <v>3117</v>
      </c>
      <c r="B2119" s="32" t="s">
        <v>2139</v>
      </c>
      <c r="C2119" s="32" t="s">
        <v>20</v>
      </c>
      <c r="D2119" s="33" t="s">
        <v>84</v>
      </c>
      <c r="E2119" s="34">
        <v>4</v>
      </c>
      <c r="F2119" s="35">
        <v>2537.59</v>
      </c>
      <c r="G2119" s="36">
        <v>0.28999999999999998</v>
      </c>
      <c r="H2119" s="35">
        <f t="shared" si="68"/>
        <v>10150.36</v>
      </c>
      <c r="I2119" s="37">
        <v>45563</v>
      </c>
      <c r="J2119" s="33" t="s">
        <v>2540</v>
      </c>
      <c r="K2119" s="33" t="s">
        <v>23</v>
      </c>
      <c r="L2119" s="38">
        <f t="shared" si="69"/>
        <v>7206.7556000000004</v>
      </c>
      <c r="M2119" s="38">
        <v>-706.51</v>
      </c>
      <c r="N2119" s="24">
        <f>_xlfn.XLOOKUP(Snitch_Fashion_Sales_cleaned!$J2119,Table2[City],Table2[City_Key],"not found")</f>
        <v>4</v>
      </c>
      <c r="O2119" s="23">
        <f>_xlfn.XLOOKUP(Snitch_Fashion_Sales_cleaned!$D2119,Table4[Product_Name],Table4[Product_Key],"not found")</f>
        <v>19</v>
      </c>
      <c r="P2119" s="32">
        <f>_xlfn.XLOOKUP(Snitch_Fashion_Sales_cleaned!$I2119,Table3[Order_Date],Table3[Date_Key])</f>
        <v>134</v>
      </c>
    </row>
    <row r="2120" spans="1:16" x14ac:dyDescent="0.3">
      <c r="A2120" s="27">
        <v>3118</v>
      </c>
      <c r="B2120" s="25" t="s">
        <v>2140</v>
      </c>
      <c r="C2120" s="25" t="s">
        <v>20</v>
      </c>
      <c r="D2120" s="26" t="s">
        <v>21</v>
      </c>
      <c r="E2120" s="27">
        <v>4</v>
      </c>
      <c r="F2120" s="28">
        <v>948.06</v>
      </c>
      <c r="G2120" s="29">
        <v>0.6</v>
      </c>
      <c r="H2120" s="28">
        <f t="shared" si="68"/>
        <v>3792.24</v>
      </c>
      <c r="I2120" s="30">
        <v>45611</v>
      </c>
      <c r="J2120" s="26" t="s">
        <v>43</v>
      </c>
      <c r="K2120" s="26" t="s">
        <v>23</v>
      </c>
      <c r="L2120" s="31">
        <f t="shared" si="69"/>
        <v>1516.896</v>
      </c>
      <c r="M2120" s="31">
        <v>69.349999999999994</v>
      </c>
      <c r="N2120" s="22">
        <f>_xlfn.XLOOKUP(Snitch_Fashion_Sales_cleaned!$J2120,Table2[City],Table2[City_Key],"not found")</f>
        <v>6</v>
      </c>
      <c r="O2120" s="21">
        <f>_xlfn.XLOOKUP(Snitch_Fashion_Sales_cleaned!$D2120,Table4[Product_Name],Table4[Product_Key],"not found")</f>
        <v>2</v>
      </c>
      <c r="P2120" s="25">
        <f>_xlfn.XLOOKUP(Snitch_Fashion_Sales_cleaned!$I2120,Table3[Order_Date],Table3[Date_Key])</f>
        <v>27</v>
      </c>
    </row>
    <row r="2121" spans="1:16" x14ac:dyDescent="0.3">
      <c r="A2121" s="34">
        <v>3119</v>
      </c>
      <c r="B2121" s="32" t="s">
        <v>2141</v>
      </c>
      <c r="C2121" s="32" t="s">
        <v>13</v>
      </c>
      <c r="D2121" s="33" t="s">
        <v>14</v>
      </c>
      <c r="E2121" s="34">
        <v>4</v>
      </c>
      <c r="F2121" s="35">
        <v>722.74</v>
      </c>
      <c r="G2121" s="36">
        <v>0.51</v>
      </c>
      <c r="H2121" s="35">
        <f t="shared" si="68"/>
        <v>2890.96</v>
      </c>
      <c r="I2121" s="37">
        <v>45637</v>
      </c>
      <c r="J2121" s="33" t="s">
        <v>43</v>
      </c>
      <c r="K2121" s="33" t="s">
        <v>16</v>
      </c>
      <c r="L2121" s="38">
        <f t="shared" si="69"/>
        <v>1416.5704000000001</v>
      </c>
      <c r="M2121" s="38">
        <v>354.14260000000002</v>
      </c>
      <c r="N2121" s="24">
        <f>_xlfn.XLOOKUP(Snitch_Fashion_Sales_cleaned!$J2121,Table2[City],Table2[City_Key],"not found")</f>
        <v>6</v>
      </c>
      <c r="O2121" s="23">
        <f>_xlfn.XLOOKUP(Snitch_Fashion_Sales_cleaned!$D2121,Table4[Product_Name],Table4[Product_Key],"not found")</f>
        <v>1</v>
      </c>
      <c r="P2121" s="32">
        <f>_xlfn.XLOOKUP(Snitch_Fashion_Sales_cleaned!$I2121,Table3[Order_Date],Table3[Date_Key])</f>
        <v>289</v>
      </c>
    </row>
    <row r="2122" spans="1:16" x14ac:dyDescent="0.3">
      <c r="A2122" s="27">
        <v>3120</v>
      </c>
      <c r="B2122" s="25" t="s">
        <v>2142</v>
      </c>
      <c r="C2122" s="25" t="s">
        <v>28</v>
      </c>
      <c r="D2122" s="26" t="s">
        <v>39</v>
      </c>
      <c r="E2122" s="27">
        <v>3</v>
      </c>
      <c r="F2122" s="28">
        <v>824.59</v>
      </c>
      <c r="G2122" s="29">
        <v>0.13</v>
      </c>
      <c r="H2122" s="28">
        <f t="shared" si="68"/>
        <v>2473.77</v>
      </c>
      <c r="I2122" s="30">
        <v>45818</v>
      </c>
      <c r="J2122" s="26" t="s">
        <v>52</v>
      </c>
      <c r="K2122" s="26" t="s">
        <v>23</v>
      </c>
      <c r="L2122" s="31">
        <f t="shared" si="69"/>
        <v>2152.1799000000001</v>
      </c>
      <c r="M2122" s="31">
        <v>-276.22000000000003</v>
      </c>
      <c r="N2122" s="22">
        <f>_xlfn.XLOOKUP(Snitch_Fashion_Sales_cleaned!$J2122,Table2[City],Table2[City_Key],"not found")</f>
        <v>5</v>
      </c>
      <c r="O2122" s="21">
        <f>_xlfn.XLOOKUP(Snitch_Fashion_Sales_cleaned!$D2122,Table4[Product_Name],Table4[Product_Key],"not found")</f>
        <v>8</v>
      </c>
      <c r="P2122" s="25">
        <f>_xlfn.XLOOKUP(Snitch_Fashion_Sales_cleaned!$I2122,Table3[Order_Date],Table3[Date_Key])</f>
        <v>212</v>
      </c>
    </row>
    <row r="2123" spans="1:16" x14ac:dyDescent="0.3">
      <c r="A2123" s="34">
        <v>3121</v>
      </c>
      <c r="B2123" s="32" t="s">
        <v>2143</v>
      </c>
      <c r="C2123" s="32" t="s">
        <v>20</v>
      </c>
      <c r="D2123" s="33" t="s">
        <v>76</v>
      </c>
      <c r="E2123" s="34">
        <v>3</v>
      </c>
      <c r="F2123" s="35">
        <v>1049.27</v>
      </c>
      <c r="G2123" s="36">
        <v>0.51</v>
      </c>
      <c r="H2123" s="35">
        <f t="shared" si="68"/>
        <v>3147.81</v>
      </c>
      <c r="I2123" s="37">
        <v>45717</v>
      </c>
      <c r="J2123" s="33" t="s">
        <v>52</v>
      </c>
      <c r="K2123" s="33" t="s">
        <v>16</v>
      </c>
      <c r="L2123" s="38">
        <f t="shared" si="69"/>
        <v>1542.4268999999999</v>
      </c>
      <c r="M2123" s="38">
        <v>-648.45000000000005</v>
      </c>
      <c r="N2123" s="24">
        <f>_xlfn.XLOOKUP(Snitch_Fashion_Sales_cleaned!$J2123,Table2[City],Table2[City_Key],"not found")</f>
        <v>5</v>
      </c>
      <c r="O2123" s="23">
        <f>_xlfn.XLOOKUP(Snitch_Fashion_Sales_cleaned!$D2123,Table4[Product_Name],Table4[Product_Key],"not found")</f>
        <v>16</v>
      </c>
      <c r="P2123" s="32">
        <f>_xlfn.XLOOKUP(Snitch_Fashion_Sales_cleaned!$I2123,Table3[Order_Date],Table3[Date_Key])</f>
        <v>535</v>
      </c>
    </row>
    <row r="2124" spans="1:16" x14ac:dyDescent="0.3">
      <c r="A2124" s="27">
        <v>3122</v>
      </c>
      <c r="B2124" s="25" t="s">
        <v>2144</v>
      </c>
      <c r="C2124" s="25" t="s">
        <v>28</v>
      </c>
      <c r="D2124" s="26" t="s">
        <v>29</v>
      </c>
      <c r="E2124" s="27">
        <v>3</v>
      </c>
      <c r="F2124" s="28">
        <v>2515.415</v>
      </c>
      <c r="G2124" s="29">
        <v>0.51</v>
      </c>
      <c r="H2124" s="28">
        <f t="shared" si="68"/>
        <v>7546.2449999999999</v>
      </c>
      <c r="I2124" s="30">
        <v>45649</v>
      </c>
      <c r="J2124" s="26" t="s">
        <v>43</v>
      </c>
      <c r="K2124" s="26" t="s">
        <v>16</v>
      </c>
      <c r="L2124" s="31">
        <f t="shared" si="69"/>
        <v>3697.66005</v>
      </c>
      <c r="M2124" s="31">
        <v>551.79</v>
      </c>
      <c r="N2124" s="22">
        <f>_xlfn.XLOOKUP(Snitch_Fashion_Sales_cleaned!$J2124,Table2[City],Table2[City_Key],"not found")</f>
        <v>6</v>
      </c>
      <c r="O2124" s="21">
        <f>_xlfn.XLOOKUP(Snitch_Fashion_Sales_cleaned!$D2124,Table4[Product_Name],Table4[Product_Key],"not found")</f>
        <v>4</v>
      </c>
      <c r="P2124" s="25">
        <f>_xlfn.XLOOKUP(Snitch_Fashion_Sales_cleaned!$I2124,Table3[Order_Date],Table3[Date_Key])</f>
        <v>42</v>
      </c>
    </row>
    <row r="2125" spans="1:16" x14ac:dyDescent="0.3">
      <c r="A2125" s="34">
        <v>3123</v>
      </c>
      <c r="B2125" s="32" t="s">
        <v>2145</v>
      </c>
      <c r="C2125" s="32" t="s">
        <v>20</v>
      </c>
      <c r="D2125" s="33" t="s">
        <v>76</v>
      </c>
      <c r="E2125" s="34">
        <v>5</v>
      </c>
      <c r="F2125" s="35">
        <v>2229.4899999999998</v>
      </c>
      <c r="G2125" s="36">
        <v>0.51</v>
      </c>
      <c r="H2125" s="35">
        <f t="shared" si="68"/>
        <v>11147.449999999999</v>
      </c>
      <c r="I2125" s="37">
        <v>45722</v>
      </c>
      <c r="J2125" s="33" t="s">
        <v>52</v>
      </c>
      <c r="K2125" s="33" t="s">
        <v>16</v>
      </c>
      <c r="L2125" s="38">
        <f t="shared" si="69"/>
        <v>5462.2504999999992</v>
      </c>
      <c r="M2125" s="38">
        <v>1980.42</v>
      </c>
      <c r="N2125" s="24">
        <f>_xlfn.XLOOKUP(Snitch_Fashion_Sales_cleaned!$J2125,Table2[City],Table2[City_Key],"not found")</f>
        <v>5</v>
      </c>
      <c r="O2125" s="23">
        <f>_xlfn.XLOOKUP(Snitch_Fashion_Sales_cleaned!$D2125,Table4[Product_Name],Table4[Product_Key],"not found")</f>
        <v>16</v>
      </c>
      <c r="P2125" s="32">
        <f>_xlfn.XLOOKUP(Snitch_Fashion_Sales_cleaned!$I2125,Table3[Order_Date],Table3[Date_Key])</f>
        <v>358</v>
      </c>
    </row>
    <row r="2126" spans="1:16" x14ac:dyDescent="0.3">
      <c r="A2126" s="27">
        <v>3124</v>
      </c>
      <c r="B2126" s="25" t="s">
        <v>2146</v>
      </c>
      <c r="C2126" s="25" t="s">
        <v>31</v>
      </c>
      <c r="D2126" s="26" t="s">
        <v>32</v>
      </c>
      <c r="E2126" s="27">
        <v>4</v>
      </c>
      <c r="F2126" s="28">
        <v>2001.5500000000002</v>
      </c>
      <c r="G2126" s="29">
        <v>0.87</v>
      </c>
      <c r="H2126" s="28">
        <f t="shared" si="68"/>
        <v>8006.2000000000007</v>
      </c>
      <c r="I2126" s="30">
        <v>45155</v>
      </c>
      <c r="J2126" s="26" t="s">
        <v>43</v>
      </c>
      <c r="K2126" s="26" t="s">
        <v>23</v>
      </c>
      <c r="L2126" s="31">
        <f t="shared" si="69"/>
        <v>1040.806</v>
      </c>
      <c r="M2126" s="31">
        <v>-399.81</v>
      </c>
      <c r="N2126" s="22">
        <f>_xlfn.XLOOKUP(Snitch_Fashion_Sales_cleaned!$J2126,Table2[City],Table2[City_Key],"not found")</f>
        <v>6</v>
      </c>
      <c r="O2126" s="21">
        <f>_xlfn.XLOOKUP(Snitch_Fashion_Sales_cleaned!$D2126,Table4[Product_Name],Table4[Product_Key],"not found")</f>
        <v>5</v>
      </c>
      <c r="P2126" s="25">
        <f>_xlfn.XLOOKUP(Snitch_Fashion_Sales_cleaned!$I2126,Table3[Order_Date],Table3[Date_Key])</f>
        <v>433</v>
      </c>
    </row>
    <row r="2127" spans="1:16" x14ac:dyDescent="0.3">
      <c r="A2127" s="34">
        <v>3125</v>
      </c>
      <c r="B2127" s="32" t="s">
        <v>2147</v>
      </c>
      <c r="C2127" s="32" t="s">
        <v>36</v>
      </c>
      <c r="D2127" s="33" t="s">
        <v>37</v>
      </c>
      <c r="E2127" s="34">
        <v>5</v>
      </c>
      <c r="F2127" s="35">
        <v>4264.79</v>
      </c>
      <c r="G2127" s="36">
        <v>0.51</v>
      </c>
      <c r="H2127" s="35">
        <f t="shared" si="68"/>
        <v>21323.95</v>
      </c>
      <c r="I2127" s="37">
        <v>45568</v>
      </c>
      <c r="J2127" s="33" t="s">
        <v>18</v>
      </c>
      <c r="K2127" s="33" t="s">
        <v>16</v>
      </c>
      <c r="L2127" s="38">
        <f t="shared" si="69"/>
        <v>10448.735500000001</v>
      </c>
      <c r="M2127" s="38">
        <v>2388.91</v>
      </c>
      <c r="N2127" s="24">
        <f>_xlfn.XLOOKUP(Snitch_Fashion_Sales_cleaned!$J2127,Table2[City],Table2[City_Key],"not found")</f>
        <v>2</v>
      </c>
      <c r="O2127" s="23">
        <f>_xlfn.XLOOKUP(Snitch_Fashion_Sales_cleaned!$D2127,Table4[Product_Name],Table4[Product_Key],"not found")</f>
        <v>7</v>
      </c>
      <c r="P2127" s="32">
        <f>_xlfn.XLOOKUP(Snitch_Fashion_Sales_cleaned!$I2127,Table3[Order_Date],Table3[Date_Key])</f>
        <v>238</v>
      </c>
    </row>
    <row r="2128" spans="1:16" x14ac:dyDescent="0.3">
      <c r="A2128" s="27">
        <v>3126</v>
      </c>
      <c r="B2128" s="25" t="s">
        <v>2148</v>
      </c>
      <c r="C2128" s="25" t="s">
        <v>31</v>
      </c>
      <c r="D2128" s="26" t="s">
        <v>78</v>
      </c>
      <c r="E2128" s="27">
        <v>4</v>
      </c>
      <c r="F2128" s="28">
        <v>2599.75</v>
      </c>
      <c r="G2128" s="29">
        <v>0.51</v>
      </c>
      <c r="H2128" s="28">
        <f t="shared" si="68"/>
        <v>10399</v>
      </c>
      <c r="I2128" s="30">
        <v>45609</v>
      </c>
      <c r="J2128" s="26" t="s">
        <v>22</v>
      </c>
      <c r="K2128" s="26" t="s">
        <v>23</v>
      </c>
      <c r="L2128" s="31">
        <f t="shared" si="69"/>
        <v>5095.51</v>
      </c>
      <c r="M2128" s="31">
        <v>2624.13</v>
      </c>
      <c r="N2128" s="22">
        <f>_xlfn.XLOOKUP(Snitch_Fashion_Sales_cleaned!$J2128,Table2[City],Table2[City_Key],"not found")</f>
        <v>3</v>
      </c>
      <c r="O2128" s="21">
        <f>_xlfn.XLOOKUP(Snitch_Fashion_Sales_cleaned!$D2128,Table4[Product_Name],Table4[Product_Key],"not found")</f>
        <v>17</v>
      </c>
      <c r="P2128" s="25">
        <f>_xlfn.XLOOKUP(Snitch_Fashion_Sales_cleaned!$I2128,Table3[Order_Date],Table3[Date_Key])</f>
        <v>22</v>
      </c>
    </row>
    <row r="2129" spans="1:16" x14ac:dyDescent="0.3">
      <c r="A2129" s="34">
        <v>3127</v>
      </c>
      <c r="B2129" s="32" t="s">
        <v>2149</v>
      </c>
      <c r="C2129" s="32" t="s">
        <v>25</v>
      </c>
      <c r="D2129" s="33" t="s">
        <v>82</v>
      </c>
      <c r="E2129" s="34">
        <v>3</v>
      </c>
      <c r="F2129" s="35">
        <v>491.77</v>
      </c>
      <c r="G2129" s="36">
        <v>0.9</v>
      </c>
      <c r="H2129" s="35">
        <f t="shared" si="68"/>
        <v>1475.31</v>
      </c>
      <c r="I2129" s="37">
        <v>45663</v>
      </c>
      <c r="J2129" s="33" t="s">
        <v>43</v>
      </c>
      <c r="K2129" s="33" t="s">
        <v>23</v>
      </c>
      <c r="L2129" s="38">
        <f t="shared" si="69"/>
        <v>147.53099999999995</v>
      </c>
      <c r="M2129" s="38">
        <v>36.882749999999987</v>
      </c>
      <c r="N2129" s="24">
        <f>_xlfn.XLOOKUP(Snitch_Fashion_Sales_cleaned!$J2129,Table2[City],Table2[City_Key],"not found")</f>
        <v>6</v>
      </c>
      <c r="O2129" s="23">
        <f>_xlfn.XLOOKUP(Snitch_Fashion_Sales_cleaned!$D2129,Table4[Product_Name],Table4[Product_Key],"not found")</f>
        <v>18</v>
      </c>
      <c r="P2129" s="32">
        <f>_xlfn.XLOOKUP(Snitch_Fashion_Sales_cleaned!$I2129,Table3[Order_Date],Table3[Date_Key])</f>
        <v>292</v>
      </c>
    </row>
    <row r="2130" spans="1:16" x14ac:dyDescent="0.3">
      <c r="A2130" s="27">
        <v>3128</v>
      </c>
      <c r="B2130" s="25" t="s">
        <v>2150</v>
      </c>
      <c r="C2130" s="25" t="s">
        <v>36</v>
      </c>
      <c r="D2130" s="26" t="s">
        <v>37</v>
      </c>
      <c r="E2130" s="27">
        <v>4</v>
      </c>
      <c r="F2130" s="28">
        <v>3216.9</v>
      </c>
      <c r="G2130" s="29">
        <v>0.51</v>
      </c>
      <c r="H2130" s="28">
        <f t="shared" si="68"/>
        <v>12867.6</v>
      </c>
      <c r="I2130" s="30">
        <v>45811</v>
      </c>
      <c r="J2130" s="26" t="s">
        <v>52</v>
      </c>
      <c r="K2130" s="26" t="s">
        <v>23</v>
      </c>
      <c r="L2130" s="31">
        <f t="shared" si="69"/>
        <v>6305.1239999999998</v>
      </c>
      <c r="M2130" s="31">
        <v>192.22</v>
      </c>
      <c r="N2130" s="22">
        <f>_xlfn.XLOOKUP(Snitch_Fashion_Sales_cleaned!$J2130,Table2[City],Table2[City_Key],"not found")</f>
        <v>5</v>
      </c>
      <c r="O2130" s="21">
        <f>_xlfn.XLOOKUP(Snitch_Fashion_Sales_cleaned!$D2130,Table4[Product_Name],Table4[Product_Key],"not found")</f>
        <v>7</v>
      </c>
      <c r="P2130" s="25">
        <f>_xlfn.XLOOKUP(Snitch_Fashion_Sales_cleaned!$I2130,Table3[Order_Date],Table3[Date_Key])</f>
        <v>368</v>
      </c>
    </row>
    <row r="2131" spans="1:16" x14ac:dyDescent="0.3">
      <c r="A2131" s="34">
        <v>3129</v>
      </c>
      <c r="B2131" s="32" t="s">
        <v>2151</v>
      </c>
      <c r="C2131" s="32" t="s">
        <v>13</v>
      </c>
      <c r="D2131" s="33" t="s">
        <v>46</v>
      </c>
      <c r="E2131" s="34">
        <v>4</v>
      </c>
      <c r="F2131" s="35">
        <v>3201.09</v>
      </c>
      <c r="G2131" s="36">
        <v>0.51</v>
      </c>
      <c r="H2131" s="35">
        <f t="shared" si="68"/>
        <v>12804.36</v>
      </c>
      <c r="I2131" s="37">
        <v>45801</v>
      </c>
      <c r="J2131" s="33" t="s">
        <v>43</v>
      </c>
      <c r="K2131" s="33" t="s">
        <v>16</v>
      </c>
      <c r="L2131" s="38">
        <f t="shared" si="69"/>
        <v>6274.1364000000003</v>
      </c>
      <c r="M2131" s="38">
        <v>2989.88</v>
      </c>
      <c r="N2131" s="24">
        <f>_xlfn.XLOOKUP(Snitch_Fashion_Sales_cleaned!$J2131,Table2[City],Table2[City_Key],"not found")</f>
        <v>6</v>
      </c>
      <c r="O2131" s="23">
        <f>_xlfn.XLOOKUP(Snitch_Fashion_Sales_cleaned!$D2131,Table4[Product_Name],Table4[Product_Key],"not found")</f>
        <v>10</v>
      </c>
      <c r="P2131" s="32">
        <f>_xlfn.XLOOKUP(Snitch_Fashion_Sales_cleaned!$I2131,Table3[Order_Date],Table3[Date_Key])</f>
        <v>252</v>
      </c>
    </row>
    <row r="2132" spans="1:16" x14ac:dyDescent="0.3">
      <c r="A2132" s="27">
        <v>3130</v>
      </c>
      <c r="B2132" s="25" t="s">
        <v>2152</v>
      </c>
      <c r="C2132" s="25" t="s">
        <v>36</v>
      </c>
      <c r="D2132" s="26" t="s">
        <v>37</v>
      </c>
      <c r="E2132" s="27">
        <v>4</v>
      </c>
      <c r="F2132" s="28">
        <v>3742.62</v>
      </c>
      <c r="G2132" s="29">
        <v>0.51</v>
      </c>
      <c r="H2132" s="28">
        <f t="shared" si="68"/>
        <v>14970.48</v>
      </c>
      <c r="I2132" s="30">
        <v>45765</v>
      </c>
      <c r="J2132" s="26" t="s">
        <v>22</v>
      </c>
      <c r="K2132" s="26" t="s">
        <v>16</v>
      </c>
      <c r="L2132" s="31">
        <f t="shared" si="69"/>
        <v>7335.5351999999993</v>
      </c>
      <c r="M2132" s="31">
        <v>2886.26</v>
      </c>
      <c r="N2132" s="22">
        <f>_xlfn.XLOOKUP(Snitch_Fashion_Sales_cleaned!$J2132,Table2[City],Table2[City_Key],"not found")</f>
        <v>3</v>
      </c>
      <c r="O2132" s="21">
        <f>_xlfn.XLOOKUP(Snitch_Fashion_Sales_cleaned!$D2132,Table4[Product_Name],Table4[Product_Key],"not found")</f>
        <v>7</v>
      </c>
      <c r="P2132" s="25">
        <f>_xlfn.XLOOKUP(Snitch_Fashion_Sales_cleaned!$I2132,Table3[Order_Date],Table3[Date_Key])</f>
        <v>142</v>
      </c>
    </row>
    <row r="2133" spans="1:16" x14ac:dyDescent="0.3">
      <c r="A2133" s="34">
        <v>3131</v>
      </c>
      <c r="B2133" s="32" t="s">
        <v>2153</v>
      </c>
      <c r="C2133" s="32" t="s">
        <v>28</v>
      </c>
      <c r="D2133" s="33" t="s">
        <v>29</v>
      </c>
      <c r="E2133" s="34">
        <v>3</v>
      </c>
      <c r="F2133" s="35">
        <v>4938.03</v>
      </c>
      <c r="G2133" s="36">
        <v>0.51</v>
      </c>
      <c r="H2133" s="35">
        <f t="shared" si="68"/>
        <v>14814.09</v>
      </c>
      <c r="I2133" s="37">
        <v>45278</v>
      </c>
      <c r="J2133" s="33" t="s">
        <v>15</v>
      </c>
      <c r="K2133" s="33" t="s">
        <v>23</v>
      </c>
      <c r="L2133" s="38">
        <f t="shared" si="69"/>
        <v>7258.9040999999997</v>
      </c>
      <c r="M2133" s="38">
        <v>878.99</v>
      </c>
      <c r="N2133" s="24">
        <f>_xlfn.XLOOKUP(Snitch_Fashion_Sales_cleaned!$J2133,Table2[City],Table2[City_Key],"not found")</f>
        <v>1</v>
      </c>
      <c r="O2133" s="23">
        <f>_xlfn.XLOOKUP(Snitch_Fashion_Sales_cleaned!$D2133,Table4[Product_Name],Table4[Product_Key],"not found")</f>
        <v>4</v>
      </c>
      <c r="P2133" s="32">
        <f>_xlfn.XLOOKUP(Snitch_Fashion_Sales_cleaned!$I2133,Table3[Order_Date],Table3[Date_Key])</f>
        <v>536</v>
      </c>
    </row>
    <row r="2134" spans="1:16" x14ac:dyDescent="0.3">
      <c r="A2134" s="27">
        <v>3132</v>
      </c>
      <c r="B2134" s="25" t="s">
        <v>2154</v>
      </c>
      <c r="C2134" s="25" t="s">
        <v>20</v>
      </c>
      <c r="D2134" s="26" t="s">
        <v>84</v>
      </c>
      <c r="E2134" s="27">
        <v>6</v>
      </c>
      <c r="F2134" s="28">
        <v>2940.45</v>
      </c>
      <c r="G2134" s="29">
        <v>0.51</v>
      </c>
      <c r="H2134" s="28">
        <f t="shared" si="68"/>
        <v>17642.699999999997</v>
      </c>
      <c r="I2134" s="30">
        <v>45647</v>
      </c>
      <c r="J2134" s="26" t="s">
        <v>52</v>
      </c>
      <c r="K2134" s="26" t="s">
        <v>16</v>
      </c>
      <c r="L2134" s="31">
        <f t="shared" si="69"/>
        <v>8644.9229999999989</v>
      </c>
      <c r="M2134" s="31">
        <v>-583.80999999999995</v>
      </c>
      <c r="N2134" s="22">
        <f>_xlfn.XLOOKUP(Snitch_Fashion_Sales_cleaned!$J2134,Table2[City],Table2[City_Key],"not found")</f>
        <v>5</v>
      </c>
      <c r="O2134" s="21">
        <f>_xlfn.XLOOKUP(Snitch_Fashion_Sales_cleaned!$D2134,Table4[Product_Name],Table4[Product_Key],"not found")</f>
        <v>19</v>
      </c>
      <c r="P2134" s="25">
        <f>_xlfn.XLOOKUP(Snitch_Fashion_Sales_cleaned!$I2134,Table3[Order_Date],Table3[Date_Key])</f>
        <v>5</v>
      </c>
    </row>
    <row r="2135" spans="1:16" x14ac:dyDescent="0.3">
      <c r="A2135" s="34">
        <v>3133</v>
      </c>
      <c r="B2135" s="32" t="s">
        <v>2155</v>
      </c>
      <c r="C2135" s="32" t="s">
        <v>20</v>
      </c>
      <c r="D2135" s="33" t="s">
        <v>84</v>
      </c>
      <c r="E2135" s="34">
        <v>1</v>
      </c>
      <c r="F2135" s="35">
        <v>974.54</v>
      </c>
      <c r="G2135" s="36">
        <v>0.44</v>
      </c>
      <c r="H2135" s="35">
        <f t="shared" si="68"/>
        <v>974.54</v>
      </c>
      <c r="I2135" s="37">
        <v>45570</v>
      </c>
      <c r="J2135" s="33" t="s">
        <v>52</v>
      </c>
      <c r="K2135" s="33" t="s">
        <v>23</v>
      </c>
      <c r="L2135" s="38">
        <f t="shared" si="69"/>
        <v>545.74239999999998</v>
      </c>
      <c r="M2135" s="38">
        <v>136.43559999999999</v>
      </c>
      <c r="N2135" s="24">
        <f>_xlfn.XLOOKUP(Snitch_Fashion_Sales_cleaned!$J2135,Table2[City],Table2[City_Key],"not found")</f>
        <v>5</v>
      </c>
      <c r="O2135" s="23">
        <f>_xlfn.XLOOKUP(Snitch_Fashion_Sales_cleaned!$D2135,Table4[Product_Name],Table4[Product_Key],"not found")</f>
        <v>19</v>
      </c>
      <c r="P2135" s="32">
        <f>_xlfn.XLOOKUP(Snitch_Fashion_Sales_cleaned!$I2135,Table3[Order_Date],Table3[Date_Key])</f>
        <v>95</v>
      </c>
    </row>
    <row r="2136" spans="1:16" x14ac:dyDescent="0.3">
      <c r="A2136" s="27">
        <v>3134</v>
      </c>
      <c r="B2136" s="25" t="s">
        <v>2156</v>
      </c>
      <c r="C2136" s="25" t="s">
        <v>20</v>
      </c>
      <c r="D2136" s="26" t="s">
        <v>76</v>
      </c>
      <c r="E2136" s="27">
        <v>3</v>
      </c>
      <c r="F2136" s="28">
        <v>2229.4899999999998</v>
      </c>
      <c r="G2136" s="29">
        <v>0.53</v>
      </c>
      <c r="H2136" s="28">
        <f t="shared" si="68"/>
        <v>6688.4699999999993</v>
      </c>
      <c r="I2136" s="30">
        <v>45647</v>
      </c>
      <c r="J2136" s="26" t="s">
        <v>18</v>
      </c>
      <c r="K2136" s="26" t="s">
        <v>23</v>
      </c>
      <c r="L2136" s="31">
        <f t="shared" si="69"/>
        <v>3143.5808999999995</v>
      </c>
      <c r="M2136" s="31">
        <v>1130.74</v>
      </c>
      <c r="N2136" s="22">
        <f>_xlfn.XLOOKUP(Snitch_Fashion_Sales_cleaned!$J2136,Table2[City],Table2[City_Key],"not found")</f>
        <v>2</v>
      </c>
      <c r="O2136" s="21">
        <f>_xlfn.XLOOKUP(Snitch_Fashion_Sales_cleaned!$D2136,Table4[Product_Name],Table4[Product_Key],"not found")</f>
        <v>16</v>
      </c>
      <c r="P2136" s="25">
        <f>_xlfn.XLOOKUP(Snitch_Fashion_Sales_cleaned!$I2136,Table3[Order_Date],Table3[Date_Key])</f>
        <v>5</v>
      </c>
    </row>
    <row r="2137" spans="1:16" x14ac:dyDescent="0.3">
      <c r="A2137" s="34">
        <v>3135</v>
      </c>
      <c r="B2137" s="32" t="s">
        <v>2157</v>
      </c>
      <c r="C2137" s="32" t="s">
        <v>20</v>
      </c>
      <c r="D2137" s="33" t="s">
        <v>21</v>
      </c>
      <c r="E2137" s="34">
        <v>1</v>
      </c>
      <c r="F2137" s="35">
        <v>2579.8000000000002</v>
      </c>
      <c r="G2137" s="36">
        <v>0.67</v>
      </c>
      <c r="H2137" s="35">
        <f t="shared" si="68"/>
        <v>2579.8000000000002</v>
      </c>
      <c r="I2137" s="37">
        <v>45647</v>
      </c>
      <c r="J2137" s="33" t="s">
        <v>52</v>
      </c>
      <c r="K2137" s="33" t="s">
        <v>23</v>
      </c>
      <c r="L2137" s="38">
        <f t="shared" si="69"/>
        <v>851.33399999999995</v>
      </c>
      <c r="M2137" s="38">
        <v>212.83349999999999</v>
      </c>
      <c r="N2137" s="24">
        <f>_xlfn.XLOOKUP(Snitch_Fashion_Sales_cleaned!$J2137,Table2[City],Table2[City_Key],"not found")</f>
        <v>5</v>
      </c>
      <c r="O2137" s="23">
        <f>_xlfn.XLOOKUP(Snitch_Fashion_Sales_cleaned!$D2137,Table4[Product_Name],Table4[Product_Key],"not found")</f>
        <v>2</v>
      </c>
      <c r="P2137" s="32">
        <f>_xlfn.XLOOKUP(Snitch_Fashion_Sales_cleaned!$I2137,Table3[Order_Date],Table3[Date_Key])</f>
        <v>5</v>
      </c>
    </row>
    <row r="2138" spans="1:16" x14ac:dyDescent="0.3">
      <c r="A2138" s="27">
        <v>3136</v>
      </c>
      <c r="B2138" s="25" t="s">
        <v>2158</v>
      </c>
      <c r="C2138" s="25" t="s">
        <v>31</v>
      </c>
      <c r="D2138" s="26" t="s">
        <v>78</v>
      </c>
      <c r="E2138" s="27">
        <v>4</v>
      </c>
      <c r="F2138" s="28">
        <v>3622.93</v>
      </c>
      <c r="G2138" s="29">
        <v>0.51</v>
      </c>
      <c r="H2138" s="28">
        <f t="shared" si="68"/>
        <v>14491.72</v>
      </c>
      <c r="I2138" s="30">
        <v>45313</v>
      </c>
      <c r="J2138" s="26" t="s">
        <v>15</v>
      </c>
      <c r="K2138" s="26" t="s">
        <v>16</v>
      </c>
      <c r="L2138" s="31">
        <f t="shared" si="69"/>
        <v>7100.9427999999998</v>
      </c>
      <c r="M2138" s="31">
        <v>813.36</v>
      </c>
      <c r="N2138" s="22">
        <f>_xlfn.XLOOKUP(Snitch_Fashion_Sales_cleaned!$J2138,Table2[City],Table2[City_Key],"not found")</f>
        <v>1</v>
      </c>
      <c r="O2138" s="21">
        <f>_xlfn.XLOOKUP(Snitch_Fashion_Sales_cleaned!$D2138,Table4[Product_Name],Table4[Product_Key],"not found")</f>
        <v>17</v>
      </c>
      <c r="P2138" s="25">
        <f>_xlfn.XLOOKUP(Snitch_Fashion_Sales_cleaned!$I2138,Table3[Order_Date],Table3[Date_Key])</f>
        <v>459</v>
      </c>
    </row>
    <row r="2139" spans="1:16" x14ac:dyDescent="0.3">
      <c r="A2139" s="34">
        <v>3137</v>
      </c>
      <c r="B2139" s="32" t="s">
        <v>2159</v>
      </c>
      <c r="C2139" s="32" t="s">
        <v>20</v>
      </c>
      <c r="D2139" s="33" t="s">
        <v>21</v>
      </c>
      <c r="E2139" s="34">
        <v>4</v>
      </c>
      <c r="F2139" s="35">
        <v>2579.8000000000002</v>
      </c>
      <c r="G2139" s="36">
        <v>0.51</v>
      </c>
      <c r="H2139" s="35">
        <f t="shared" si="68"/>
        <v>10319.200000000001</v>
      </c>
      <c r="I2139" s="37">
        <v>45613</v>
      </c>
      <c r="J2139" s="33" t="s">
        <v>2540</v>
      </c>
      <c r="K2139" s="33" t="s">
        <v>23</v>
      </c>
      <c r="L2139" s="38">
        <f t="shared" si="69"/>
        <v>5056.4080000000004</v>
      </c>
      <c r="M2139" s="38">
        <v>-122.35</v>
      </c>
      <c r="N2139" s="24">
        <f>_xlfn.XLOOKUP(Snitch_Fashion_Sales_cleaned!$J2139,Table2[City],Table2[City_Key],"not found")</f>
        <v>4</v>
      </c>
      <c r="O2139" s="23">
        <f>_xlfn.XLOOKUP(Snitch_Fashion_Sales_cleaned!$D2139,Table4[Product_Name],Table4[Product_Key],"not found")</f>
        <v>2</v>
      </c>
      <c r="P2139" s="32">
        <f>_xlfn.XLOOKUP(Snitch_Fashion_Sales_cleaned!$I2139,Table3[Order_Date],Table3[Date_Key])</f>
        <v>375</v>
      </c>
    </row>
    <row r="2140" spans="1:16" x14ac:dyDescent="0.3">
      <c r="A2140" s="27">
        <v>3138</v>
      </c>
      <c r="B2140" s="25" t="s">
        <v>2160</v>
      </c>
      <c r="C2140" s="25" t="s">
        <v>28</v>
      </c>
      <c r="D2140" s="26" t="s">
        <v>137</v>
      </c>
      <c r="E2140" s="27">
        <v>3.5</v>
      </c>
      <c r="F2140" s="28">
        <v>855.81</v>
      </c>
      <c r="G2140" s="29">
        <v>0.31</v>
      </c>
      <c r="H2140" s="28">
        <f t="shared" si="68"/>
        <v>2995.335</v>
      </c>
      <c r="I2140" s="30">
        <v>45842</v>
      </c>
      <c r="J2140" s="26" t="s">
        <v>15</v>
      </c>
      <c r="K2140" s="26" t="s">
        <v>16</v>
      </c>
      <c r="L2140" s="31">
        <f t="shared" si="69"/>
        <v>2066.7811499999998</v>
      </c>
      <c r="M2140" s="31">
        <v>1801</v>
      </c>
      <c r="N2140" s="22">
        <f>_xlfn.XLOOKUP(Snitch_Fashion_Sales_cleaned!$J2140,Table2[City],Table2[City_Key],"not found")</f>
        <v>1</v>
      </c>
      <c r="O2140" s="21">
        <f>_xlfn.XLOOKUP(Snitch_Fashion_Sales_cleaned!$D2140,Table4[Product_Name],Table4[Product_Key],"not found")</f>
        <v>24</v>
      </c>
      <c r="P2140" s="25">
        <f>_xlfn.XLOOKUP(Snitch_Fashion_Sales_cleaned!$I2140,Table3[Order_Date],Table3[Date_Key])</f>
        <v>376</v>
      </c>
    </row>
    <row r="2141" spans="1:16" x14ac:dyDescent="0.3">
      <c r="A2141" s="34">
        <v>3139</v>
      </c>
      <c r="B2141" s="32" t="s">
        <v>2161</v>
      </c>
      <c r="C2141" s="32" t="s">
        <v>31</v>
      </c>
      <c r="D2141" s="33" t="s">
        <v>41</v>
      </c>
      <c r="E2141" s="34">
        <v>6</v>
      </c>
      <c r="F2141" s="35">
        <v>3027.66</v>
      </c>
      <c r="G2141" s="36">
        <v>0.51</v>
      </c>
      <c r="H2141" s="35">
        <f t="shared" si="68"/>
        <v>18165.96</v>
      </c>
      <c r="I2141" s="37">
        <v>45647</v>
      </c>
      <c r="J2141" s="33" t="s">
        <v>52</v>
      </c>
      <c r="K2141" s="33" t="s">
        <v>23</v>
      </c>
      <c r="L2141" s="38">
        <f t="shared" si="69"/>
        <v>8901.3203999999987</v>
      </c>
      <c r="M2141" s="38">
        <v>563.12</v>
      </c>
      <c r="N2141" s="24">
        <f>_xlfn.XLOOKUP(Snitch_Fashion_Sales_cleaned!$J2141,Table2[City],Table2[City_Key],"not found")</f>
        <v>5</v>
      </c>
      <c r="O2141" s="23">
        <f>_xlfn.XLOOKUP(Snitch_Fashion_Sales_cleaned!$D2141,Table4[Product_Name],Table4[Product_Key],"not found")</f>
        <v>9</v>
      </c>
      <c r="P2141" s="32">
        <f>_xlfn.XLOOKUP(Snitch_Fashion_Sales_cleaned!$I2141,Table3[Order_Date],Table3[Date_Key])</f>
        <v>5</v>
      </c>
    </row>
    <row r="2142" spans="1:16" x14ac:dyDescent="0.3">
      <c r="A2142" s="27">
        <v>3140</v>
      </c>
      <c r="B2142" s="25" t="s">
        <v>2162</v>
      </c>
      <c r="C2142" s="25" t="s">
        <v>13</v>
      </c>
      <c r="D2142" s="26" t="s">
        <v>98</v>
      </c>
      <c r="E2142" s="27">
        <v>5</v>
      </c>
      <c r="F2142" s="28">
        <v>2750.33</v>
      </c>
      <c r="G2142" s="29">
        <v>0.51</v>
      </c>
      <c r="H2142" s="28">
        <f t="shared" si="68"/>
        <v>13751.65</v>
      </c>
      <c r="I2142" s="30">
        <v>45647</v>
      </c>
      <c r="J2142" s="26" t="s">
        <v>18</v>
      </c>
      <c r="K2142" s="26" t="s">
        <v>23</v>
      </c>
      <c r="L2142" s="31">
        <f t="shared" si="69"/>
        <v>6738.3085000000001</v>
      </c>
      <c r="M2142" s="31">
        <v>2551.31</v>
      </c>
      <c r="N2142" s="22">
        <f>_xlfn.XLOOKUP(Snitch_Fashion_Sales_cleaned!$J2142,Table2[City],Table2[City_Key],"not found")</f>
        <v>2</v>
      </c>
      <c r="O2142" s="21">
        <f>_xlfn.XLOOKUP(Snitch_Fashion_Sales_cleaned!$D2142,Table4[Product_Name],Table4[Product_Key],"not found")</f>
        <v>21</v>
      </c>
      <c r="P2142" s="25">
        <f>_xlfn.XLOOKUP(Snitch_Fashion_Sales_cleaned!$I2142,Table3[Order_Date],Table3[Date_Key])</f>
        <v>5</v>
      </c>
    </row>
    <row r="2143" spans="1:16" x14ac:dyDescent="0.3">
      <c r="A2143" s="34">
        <v>3141</v>
      </c>
      <c r="B2143" s="32" t="s">
        <v>2163</v>
      </c>
      <c r="C2143" s="32" t="s">
        <v>20</v>
      </c>
      <c r="D2143" s="33" t="s">
        <v>84</v>
      </c>
      <c r="E2143" s="34">
        <v>3</v>
      </c>
      <c r="F2143" s="35">
        <v>2537.59</v>
      </c>
      <c r="G2143" s="36">
        <v>0.51</v>
      </c>
      <c r="H2143" s="35">
        <f t="shared" si="68"/>
        <v>7612.77</v>
      </c>
      <c r="I2143" s="37">
        <v>45430</v>
      </c>
      <c r="J2143" s="33" t="s">
        <v>22</v>
      </c>
      <c r="K2143" s="33" t="s">
        <v>16</v>
      </c>
      <c r="L2143" s="38">
        <f t="shared" si="69"/>
        <v>3730.2573000000002</v>
      </c>
      <c r="M2143" s="38">
        <v>2279.1799999999998</v>
      </c>
      <c r="N2143" s="24">
        <f>_xlfn.XLOOKUP(Snitch_Fashion_Sales_cleaned!$J2143,Table2[City],Table2[City_Key],"not found")</f>
        <v>3</v>
      </c>
      <c r="O2143" s="23">
        <f>_xlfn.XLOOKUP(Snitch_Fashion_Sales_cleaned!$D2143,Table4[Product_Name],Table4[Product_Key],"not found")</f>
        <v>19</v>
      </c>
      <c r="P2143" s="32">
        <f>_xlfn.XLOOKUP(Snitch_Fashion_Sales_cleaned!$I2143,Table3[Order_Date],Table3[Date_Key])</f>
        <v>173</v>
      </c>
    </row>
    <row r="2144" spans="1:16" x14ac:dyDescent="0.3">
      <c r="A2144" s="27">
        <v>3142</v>
      </c>
      <c r="B2144" s="25" t="s">
        <v>2164</v>
      </c>
      <c r="C2144" s="25" t="s">
        <v>36</v>
      </c>
      <c r="D2144" s="26" t="s">
        <v>87</v>
      </c>
      <c r="E2144" s="27">
        <v>1</v>
      </c>
      <c r="F2144" s="28">
        <v>4887.3599999999997</v>
      </c>
      <c r="G2144" s="29">
        <v>0.51</v>
      </c>
      <c r="H2144" s="28">
        <f t="shared" si="68"/>
        <v>4887.3599999999997</v>
      </c>
      <c r="I2144" s="30">
        <v>45594</v>
      </c>
      <c r="J2144" s="26" t="s">
        <v>52</v>
      </c>
      <c r="K2144" s="26" t="s">
        <v>23</v>
      </c>
      <c r="L2144" s="31">
        <f t="shared" si="69"/>
        <v>2394.8063999999999</v>
      </c>
      <c r="M2144" s="31">
        <v>-243.32</v>
      </c>
      <c r="N2144" s="22">
        <f>_xlfn.XLOOKUP(Snitch_Fashion_Sales_cleaned!$J2144,Table2[City],Table2[City_Key],"not found")</f>
        <v>5</v>
      </c>
      <c r="O2144" s="21">
        <f>_xlfn.XLOOKUP(Snitch_Fashion_Sales_cleaned!$D2144,Table4[Product_Name],Table4[Product_Key],"not found")</f>
        <v>20</v>
      </c>
      <c r="P2144" s="25">
        <f>_xlfn.XLOOKUP(Snitch_Fashion_Sales_cleaned!$I2144,Table3[Order_Date],Table3[Date_Key])</f>
        <v>526</v>
      </c>
    </row>
    <row r="2145" spans="1:16" x14ac:dyDescent="0.3">
      <c r="A2145" s="34">
        <v>3143</v>
      </c>
      <c r="B2145" s="32" t="s">
        <v>2165</v>
      </c>
      <c r="C2145" s="32" t="s">
        <v>31</v>
      </c>
      <c r="D2145" s="33" t="s">
        <v>41</v>
      </c>
      <c r="E2145" s="34">
        <v>3</v>
      </c>
      <c r="F2145" s="35">
        <v>3027.66</v>
      </c>
      <c r="G2145" s="36">
        <v>0.51</v>
      </c>
      <c r="H2145" s="35">
        <f t="shared" si="68"/>
        <v>9082.98</v>
      </c>
      <c r="I2145" s="37">
        <v>45647</v>
      </c>
      <c r="J2145" s="33" t="s">
        <v>52</v>
      </c>
      <c r="K2145" s="33" t="s">
        <v>23</v>
      </c>
      <c r="L2145" s="38">
        <f t="shared" si="69"/>
        <v>4450.6601999999993</v>
      </c>
      <c r="M2145" s="38">
        <v>-525.49</v>
      </c>
      <c r="N2145" s="24">
        <f>_xlfn.XLOOKUP(Snitch_Fashion_Sales_cleaned!$J2145,Table2[City],Table2[City_Key],"not found")</f>
        <v>5</v>
      </c>
      <c r="O2145" s="23">
        <f>_xlfn.XLOOKUP(Snitch_Fashion_Sales_cleaned!$D2145,Table4[Product_Name],Table4[Product_Key],"not found")</f>
        <v>9</v>
      </c>
      <c r="P2145" s="32">
        <f>_xlfn.XLOOKUP(Snitch_Fashion_Sales_cleaned!$I2145,Table3[Order_Date],Table3[Date_Key])</f>
        <v>5</v>
      </c>
    </row>
    <row r="2146" spans="1:16" x14ac:dyDescent="0.3">
      <c r="A2146" s="27">
        <v>3144</v>
      </c>
      <c r="B2146" s="25" t="s">
        <v>2166</v>
      </c>
      <c r="C2146" s="25" t="s">
        <v>36</v>
      </c>
      <c r="D2146" s="26" t="s">
        <v>37</v>
      </c>
      <c r="E2146" s="27">
        <v>4</v>
      </c>
      <c r="F2146" s="28">
        <v>2664.43</v>
      </c>
      <c r="G2146" s="29">
        <v>0.51</v>
      </c>
      <c r="H2146" s="28">
        <f t="shared" si="68"/>
        <v>10657.72</v>
      </c>
      <c r="I2146" s="30">
        <v>45774</v>
      </c>
      <c r="J2146" s="26" t="s">
        <v>52</v>
      </c>
      <c r="K2146" s="26" t="s">
        <v>23</v>
      </c>
      <c r="L2146" s="31">
        <f t="shared" si="69"/>
        <v>5222.2828</v>
      </c>
      <c r="M2146" s="31">
        <v>1324.18</v>
      </c>
      <c r="N2146" s="22">
        <f>_xlfn.XLOOKUP(Snitch_Fashion_Sales_cleaned!$J2146,Table2[City],Table2[City_Key],"not found")</f>
        <v>5</v>
      </c>
      <c r="O2146" s="21">
        <f>_xlfn.XLOOKUP(Snitch_Fashion_Sales_cleaned!$D2146,Table4[Product_Name],Table4[Product_Key],"not found")</f>
        <v>7</v>
      </c>
      <c r="P2146" s="25">
        <f>_xlfn.XLOOKUP(Snitch_Fashion_Sales_cleaned!$I2146,Table3[Order_Date],Table3[Date_Key])</f>
        <v>267</v>
      </c>
    </row>
    <row r="2147" spans="1:16" x14ac:dyDescent="0.3">
      <c r="A2147" s="34">
        <v>3145</v>
      </c>
      <c r="B2147" s="32" t="s">
        <v>2167</v>
      </c>
      <c r="C2147" s="32" t="s">
        <v>20</v>
      </c>
      <c r="D2147" s="33" t="s">
        <v>76</v>
      </c>
      <c r="E2147" s="34">
        <v>3</v>
      </c>
      <c r="F2147" s="35">
        <v>4414.97</v>
      </c>
      <c r="G2147" s="36">
        <v>0.51</v>
      </c>
      <c r="H2147" s="35">
        <f t="shared" si="68"/>
        <v>13244.91</v>
      </c>
      <c r="I2147" s="37">
        <v>45647</v>
      </c>
      <c r="J2147" s="33" t="s">
        <v>52</v>
      </c>
      <c r="K2147" s="33" t="s">
        <v>23</v>
      </c>
      <c r="L2147" s="38">
        <f t="shared" si="69"/>
        <v>6490.0059000000001</v>
      </c>
      <c r="M2147" s="38">
        <v>2754.74</v>
      </c>
      <c r="N2147" s="24">
        <f>_xlfn.XLOOKUP(Snitch_Fashion_Sales_cleaned!$J2147,Table2[City],Table2[City_Key],"not found")</f>
        <v>5</v>
      </c>
      <c r="O2147" s="23">
        <f>_xlfn.XLOOKUP(Snitch_Fashion_Sales_cleaned!$D2147,Table4[Product_Name],Table4[Product_Key],"not found")</f>
        <v>16</v>
      </c>
      <c r="P2147" s="32">
        <f>_xlfn.XLOOKUP(Snitch_Fashion_Sales_cleaned!$I2147,Table3[Order_Date],Table3[Date_Key])</f>
        <v>5</v>
      </c>
    </row>
    <row r="2148" spans="1:16" x14ac:dyDescent="0.3">
      <c r="A2148" s="27">
        <v>3146</v>
      </c>
      <c r="B2148" s="25" t="s">
        <v>2168</v>
      </c>
      <c r="C2148" s="25" t="s">
        <v>20</v>
      </c>
      <c r="D2148" s="26" t="s">
        <v>76</v>
      </c>
      <c r="E2148" s="27">
        <v>3</v>
      </c>
      <c r="F2148" s="28">
        <v>2229.4899999999998</v>
      </c>
      <c r="G2148" s="29">
        <v>0.51</v>
      </c>
      <c r="H2148" s="28">
        <f t="shared" si="68"/>
        <v>6688.4699999999993</v>
      </c>
      <c r="I2148" s="30">
        <v>45647</v>
      </c>
      <c r="J2148" s="26" t="s">
        <v>52</v>
      </c>
      <c r="K2148" s="26" t="s">
        <v>23</v>
      </c>
      <c r="L2148" s="31">
        <f t="shared" si="69"/>
        <v>3277.3502999999996</v>
      </c>
      <c r="M2148" s="31">
        <v>146.19</v>
      </c>
      <c r="N2148" s="22">
        <f>_xlfn.XLOOKUP(Snitch_Fashion_Sales_cleaned!$J2148,Table2[City],Table2[City_Key],"not found")</f>
        <v>5</v>
      </c>
      <c r="O2148" s="21">
        <f>_xlfn.XLOOKUP(Snitch_Fashion_Sales_cleaned!$D2148,Table4[Product_Name],Table4[Product_Key],"not found")</f>
        <v>16</v>
      </c>
      <c r="P2148" s="25">
        <f>_xlfn.XLOOKUP(Snitch_Fashion_Sales_cleaned!$I2148,Table3[Order_Date],Table3[Date_Key])</f>
        <v>5</v>
      </c>
    </row>
    <row r="2149" spans="1:16" x14ac:dyDescent="0.3">
      <c r="A2149" s="34">
        <v>3147</v>
      </c>
      <c r="B2149" s="32" t="s">
        <v>566</v>
      </c>
      <c r="C2149" s="32" t="s">
        <v>36</v>
      </c>
      <c r="D2149" s="33" t="s">
        <v>37</v>
      </c>
      <c r="E2149" s="34">
        <v>4</v>
      </c>
      <c r="F2149" s="35">
        <v>2975.64</v>
      </c>
      <c r="G2149" s="36">
        <v>0.51</v>
      </c>
      <c r="H2149" s="35">
        <f t="shared" si="68"/>
        <v>11902.56</v>
      </c>
      <c r="I2149" s="37">
        <v>45853</v>
      </c>
      <c r="J2149" s="33" t="s">
        <v>2540</v>
      </c>
      <c r="K2149" s="33" t="s">
        <v>23</v>
      </c>
      <c r="L2149" s="38">
        <f t="shared" si="69"/>
        <v>5832.2543999999998</v>
      </c>
      <c r="M2149" s="38">
        <v>2987.89</v>
      </c>
      <c r="N2149" s="24">
        <f>_xlfn.XLOOKUP(Snitch_Fashion_Sales_cleaned!$J2149,Table2[City],Table2[City_Key],"not found")</f>
        <v>4</v>
      </c>
      <c r="O2149" s="23">
        <f>_xlfn.XLOOKUP(Snitch_Fashion_Sales_cleaned!$D2149,Table4[Product_Name],Table4[Product_Key],"not found")</f>
        <v>7</v>
      </c>
      <c r="P2149" s="32">
        <f>_xlfn.XLOOKUP(Snitch_Fashion_Sales_cleaned!$I2149,Table3[Order_Date],Table3[Date_Key])</f>
        <v>2</v>
      </c>
    </row>
    <row r="2150" spans="1:16" x14ac:dyDescent="0.3">
      <c r="A2150" s="27">
        <v>3148</v>
      </c>
      <c r="B2150" s="25" t="s">
        <v>2169</v>
      </c>
      <c r="C2150" s="25" t="s">
        <v>36</v>
      </c>
      <c r="D2150" s="26" t="s">
        <v>37</v>
      </c>
      <c r="E2150" s="27">
        <v>6</v>
      </c>
      <c r="F2150" s="28">
        <v>2975.64</v>
      </c>
      <c r="G2150" s="29">
        <v>0.5</v>
      </c>
      <c r="H2150" s="28">
        <f t="shared" si="68"/>
        <v>17853.84</v>
      </c>
      <c r="I2150" s="30">
        <v>45378</v>
      </c>
      <c r="J2150" s="26" t="s">
        <v>18</v>
      </c>
      <c r="K2150" s="26" t="s">
        <v>16</v>
      </c>
      <c r="L2150" s="31">
        <f t="shared" si="69"/>
        <v>8926.92</v>
      </c>
      <c r="M2150" s="31">
        <v>605.46</v>
      </c>
      <c r="N2150" s="22">
        <f>_xlfn.XLOOKUP(Snitch_Fashion_Sales_cleaned!$J2150,Table2[City],Table2[City_Key],"not found")</f>
        <v>2</v>
      </c>
      <c r="O2150" s="21">
        <f>_xlfn.XLOOKUP(Snitch_Fashion_Sales_cleaned!$D2150,Table4[Product_Name],Table4[Product_Key],"not found")</f>
        <v>7</v>
      </c>
      <c r="P2150" s="25">
        <f>_xlfn.XLOOKUP(Snitch_Fashion_Sales_cleaned!$I2150,Table3[Order_Date],Table3[Date_Key])</f>
        <v>115</v>
      </c>
    </row>
    <row r="2151" spans="1:16" x14ac:dyDescent="0.3">
      <c r="A2151" s="34">
        <v>3149</v>
      </c>
      <c r="B2151" s="32" t="s">
        <v>2170</v>
      </c>
      <c r="C2151" s="32" t="s">
        <v>25</v>
      </c>
      <c r="D2151" s="33" t="s">
        <v>26</v>
      </c>
      <c r="E2151" s="34">
        <v>5</v>
      </c>
      <c r="F2151" s="35">
        <v>2933.45</v>
      </c>
      <c r="G2151" s="36">
        <v>0.51</v>
      </c>
      <c r="H2151" s="35">
        <f t="shared" si="68"/>
        <v>14667.25</v>
      </c>
      <c r="I2151" s="37">
        <v>45647</v>
      </c>
      <c r="J2151" s="33" t="s">
        <v>2540</v>
      </c>
      <c r="K2151" s="33" t="s">
        <v>16</v>
      </c>
      <c r="L2151" s="38">
        <f t="shared" si="69"/>
        <v>7186.9524999999994</v>
      </c>
      <c r="M2151" s="38">
        <v>-681.76</v>
      </c>
      <c r="N2151" s="24">
        <f>_xlfn.XLOOKUP(Snitch_Fashion_Sales_cleaned!$J2151,Table2[City],Table2[City_Key],"not found")</f>
        <v>4</v>
      </c>
      <c r="O2151" s="23">
        <f>_xlfn.XLOOKUP(Snitch_Fashion_Sales_cleaned!$D2151,Table4[Product_Name],Table4[Product_Key],"not found")</f>
        <v>3</v>
      </c>
      <c r="P2151" s="32">
        <f>_xlfn.XLOOKUP(Snitch_Fashion_Sales_cleaned!$I2151,Table3[Order_Date],Table3[Date_Key])</f>
        <v>5</v>
      </c>
    </row>
    <row r="2152" spans="1:16" x14ac:dyDescent="0.3">
      <c r="A2152" s="27">
        <v>3150</v>
      </c>
      <c r="B2152" s="25" t="s">
        <v>2171</v>
      </c>
      <c r="C2152" s="25" t="s">
        <v>31</v>
      </c>
      <c r="D2152" s="26" t="s">
        <v>78</v>
      </c>
      <c r="E2152" s="27">
        <v>4</v>
      </c>
      <c r="F2152" s="28">
        <v>850.69</v>
      </c>
      <c r="G2152" s="29">
        <v>0.41</v>
      </c>
      <c r="H2152" s="28">
        <f t="shared" si="68"/>
        <v>3402.76</v>
      </c>
      <c r="I2152" s="30">
        <v>45545</v>
      </c>
      <c r="J2152" s="26" t="s">
        <v>2540</v>
      </c>
      <c r="K2152" s="26" t="s">
        <v>23</v>
      </c>
      <c r="L2152" s="31">
        <f t="shared" si="69"/>
        <v>2007.6284000000005</v>
      </c>
      <c r="M2152" s="31">
        <v>501.90710000000013</v>
      </c>
      <c r="N2152" s="22">
        <f>_xlfn.XLOOKUP(Snitch_Fashion_Sales_cleaned!$J2152,Table2[City],Table2[City_Key],"not found")</f>
        <v>4</v>
      </c>
      <c r="O2152" s="21">
        <f>_xlfn.XLOOKUP(Snitch_Fashion_Sales_cleaned!$D2152,Table4[Product_Name],Table4[Product_Key],"not found")</f>
        <v>17</v>
      </c>
      <c r="P2152" s="25">
        <f>_xlfn.XLOOKUP(Snitch_Fashion_Sales_cleaned!$I2152,Table3[Order_Date],Table3[Date_Key])</f>
        <v>151</v>
      </c>
    </row>
    <row r="2153" spans="1:16" x14ac:dyDescent="0.3">
      <c r="A2153" s="34">
        <v>3151</v>
      </c>
      <c r="B2153" s="32" t="s">
        <v>2172</v>
      </c>
      <c r="C2153" s="32" t="s">
        <v>13</v>
      </c>
      <c r="D2153" s="33" t="s">
        <v>14</v>
      </c>
      <c r="E2153" s="34">
        <v>4</v>
      </c>
      <c r="F2153" s="35">
        <v>2366.6149999999998</v>
      </c>
      <c r="G2153" s="36">
        <v>0.19</v>
      </c>
      <c r="H2153" s="35">
        <f t="shared" si="68"/>
        <v>9466.4599999999991</v>
      </c>
      <c r="I2153" s="37">
        <v>45836</v>
      </c>
      <c r="J2153" s="33" t="s">
        <v>22</v>
      </c>
      <c r="K2153" s="33" t="s">
        <v>23</v>
      </c>
      <c r="L2153" s="38">
        <f t="shared" si="69"/>
        <v>7667.8325999999997</v>
      </c>
      <c r="M2153" s="38">
        <v>-858.13</v>
      </c>
      <c r="N2153" s="24">
        <f>_xlfn.XLOOKUP(Snitch_Fashion_Sales_cleaned!$J2153,Table2[City],Table2[City_Key],"not found")</f>
        <v>3</v>
      </c>
      <c r="O2153" s="23">
        <f>_xlfn.XLOOKUP(Snitch_Fashion_Sales_cleaned!$D2153,Table4[Product_Name],Table4[Product_Key],"not found")</f>
        <v>1</v>
      </c>
      <c r="P2153" s="32">
        <f>_xlfn.XLOOKUP(Snitch_Fashion_Sales_cleaned!$I2153,Table3[Order_Date],Table3[Date_Key])</f>
        <v>46</v>
      </c>
    </row>
    <row r="2154" spans="1:16" x14ac:dyDescent="0.3">
      <c r="A2154" s="27">
        <v>3152</v>
      </c>
      <c r="B2154" s="25" t="s">
        <v>2173</v>
      </c>
      <c r="C2154" s="25" t="s">
        <v>31</v>
      </c>
      <c r="D2154" s="26" t="s">
        <v>78</v>
      </c>
      <c r="E2154" s="27">
        <v>4</v>
      </c>
      <c r="F2154" s="28">
        <v>2116.65</v>
      </c>
      <c r="G2154" s="29">
        <v>0.21</v>
      </c>
      <c r="H2154" s="28">
        <f t="shared" si="68"/>
        <v>8466.6</v>
      </c>
      <c r="I2154" s="30">
        <v>45563</v>
      </c>
      <c r="J2154" s="26" t="s">
        <v>22</v>
      </c>
      <c r="K2154" s="26" t="s">
        <v>23</v>
      </c>
      <c r="L2154" s="31">
        <f t="shared" si="69"/>
        <v>6688.6140000000005</v>
      </c>
      <c r="M2154" s="31">
        <v>385.42</v>
      </c>
      <c r="N2154" s="22">
        <f>_xlfn.XLOOKUP(Snitch_Fashion_Sales_cleaned!$J2154,Table2[City],Table2[City_Key],"not found")</f>
        <v>3</v>
      </c>
      <c r="O2154" s="21">
        <f>_xlfn.XLOOKUP(Snitch_Fashion_Sales_cleaned!$D2154,Table4[Product_Name],Table4[Product_Key],"not found")</f>
        <v>17</v>
      </c>
      <c r="P2154" s="25">
        <f>_xlfn.XLOOKUP(Snitch_Fashion_Sales_cleaned!$I2154,Table3[Order_Date],Table3[Date_Key])</f>
        <v>134</v>
      </c>
    </row>
    <row r="2155" spans="1:16" x14ac:dyDescent="0.3">
      <c r="A2155" s="34">
        <v>3153</v>
      </c>
      <c r="B2155" s="32" t="s">
        <v>2174</v>
      </c>
      <c r="C2155" s="32" t="s">
        <v>36</v>
      </c>
      <c r="D2155" s="33" t="s">
        <v>37</v>
      </c>
      <c r="E2155" s="34">
        <v>4</v>
      </c>
      <c r="F2155" s="35">
        <v>4723.0200000000004</v>
      </c>
      <c r="G2155" s="36">
        <v>0.52</v>
      </c>
      <c r="H2155" s="35">
        <f t="shared" si="68"/>
        <v>18892.080000000002</v>
      </c>
      <c r="I2155" s="37">
        <v>45647</v>
      </c>
      <c r="J2155" s="33" t="s">
        <v>18</v>
      </c>
      <c r="K2155" s="33" t="s">
        <v>23</v>
      </c>
      <c r="L2155" s="38">
        <f t="shared" si="69"/>
        <v>9068.1984000000011</v>
      </c>
      <c r="M2155" s="38">
        <v>316.63</v>
      </c>
      <c r="N2155" s="24">
        <f>_xlfn.XLOOKUP(Snitch_Fashion_Sales_cleaned!$J2155,Table2[City],Table2[City_Key],"not found")</f>
        <v>2</v>
      </c>
      <c r="O2155" s="23">
        <f>_xlfn.XLOOKUP(Snitch_Fashion_Sales_cleaned!$D2155,Table4[Product_Name],Table4[Product_Key],"not found")</f>
        <v>7</v>
      </c>
      <c r="P2155" s="32">
        <f>_xlfn.XLOOKUP(Snitch_Fashion_Sales_cleaned!$I2155,Table3[Order_Date],Table3[Date_Key])</f>
        <v>5</v>
      </c>
    </row>
    <row r="2156" spans="1:16" x14ac:dyDescent="0.3">
      <c r="A2156" s="27">
        <v>1047</v>
      </c>
      <c r="B2156" s="25" t="s">
        <v>2175</v>
      </c>
      <c r="C2156" s="25" t="s">
        <v>31</v>
      </c>
      <c r="D2156" s="26" t="s">
        <v>41</v>
      </c>
      <c r="E2156" s="27">
        <v>1</v>
      </c>
      <c r="F2156" s="28">
        <v>3154.48</v>
      </c>
      <c r="G2156" s="29">
        <v>0.51</v>
      </c>
      <c r="H2156" s="28">
        <f t="shared" si="68"/>
        <v>3154.48</v>
      </c>
      <c r="I2156" s="30">
        <v>45501</v>
      </c>
      <c r="J2156" s="26" t="s">
        <v>18</v>
      </c>
      <c r="K2156" s="26" t="s">
        <v>16</v>
      </c>
      <c r="L2156" s="31">
        <f t="shared" si="69"/>
        <v>1545.6951999999999</v>
      </c>
      <c r="M2156" s="31">
        <v>-243.92</v>
      </c>
      <c r="N2156" s="22">
        <f>_xlfn.XLOOKUP(Snitch_Fashion_Sales_cleaned!$J2156,Table2[City],Table2[City_Key],"not found")</f>
        <v>2</v>
      </c>
      <c r="O2156" s="21">
        <f>_xlfn.XLOOKUP(Snitch_Fashion_Sales_cleaned!$D2156,Table4[Product_Name],Table4[Product_Key],"not found")</f>
        <v>9</v>
      </c>
      <c r="P2156" s="25">
        <f>_xlfn.XLOOKUP(Snitch_Fashion_Sales_cleaned!$I2156,Table3[Order_Date],Table3[Date_Key])</f>
        <v>417</v>
      </c>
    </row>
    <row r="2157" spans="1:16" x14ac:dyDescent="0.3">
      <c r="A2157" s="34">
        <v>3155</v>
      </c>
      <c r="B2157" s="32" t="s">
        <v>2176</v>
      </c>
      <c r="C2157" s="32" t="s">
        <v>28</v>
      </c>
      <c r="D2157" s="33" t="s">
        <v>137</v>
      </c>
      <c r="E2157" s="34">
        <v>3.5</v>
      </c>
      <c r="F2157" s="35">
        <v>2338.04</v>
      </c>
      <c r="G2157" s="36">
        <v>0.27</v>
      </c>
      <c r="H2157" s="35">
        <f t="shared" si="68"/>
        <v>8183.1399999999994</v>
      </c>
      <c r="I2157" s="37">
        <v>45647</v>
      </c>
      <c r="J2157" s="33" t="s">
        <v>22</v>
      </c>
      <c r="K2157" s="33" t="s">
        <v>16</v>
      </c>
      <c r="L2157" s="38">
        <f t="shared" si="69"/>
        <v>5973.6921999999995</v>
      </c>
      <c r="M2157" s="38">
        <v>2621.96</v>
      </c>
      <c r="N2157" s="24">
        <f>_xlfn.XLOOKUP(Snitch_Fashion_Sales_cleaned!$J2157,Table2[City],Table2[City_Key],"not found")</f>
        <v>3</v>
      </c>
      <c r="O2157" s="23">
        <f>_xlfn.XLOOKUP(Snitch_Fashion_Sales_cleaned!$D2157,Table4[Product_Name],Table4[Product_Key],"not found")</f>
        <v>24</v>
      </c>
      <c r="P2157" s="32">
        <f>_xlfn.XLOOKUP(Snitch_Fashion_Sales_cleaned!$I2157,Table3[Order_Date],Table3[Date_Key])</f>
        <v>5</v>
      </c>
    </row>
    <row r="2158" spans="1:16" x14ac:dyDescent="0.3">
      <c r="A2158" s="27">
        <v>3156</v>
      </c>
      <c r="B2158" s="25" t="s">
        <v>2177</v>
      </c>
      <c r="C2158" s="25" t="s">
        <v>25</v>
      </c>
      <c r="D2158" s="26" t="s">
        <v>26</v>
      </c>
      <c r="E2158" s="27">
        <v>1</v>
      </c>
      <c r="F2158" s="28">
        <v>2933.45</v>
      </c>
      <c r="G2158" s="29">
        <v>0.52</v>
      </c>
      <c r="H2158" s="28">
        <f t="shared" si="68"/>
        <v>2933.45</v>
      </c>
      <c r="I2158" s="30">
        <v>45647</v>
      </c>
      <c r="J2158" s="26" t="s">
        <v>18</v>
      </c>
      <c r="K2158" s="26" t="s">
        <v>16</v>
      </c>
      <c r="L2158" s="31">
        <f t="shared" si="69"/>
        <v>1408.0559999999998</v>
      </c>
      <c r="M2158" s="31">
        <v>352.01399999999995</v>
      </c>
      <c r="N2158" s="22">
        <f>_xlfn.XLOOKUP(Snitch_Fashion_Sales_cleaned!$J2158,Table2[City],Table2[City_Key],"not found")</f>
        <v>2</v>
      </c>
      <c r="O2158" s="21">
        <f>_xlfn.XLOOKUP(Snitch_Fashion_Sales_cleaned!$D2158,Table4[Product_Name],Table4[Product_Key],"not found")</f>
        <v>3</v>
      </c>
      <c r="P2158" s="25">
        <f>_xlfn.XLOOKUP(Snitch_Fashion_Sales_cleaned!$I2158,Table3[Order_Date],Table3[Date_Key])</f>
        <v>5</v>
      </c>
    </row>
    <row r="2159" spans="1:16" x14ac:dyDescent="0.3">
      <c r="A2159" s="34">
        <v>3157</v>
      </c>
      <c r="B2159" s="32" t="s">
        <v>2178</v>
      </c>
      <c r="C2159" s="32" t="s">
        <v>28</v>
      </c>
      <c r="D2159" s="33" t="s">
        <v>137</v>
      </c>
      <c r="E2159" s="34">
        <v>6</v>
      </c>
      <c r="F2159" s="35">
        <v>1768.88</v>
      </c>
      <c r="G2159" s="36">
        <v>0.51</v>
      </c>
      <c r="H2159" s="35">
        <f t="shared" si="68"/>
        <v>10613.28</v>
      </c>
      <c r="I2159" s="37">
        <v>45310</v>
      </c>
      <c r="J2159" s="33" t="s">
        <v>43</v>
      </c>
      <c r="K2159" s="33" t="s">
        <v>23</v>
      </c>
      <c r="L2159" s="38">
        <f t="shared" si="69"/>
        <v>5200.5072</v>
      </c>
      <c r="M2159" s="38">
        <v>-750.14</v>
      </c>
      <c r="N2159" s="24">
        <f>_xlfn.XLOOKUP(Snitch_Fashion_Sales_cleaned!$J2159,Table2[City],Table2[City_Key],"not found")</f>
        <v>6</v>
      </c>
      <c r="O2159" s="23">
        <f>_xlfn.XLOOKUP(Snitch_Fashion_Sales_cleaned!$D2159,Table4[Product_Name],Table4[Product_Key],"not found")</f>
        <v>24</v>
      </c>
      <c r="P2159" s="32">
        <f>_xlfn.XLOOKUP(Snitch_Fashion_Sales_cleaned!$I2159,Table3[Order_Date],Table3[Date_Key])</f>
        <v>537</v>
      </c>
    </row>
    <row r="2160" spans="1:16" x14ac:dyDescent="0.3">
      <c r="A2160" s="27">
        <v>3158</v>
      </c>
      <c r="B2160" s="25" t="s">
        <v>2179</v>
      </c>
      <c r="C2160" s="25" t="s">
        <v>25</v>
      </c>
      <c r="D2160" s="26" t="s">
        <v>82</v>
      </c>
      <c r="E2160" s="27">
        <v>3</v>
      </c>
      <c r="F2160" s="28">
        <v>2385.5749999999998</v>
      </c>
      <c r="G2160" s="29">
        <v>0.51</v>
      </c>
      <c r="H2160" s="28">
        <f t="shared" si="68"/>
        <v>7156.7249999999995</v>
      </c>
      <c r="I2160" s="30">
        <v>45500</v>
      </c>
      <c r="J2160" s="26" t="s">
        <v>43</v>
      </c>
      <c r="K2160" s="26" t="s">
        <v>23</v>
      </c>
      <c r="L2160" s="31">
        <f t="shared" si="69"/>
        <v>3506.7952499999997</v>
      </c>
      <c r="M2160" s="31">
        <v>-274.08999999999997</v>
      </c>
      <c r="N2160" s="22">
        <f>_xlfn.XLOOKUP(Snitch_Fashion_Sales_cleaned!$J2160,Table2[City],Table2[City_Key],"not found")</f>
        <v>6</v>
      </c>
      <c r="O2160" s="21">
        <f>_xlfn.XLOOKUP(Snitch_Fashion_Sales_cleaned!$D2160,Table4[Product_Name],Table4[Product_Key],"not found")</f>
        <v>18</v>
      </c>
      <c r="P2160" s="25">
        <f>_xlfn.XLOOKUP(Snitch_Fashion_Sales_cleaned!$I2160,Table3[Order_Date],Table3[Date_Key])</f>
        <v>216</v>
      </c>
    </row>
    <row r="2161" spans="1:16" x14ac:dyDescent="0.3">
      <c r="A2161" s="34">
        <v>3159</v>
      </c>
      <c r="B2161" s="32" t="s">
        <v>2180</v>
      </c>
      <c r="C2161" s="32" t="s">
        <v>31</v>
      </c>
      <c r="D2161" s="33" t="s">
        <v>78</v>
      </c>
      <c r="E2161" s="34">
        <v>4</v>
      </c>
      <c r="F2161" s="35">
        <v>2599.75</v>
      </c>
      <c r="G2161" s="36">
        <v>0.51</v>
      </c>
      <c r="H2161" s="35">
        <f t="shared" si="68"/>
        <v>10399</v>
      </c>
      <c r="I2161" s="37">
        <v>45728</v>
      </c>
      <c r="J2161" s="33" t="s">
        <v>15</v>
      </c>
      <c r="K2161" s="33" t="s">
        <v>23</v>
      </c>
      <c r="L2161" s="38">
        <f t="shared" si="69"/>
        <v>5095.51</v>
      </c>
      <c r="M2161" s="38">
        <v>1668.66</v>
      </c>
      <c r="N2161" s="24">
        <f>_xlfn.XLOOKUP(Snitch_Fashion_Sales_cleaned!$J2161,Table2[City],Table2[City_Key],"not found")</f>
        <v>1</v>
      </c>
      <c r="O2161" s="23">
        <f>_xlfn.XLOOKUP(Snitch_Fashion_Sales_cleaned!$D2161,Table4[Product_Name],Table4[Product_Key],"not found")</f>
        <v>17</v>
      </c>
      <c r="P2161" s="32">
        <f>_xlfn.XLOOKUP(Snitch_Fashion_Sales_cleaned!$I2161,Table3[Order_Date],Table3[Date_Key])</f>
        <v>156</v>
      </c>
    </row>
    <row r="2162" spans="1:16" x14ac:dyDescent="0.3">
      <c r="A2162" s="27">
        <v>3160</v>
      </c>
      <c r="B2162" s="25" t="s">
        <v>2181</v>
      </c>
      <c r="C2162" s="25" t="s">
        <v>13</v>
      </c>
      <c r="D2162" s="26" t="s">
        <v>98</v>
      </c>
      <c r="E2162" s="27">
        <v>6</v>
      </c>
      <c r="F2162" s="28">
        <v>4976.8100000000004</v>
      </c>
      <c r="G2162" s="29">
        <v>0.51</v>
      </c>
      <c r="H2162" s="28">
        <f t="shared" si="68"/>
        <v>29860.86</v>
      </c>
      <c r="I2162" s="30">
        <v>45794</v>
      </c>
      <c r="J2162" s="26" t="s">
        <v>18</v>
      </c>
      <c r="K2162" s="26" t="s">
        <v>16</v>
      </c>
      <c r="L2162" s="31">
        <f t="shared" si="69"/>
        <v>14631.821400000001</v>
      </c>
      <c r="M2162" s="31">
        <v>845.06</v>
      </c>
      <c r="N2162" s="22">
        <f>_xlfn.XLOOKUP(Snitch_Fashion_Sales_cleaned!$J2162,Table2[City],Table2[City_Key],"not found")</f>
        <v>2</v>
      </c>
      <c r="O2162" s="21">
        <f>_xlfn.XLOOKUP(Snitch_Fashion_Sales_cleaned!$D2162,Table4[Product_Name],Table4[Product_Key],"not found")</f>
        <v>21</v>
      </c>
      <c r="P2162" s="25">
        <f>_xlfn.XLOOKUP(Snitch_Fashion_Sales_cleaned!$I2162,Table3[Order_Date],Table3[Date_Key])</f>
        <v>482</v>
      </c>
    </row>
    <row r="2163" spans="1:16" x14ac:dyDescent="0.3">
      <c r="A2163" s="34">
        <v>3161</v>
      </c>
      <c r="B2163" s="32" t="s">
        <v>2182</v>
      </c>
      <c r="C2163" s="32" t="s">
        <v>28</v>
      </c>
      <c r="D2163" s="33" t="s">
        <v>29</v>
      </c>
      <c r="E2163" s="34">
        <v>3</v>
      </c>
      <c r="F2163" s="35">
        <v>2515.415</v>
      </c>
      <c r="G2163" s="36">
        <v>0.51</v>
      </c>
      <c r="H2163" s="35">
        <f t="shared" si="68"/>
        <v>7546.2449999999999</v>
      </c>
      <c r="I2163" s="37">
        <v>45422</v>
      </c>
      <c r="J2163" s="33" t="s">
        <v>22</v>
      </c>
      <c r="K2163" s="33" t="s">
        <v>16</v>
      </c>
      <c r="L2163" s="38">
        <f t="shared" si="69"/>
        <v>3697.66005</v>
      </c>
      <c r="M2163" s="38">
        <v>1399.1</v>
      </c>
      <c r="N2163" s="24">
        <f>_xlfn.XLOOKUP(Snitch_Fashion_Sales_cleaned!$J2163,Table2[City],Table2[City_Key],"not found")</f>
        <v>3</v>
      </c>
      <c r="O2163" s="23">
        <f>_xlfn.XLOOKUP(Snitch_Fashion_Sales_cleaned!$D2163,Table4[Product_Name],Table4[Product_Key],"not found")</f>
        <v>4</v>
      </c>
      <c r="P2163" s="32">
        <f>_xlfn.XLOOKUP(Snitch_Fashion_Sales_cleaned!$I2163,Table3[Order_Date],Table3[Date_Key])</f>
        <v>538</v>
      </c>
    </row>
    <row r="2164" spans="1:16" x14ac:dyDescent="0.3">
      <c r="A2164" s="27">
        <v>3162</v>
      </c>
      <c r="B2164" s="25" t="s">
        <v>2183</v>
      </c>
      <c r="C2164" s="25" t="s">
        <v>28</v>
      </c>
      <c r="D2164" s="26" t="s">
        <v>39</v>
      </c>
      <c r="E2164" s="27">
        <v>3</v>
      </c>
      <c r="F2164" s="28">
        <v>2577.6350000000002</v>
      </c>
      <c r="G2164" s="29">
        <v>0.51</v>
      </c>
      <c r="H2164" s="28">
        <f t="shared" si="68"/>
        <v>7732.9050000000007</v>
      </c>
      <c r="I2164" s="30">
        <v>45655</v>
      </c>
      <c r="J2164" s="26" t="s">
        <v>2540</v>
      </c>
      <c r="K2164" s="26" t="s">
        <v>23</v>
      </c>
      <c r="L2164" s="31">
        <f t="shared" si="69"/>
        <v>3789.12345</v>
      </c>
      <c r="M2164" s="31">
        <v>344.06</v>
      </c>
      <c r="N2164" s="22">
        <f>_xlfn.XLOOKUP(Snitch_Fashion_Sales_cleaned!$J2164,Table2[City],Table2[City_Key],"not found")</f>
        <v>4</v>
      </c>
      <c r="O2164" s="21">
        <f>_xlfn.XLOOKUP(Snitch_Fashion_Sales_cleaned!$D2164,Table4[Product_Name],Table4[Product_Key],"not found")</f>
        <v>8</v>
      </c>
      <c r="P2164" s="25">
        <f>_xlfn.XLOOKUP(Snitch_Fashion_Sales_cleaned!$I2164,Table3[Order_Date],Table3[Date_Key])</f>
        <v>269</v>
      </c>
    </row>
    <row r="2165" spans="1:16" x14ac:dyDescent="0.3">
      <c r="A2165" s="34">
        <v>3163</v>
      </c>
      <c r="B2165" s="32" t="s">
        <v>2184</v>
      </c>
      <c r="C2165" s="32" t="s">
        <v>13</v>
      </c>
      <c r="D2165" s="33" t="s">
        <v>98</v>
      </c>
      <c r="E2165" s="34">
        <v>5</v>
      </c>
      <c r="F2165" s="35">
        <v>2750.33</v>
      </c>
      <c r="G2165" s="36">
        <v>0.51</v>
      </c>
      <c r="H2165" s="35">
        <f t="shared" si="68"/>
        <v>13751.65</v>
      </c>
      <c r="I2165" s="37">
        <v>45816</v>
      </c>
      <c r="J2165" s="33" t="s">
        <v>18</v>
      </c>
      <c r="K2165" s="33" t="s">
        <v>16</v>
      </c>
      <c r="L2165" s="38">
        <f t="shared" si="69"/>
        <v>6738.3085000000001</v>
      </c>
      <c r="M2165" s="38">
        <v>-13.76</v>
      </c>
      <c r="N2165" s="24">
        <f>_xlfn.XLOOKUP(Snitch_Fashion_Sales_cleaned!$J2165,Table2[City],Table2[City_Key],"not found")</f>
        <v>2</v>
      </c>
      <c r="O2165" s="23">
        <f>_xlfn.XLOOKUP(Snitch_Fashion_Sales_cleaned!$D2165,Table4[Product_Name],Table4[Product_Key],"not found")</f>
        <v>21</v>
      </c>
      <c r="P2165" s="32">
        <f>_xlfn.XLOOKUP(Snitch_Fashion_Sales_cleaned!$I2165,Table3[Order_Date],Table3[Date_Key])</f>
        <v>205</v>
      </c>
    </row>
    <row r="2166" spans="1:16" x14ac:dyDescent="0.3">
      <c r="A2166" s="27">
        <v>3164</v>
      </c>
      <c r="B2166" s="25" t="s">
        <v>2185</v>
      </c>
      <c r="C2166" s="25" t="s">
        <v>20</v>
      </c>
      <c r="D2166" s="26" t="s">
        <v>76</v>
      </c>
      <c r="E2166" s="27">
        <v>3</v>
      </c>
      <c r="F2166" s="28">
        <v>2229.4899999999998</v>
      </c>
      <c r="G2166" s="29">
        <v>0.09</v>
      </c>
      <c r="H2166" s="28">
        <f t="shared" si="68"/>
        <v>6688.4699999999993</v>
      </c>
      <c r="I2166" s="30">
        <v>45749</v>
      </c>
      <c r="J2166" s="26" t="s">
        <v>2540</v>
      </c>
      <c r="K2166" s="26" t="s">
        <v>16</v>
      </c>
      <c r="L2166" s="31">
        <f t="shared" si="69"/>
        <v>6086.5076999999992</v>
      </c>
      <c r="M2166" s="31">
        <v>-750.61</v>
      </c>
      <c r="N2166" s="22">
        <f>_xlfn.XLOOKUP(Snitch_Fashion_Sales_cleaned!$J2166,Table2[City],Table2[City_Key],"not found")</f>
        <v>4</v>
      </c>
      <c r="O2166" s="21">
        <f>_xlfn.XLOOKUP(Snitch_Fashion_Sales_cleaned!$D2166,Table4[Product_Name],Table4[Product_Key],"not found")</f>
        <v>16</v>
      </c>
      <c r="P2166" s="25">
        <f>_xlfn.XLOOKUP(Snitch_Fashion_Sales_cleaned!$I2166,Table3[Order_Date],Table3[Date_Key])</f>
        <v>153</v>
      </c>
    </row>
    <row r="2167" spans="1:16" x14ac:dyDescent="0.3">
      <c r="A2167" s="34">
        <v>3165</v>
      </c>
      <c r="B2167" s="32" t="s">
        <v>2186</v>
      </c>
      <c r="C2167" s="32" t="s">
        <v>36</v>
      </c>
      <c r="D2167" s="33" t="s">
        <v>87</v>
      </c>
      <c r="E2167" s="34">
        <v>4</v>
      </c>
      <c r="F2167" s="35">
        <v>2994.31</v>
      </c>
      <c r="G2167" s="36">
        <v>0.51</v>
      </c>
      <c r="H2167" s="35">
        <f t="shared" si="68"/>
        <v>11977.24</v>
      </c>
      <c r="I2167" s="37">
        <v>45647</v>
      </c>
      <c r="J2167" s="33" t="s">
        <v>2540</v>
      </c>
      <c r="K2167" s="33" t="s">
        <v>16</v>
      </c>
      <c r="L2167" s="38">
        <f t="shared" si="69"/>
        <v>5868.8476000000001</v>
      </c>
      <c r="M2167" s="38">
        <v>-990.57</v>
      </c>
      <c r="N2167" s="24">
        <f>_xlfn.XLOOKUP(Snitch_Fashion_Sales_cleaned!$J2167,Table2[City],Table2[City_Key],"not found")</f>
        <v>4</v>
      </c>
      <c r="O2167" s="23">
        <f>_xlfn.XLOOKUP(Snitch_Fashion_Sales_cleaned!$D2167,Table4[Product_Name],Table4[Product_Key],"not found")</f>
        <v>20</v>
      </c>
      <c r="P2167" s="32">
        <f>_xlfn.XLOOKUP(Snitch_Fashion_Sales_cleaned!$I2167,Table3[Order_Date],Table3[Date_Key])</f>
        <v>5</v>
      </c>
    </row>
    <row r="2168" spans="1:16" x14ac:dyDescent="0.3">
      <c r="A2168" s="27">
        <v>3166</v>
      </c>
      <c r="B2168" s="25" t="s">
        <v>2187</v>
      </c>
      <c r="C2168" s="25" t="s">
        <v>36</v>
      </c>
      <c r="D2168" s="26" t="s">
        <v>87</v>
      </c>
      <c r="E2168" s="27">
        <v>4</v>
      </c>
      <c r="F2168" s="28">
        <v>2889.5349999999999</v>
      </c>
      <c r="G2168" s="29">
        <v>0.51</v>
      </c>
      <c r="H2168" s="28">
        <f t="shared" si="68"/>
        <v>11558.14</v>
      </c>
      <c r="I2168" s="30">
        <v>45674</v>
      </c>
      <c r="J2168" s="26" t="s">
        <v>43</v>
      </c>
      <c r="K2168" s="26" t="s">
        <v>23</v>
      </c>
      <c r="L2168" s="31">
        <f t="shared" si="69"/>
        <v>5663.4885999999997</v>
      </c>
      <c r="M2168" s="31">
        <v>1384.25</v>
      </c>
      <c r="N2168" s="22">
        <f>_xlfn.XLOOKUP(Snitch_Fashion_Sales_cleaned!$J2168,Table2[City],Table2[City_Key],"not found")</f>
        <v>6</v>
      </c>
      <c r="O2168" s="21">
        <f>_xlfn.XLOOKUP(Snitch_Fashion_Sales_cleaned!$D2168,Table4[Product_Name],Table4[Product_Key],"not found")</f>
        <v>20</v>
      </c>
      <c r="P2168" s="25">
        <f>_xlfn.XLOOKUP(Snitch_Fashion_Sales_cleaned!$I2168,Table3[Order_Date],Table3[Date_Key])</f>
        <v>475</v>
      </c>
    </row>
    <row r="2169" spans="1:16" x14ac:dyDescent="0.3">
      <c r="A2169" s="34">
        <v>3167</v>
      </c>
      <c r="B2169" s="32" t="s">
        <v>2188</v>
      </c>
      <c r="C2169" s="32" t="s">
        <v>13</v>
      </c>
      <c r="D2169" s="33" t="s">
        <v>98</v>
      </c>
      <c r="E2169" s="34">
        <v>5</v>
      </c>
      <c r="F2169" s="35">
        <v>2750.33</v>
      </c>
      <c r="G2169" s="36">
        <v>0.51</v>
      </c>
      <c r="H2169" s="35">
        <f t="shared" si="68"/>
        <v>13751.65</v>
      </c>
      <c r="I2169" s="37">
        <v>45558</v>
      </c>
      <c r="J2169" s="33" t="s">
        <v>22</v>
      </c>
      <c r="K2169" s="33" t="s">
        <v>23</v>
      </c>
      <c r="L2169" s="38">
        <f t="shared" si="69"/>
        <v>6738.3085000000001</v>
      </c>
      <c r="M2169" s="38">
        <v>1078.74</v>
      </c>
      <c r="N2169" s="24">
        <f>_xlfn.XLOOKUP(Snitch_Fashion_Sales_cleaned!$J2169,Table2[City],Table2[City_Key],"not found")</f>
        <v>3</v>
      </c>
      <c r="O2169" s="23">
        <f>_xlfn.XLOOKUP(Snitch_Fashion_Sales_cleaned!$D2169,Table4[Product_Name],Table4[Product_Key],"not found")</f>
        <v>21</v>
      </c>
      <c r="P2169" s="32">
        <f>_xlfn.XLOOKUP(Snitch_Fashion_Sales_cleaned!$I2169,Table3[Order_Date],Table3[Date_Key])</f>
        <v>168</v>
      </c>
    </row>
    <row r="2170" spans="1:16" x14ac:dyDescent="0.3">
      <c r="A2170" s="27">
        <v>3168</v>
      </c>
      <c r="B2170" s="25" t="s">
        <v>2189</v>
      </c>
      <c r="C2170" s="25" t="s">
        <v>13</v>
      </c>
      <c r="D2170" s="26" t="s">
        <v>98</v>
      </c>
      <c r="E2170" s="27">
        <v>5</v>
      </c>
      <c r="F2170" s="28">
        <v>1845.75</v>
      </c>
      <c r="G2170" s="29">
        <v>0.51</v>
      </c>
      <c r="H2170" s="28">
        <f t="shared" si="68"/>
        <v>9228.75</v>
      </c>
      <c r="I2170" s="30">
        <v>45814</v>
      </c>
      <c r="J2170" s="26" t="s">
        <v>2540</v>
      </c>
      <c r="K2170" s="26" t="s">
        <v>23</v>
      </c>
      <c r="L2170" s="31">
        <f t="shared" si="69"/>
        <v>4522.0874999999996</v>
      </c>
      <c r="M2170" s="31">
        <v>268.45</v>
      </c>
      <c r="N2170" s="22">
        <f>_xlfn.XLOOKUP(Snitch_Fashion_Sales_cleaned!$J2170,Table2[City],Table2[City_Key],"not found")</f>
        <v>4</v>
      </c>
      <c r="O2170" s="21">
        <f>_xlfn.XLOOKUP(Snitch_Fashion_Sales_cleaned!$D2170,Table4[Product_Name],Table4[Product_Key],"not found")</f>
        <v>21</v>
      </c>
      <c r="P2170" s="25">
        <f>_xlfn.XLOOKUP(Snitch_Fashion_Sales_cleaned!$I2170,Table3[Order_Date],Table3[Date_Key])</f>
        <v>198</v>
      </c>
    </row>
    <row r="2171" spans="1:16" x14ac:dyDescent="0.3">
      <c r="A2171" s="34">
        <v>3169</v>
      </c>
      <c r="B2171" s="32" t="s">
        <v>2190</v>
      </c>
      <c r="C2171" s="32" t="s">
        <v>20</v>
      </c>
      <c r="D2171" s="33" t="s">
        <v>21</v>
      </c>
      <c r="E2171" s="34">
        <v>4</v>
      </c>
      <c r="F2171" s="35">
        <v>2579.8000000000002</v>
      </c>
      <c r="G2171" s="36">
        <v>0.51</v>
      </c>
      <c r="H2171" s="35">
        <f t="shared" si="68"/>
        <v>10319.200000000001</v>
      </c>
      <c r="I2171" s="37">
        <v>45380</v>
      </c>
      <c r="J2171" s="33" t="s">
        <v>52</v>
      </c>
      <c r="K2171" s="33" t="s">
        <v>16</v>
      </c>
      <c r="L2171" s="38">
        <f t="shared" si="69"/>
        <v>5056.4080000000004</v>
      </c>
      <c r="M2171" s="38">
        <v>796.19</v>
      </c>
      <c r="N2171" s="24">
        <f>_xlfn.XLOOKUP(Snitch_Fashion_Sales_cleaned!$J2171,Table2[City],Table2[City_Key],"not found")</f>
        <v>5</v>
      </c>
      <c r="O2171" s="23">
        <f>_xlfn.XLOOKUP(Snitch_Fashion_Sales_cleaned!$D2171,Table4[Product_Name],Table4[Product_Key],"not found")</f>
        <v>2</v>
      </c>
      <c r="P2171" s="32">
        <f>_xlfn.XLOOKUP(Snitch_Fashion_Sales_cleaned!$I2171,Table3[Order_Date],Table3[Date_Key])</f>
        <v>304</v>
      </c>
    </row>
    <row r="2172" spans="1:16" x14ac:dyDescent="0.3">
      <c r="A2172" s="27">
        <v>3170</v>
      </c>
      <c r="B2172" s="25" t="s">
        <v>2191</v>
      </c>
      <c r="C2172" s="25" t="s">
        <v>20</v>
      </c>
      <c r="D2172" s="26" t="s">
        <v>84</v>
      </c>
      <c r="E2172" s="27">
        <v>2</v>
      </c>
      <c r="F2172" s="28">
        <v>2229.77</v>
      </c>
      <c r="G2172" s="29">
        <v>0.51</v>
      </c>
      <c r="H2172" s="28">
        <f t="shared" si="68"/>
        <v>4459.54</v>
      </c>
      <c r="I2172" s="30">
        <v>45647</v>
      </c>
      <c r="J2172" s="26" t="s">
        <v>18</v>
      </c>
      <c r="K2172" s="26" t="s">
        <v>16</v>
      </c>
      <c r="L2172" s="31">
        <f t="shared" si="69"/>
        <v>2185.1745999999998</v>
      </c>
      <c r="M2172" s="31">
        <v>546.29364999999996</v>
      </c>
      <c r="N2172" s="22">
        <f>_xlfn.XLOOKUP(Snitch_Fashion_Sales_cleaned!$J2172,Table2[City],Table2[City_Key],"not found")</f>
        <v>2</v>
      </c>
      <c r="O2172" s="21">
        <f>_xlfn.XLOOKUP(Snitch_Fashion_Sales_cleaned!$D2172,Table4[Product_Name],Table4[Product_Key],"not found")</f>
        <v>19</v>
      </c>
      <c r="P2172" s="25">
        <f>_xlfn.XLOOKUP(Snitch_Fashion_Sales_cleaned!$I2172,Table3[Order_Date],Table3[Date_Key])</f>
        <v>5</v>
      </c>
    </row>
    <row r="2173" spans="1:16" x14ac:dyDescent="0.3">
      <c r="A2173" s="34">
        <v>3171</v>
      </c>
      <c r="B2173" s="32" t="s">
        <v>2192</v>
      </c>
      <c r="C2173" s="32" t="s">
        <v>31</v>
      </c>
      <c r="D2173" s="33" t="s">
        <v>68</v>
      </c>
      <c r="E2173" s="34">
        <v>4</v>
      </c>
      <c r="F2173" s="35">
        <v>3618.17</v>
      </c>
      <c r="G2173" s="36">
        <v>0.51</v>
      </c>
      <c r="H2173" s="35">
        <f t="shared" si="68"/>
        <v>14472.68</v>
      </c>
      <c r="I2173" s="37">
        <v>45816</v>
      </c>
      <c r="J2173" s="33" t="s">
        <v>18</v>
      </c>
      <c r="K2173" s="33" t="s">
        <v>23</v>
      </c>
      <c r="L2173" s="38">
        <f t="shared" si="69"/>
        <v>7091.6131999999998</v>
      </c>
      <c r="M2173" s="38">
        <v>726.81</v>
      </c>
      <c r="N2173" s="24">
        <f>_xlfn.XLOOKUP(Snitch_Fashion_Sales_cleaned!$J2173,Table2[City],Table2[City_Key],"not found")</f>
        <v>2</v>
      </c>
      <c r="O2173" s="23">
        <f>_xlfn.XLOOKUP(Snitch_Fashion_Sales_cleaned!$D2173,Table4[Product_Name],Table4[Product_Key],"not found")</f>
        <v>15</v>
      </c>
      <c r="P2173" s="32">
        <f>_xlfn.XLOOKUP(Snitch_Fashion_Sales_cleaned!$I2173,Table3[Order_Date],Table3[Date_Key])</f>
        <v>205</v>
      </c>
    </row>
    <row r="2174" spans="1:16" x14ac:dyDescent="0.3">
      <c r="A2174" s="27">
        <v>3172</v>
      </c>
      <c r="B2174" s="25" t="s">
        <v>2193</v>
      </c>
      <c r="C2174" s="25" t="s">
        <v>25</v>
      </c>
      <c r="D2174" s="26" t="s">
        <v>50</v>
      </c>
      <c r="E2174" s="27">
        <v>3</v>
      </c>
      <c r="F2174" s="28">
        <v>4433.3500000000004</v>
      </c>
      <c r="G2174" s="29">
        <v>0.51</v>
      </c>
      <c r="H2174" s="28">
        <f t="shared" si="68"/>
        <v>13300.050000000001</v>
      </c>
      <c r="I2174" s="30">
        <v>45624</v>
      </c>
      <c r="J2174" s="26" t="s">
        <v>43</v>
      </c>
      <c r="K2174" s="26" t="s">
        <v>23</v>
      </c>
      <c r="L2174" s="31">
        <f t="shared" si="69"/>
        <v>6517.0245000000004</v>
      </c>
      <c r="M2174" s="31">
        <v>329.75</v>
      </c>
      <c r="N2174" s="22">
        <f>_xlfn.XLOOKUP(Snitch_Fashion_Sales_cleaned!$J2174,Table2[City],Table2[City_Key],"not found")</f>
        <v>6</v>
      </c>
      <c r="O2174" s="21">
        <f>_xlfn.XLOOKUP(Snitch_Fashion_Sales_cleaned!$D2174,Table4[Product_Name],Table4[Product_Key],"not found")</f>
        <v>11</v>
      </c>
      <c r="P2174" s="25">
        <f>_xlfn.XLOOKUP(Snitch_Fashion_Sales_cleaned!$I2174,Table3[Order_Date],Table3[Date_Key])</f>
        <v>133</v>
      </c>
    </row>
    <row r="2175" spans="1:16" x14ac:dyDescent="0.3">
      <c r="A2175" s="34">
        <v>1050</v>
      </c>
      <c r="B2175" s="32" t="s">
        <v>2194</v>
      </c>
      <c r="C2175" s="32" t="s">
        <v>25</v>
      </c>
      <c r="D2175" s="33" t="s">
        <v>50</v>
      </c>
      <c r="E2175" s="34">
        <v>4</v>
      </c>
      <c r="F2175" s="35">
        <v>1205.98</v>
      </c>
      <c r="G2175" s="36">
        <v>0.51</v>
      </c>
      <c r="H2175" s="35">
        <f t="shared" si="68"/>
        <v>4823.92</v>
      </c>
      <c r="I2175" s="37">
        <v>45647</v>
      </c>
      <c r="J2175" s="33" t="s">
        <v>15</v>
      </c>
      <c r="K2175" s="33" t="s">
        <v>16</v>
      </c>
      <c r="L2175" s="38">
        <f t="shared" si="69"/>
        <v>2363.7208000000001</v>
      </c>
      <c r="M2175" s="38">
        <v>-794.73</v>
      </c>
      <c r="N2175" s="24">
        <f>_xlfn.XLOOKUP(Snitch_Fashion_Sales_cleaned!$J2175,Table2[City],Table2[City_Key],"not found")</f>
        <v>1</v>
      </c>
      <c r="O2175" s="23">
        <f>_xlfn.XLOOKUP(Snitch_Fashion_Sales_cleaned!$D2175,Table4[Product_Name],Table4[Product_Key],"not found")</f>
        <v>11</v>
      </c>
      <c r="P2175" s="32">
        <f>_xlfn.XLOOKUP(Snitch_Fashion_Sales_cleaned!$I2175,Table3[Order_Date],Table3[Date_Key])</f>
        <v>5</v>
      </c>
    </row>
    <row r="2176" spans="1:16" x14ac:dyDescent="0.3">
      <c r="A2176" s="27">
        <v>3174</v>
      </c>
      <c r="B2176" s="25" t="s">
        <v>2195</v>
      </c>
      <c r="C2176" s="25" t="s">
        <v>20</v>
      </c>
      <c r="D2176" s="26" t="s">
        <v>21</v>
      </c>
      <c r="E2176" s="27">
        <v>4</v>
      </c>
      <c r="F2176" s="28">
        <v>4345.79</v>
      </c>
      <c r="G2176" s="29">
        <v>0.51</v>
      </c>
      <c r="H2176" s="28">
        <f t="shared" si="68"/>
        <v>17383.16</v>
      </c>
      <c r="I2176" s="30">
        <v>45705</v>
      </c>
      <c r="J2176" s="26" t="s">
        <v>43</v>
      </c>
      <c r="K2176" s="26" t="s">
        <v>23</v>
      </c>
      <c r="L2176" s="31">
        <f t="shared" si="69"/>
        <v>8517.7484000000004</v>
      </c>
      <c r="M2176" s="31">
        <v>2747.47</v>
      </c>
      <c r="N2176" s="22">
        <f>_xlfn.XLOOKUP(Snitch_Fashion_Sales_cleaned!$J2176,Table2[City],Table2[City_Key],"not found")</f>
        <v>6</v>
      </c>
      <c r="O2176" s="21">
        <f>_xlfn.XLOOKUP(Snitch_Fashion_Sales_cleaned!$D2176,Table4[Product_Name],Table4[Product_Key],"not found")</f>
        <v>2</v>
      </c>
      <c r="P2176" s="25">
        <f>_xlfn.XLOOKUP(Snitch_Fashion_Sales_cleaned!$I2176,Table3[Order_Date],Table3[Date_Key])</f>
        <v>202</v>
      </c>
    </row>
    <row r="2177" spans="1:16" x14ac:dyDescent="0.3">
      <c r="A2177" s="34">
        <v>3175</v>
      </c>
      <c r="B2177" s="32" t="s">
        <v>2196</v>
      </c>
      <c r="C2177" s="32" t="s">
        <v>13</v>
      </c>
      <c r="D2177" s="33" t="s">
        <v>46</v>
      </c>
      <c r="E2177" s="34">
        <v>3</v>
      </c>
      <c r="F2177" s="35">
        <v>2937.09</v>
      </c>
      <c r="G2177" s="36">
        <v>0.51</v>
      </c>
      <c r="H2177" s="35">
        <f t="shared" si="68"/>
        <v>8811.27</v>
      </c>
      <c r="I2177" s="37">
        <v>45378</v>
      </c>
      <c r="J2177" s="33" t="s">
        <v>43</v>
      </c>
      <c r="K2177" s="33" t="s">
        <v>16</v>
      </c>
      <c r="L2177" s="38">
        <f t="shared" si="69"/>
        <v>4317.5223000000005</v>
      </c>
      <c r="M2177" s="38">
        <v>2471.63</v>
      </c>
      <c r="N2177" s="24">
        <f>_xlfn.XLOOKUP(Snitch_Fashion_Sales_cleaned!$J2177,Table2[City],Table2[City_Key],"not found")</f>
        <v>6</v>
      </c>
      <c r="O2177" s="23">
        <f>_xlfn.XLOOKUP(Snitch_Fashion_Sales_cleaned!$D2177,Table4[Product_Name],Table4[Product_Key],"not found")</f>
        <v>10</v>
      </c>
      <c r="P2177" s="32">
        <f>_xlfn.XLOOKUP(Snitch_Fashion_Sales_cleaned!$I2177,Table3[Order_Date],Table3[Date_Key])</f>
        <v>115</v>
      </c>
    </row>
    <row r="2178" spans="1:16" x14ac:dyDescent="0.3">
      <c r="A2178" s="27">
        <v>3176</v>
      </c>
      <c r="B2178" s="25" t="s">
        <v>2197</v>
      </c>
      <c r="C2178" s="25" t="s">
        <v>36</v>
      </c>
      <c r="D2178" s="26" t="s">
        <v>59</v>
      </c>
      <c r="E2178" s="27">
        <v>3</v>
      </c>
      <c r="F2178" s="28">
        <v>4473.84</v>
      </c>
      <c r="G2178" s="29">
        <v>0.3</v>
      </c>
      <c r="H2178" s="28">
        <f t="shared" si="68"/>
        <v>13421.52</v>
      </c>
      <c r="I2178" s="30">
        <v>45515</v>
      </c>
      <c r="J2178" s="26" t="s">
        <v>43</v>
      </c>
      <c r="K2178" s="26" t="s">
        <v>23</v>
      </c>
      <c r="L2178" s="31">
        <f t="shared" si="69"/>
        <v>9395.0640000000003</v>
      </c>
      <c r="M2178" s="31">
        <v>2874.33</v>
      </c>
      <c r="N2178" s="22">
        <f>_xlfn.XLOOKUP(Snitch_Fashion_Sales_cleaned!$J2178,Table2[City],Table2[City_Key],"not found")</f>
        <v>6</v>
      </c>
      <c r="O2178" s="21">
        <f>_xlfn.XLOOKUP(Snitch_Fashion_Sales_cleaned!$D2178,Table4[Product_Name],Table4[Product_Key],"not found")</f>
        <v>13</v>
      </c>
      <c r="P2178" s="25">
        <f>_xlfn.XLOOKUP(Snitch_Fashion_Sales_cleaned!$I2178,Table3[Order_Date],Table3[Date_Key])</f>
        <v>235</v>
      </c>
    </row>
    <row r="2179" spans="1:16" x14ac:dyDescent="0.3">
      <c r="A2179" s="34">
        <v>3177</v>
      </c>
      <c r="B2179" s="32" t="s">
        <v>2198</v>
      </c>
      <c r="C2179" s="32" t="s">
        <v>13</v>
      </c>
      <c r="D2179" s="33" t="s">
        <v>14</v>
      </c>
      <c r="E2179" s="34">
        <v>4</v>
      </c>
      <c r="F2179" s="35">
        <v>2366.6149999999998</v>
      </c>
      <c r="G2179" s="36">
        <v>0.51</v>
      </c>
      <c r="H2179" s="35">
        <f t="shared" si="68"/>
        <v>9466.4599999999991</v>
      </c>
      <c r="I2179" s="37">
        <v>45697</v>
      </c>
      <c r="J2179" s="33" t="s">
        <v>18</v>
      </c>
      <c r="K2179" s="33" t="s">
        <v>16</v>
      </c>
      <c r="L2179" s="38">
        <f t="shared" si="69"/>
        <v>4638.5653999999995</v>
      </c>
      <c r="M2179" s="38">
        <v>2693.49</v>
      </c>
      <c r="N2179" s="24">
        <f>_xlfn.XLOOKUP(Snitch_Fashion_Sales_cleaned!$J2179,Table2[City],Table2[City_Key],"not found")</f>
        <v>2</v>
      </c>
      <c r="O2179" s="23">
        <f>_xlfn.XLOOKUP(Snitch_Fashion_Sales_cleaned!$D2179,Table4[Product_Name],Table4[Product_Key],"not found")</f>
        <v>1</v>
      </c>
      <c r="P2179" s="32">
        <f>_xlfn.XLOOKUP(Snitch_Fashion_Sales_cleaned!$I2179,Table3[Order_Date],Table3[Date_Key])</f>
        <v>339</v>
      </c>
    </row>
    <row r="2180" spans="1:16" x14ac:dyDescent="0.3">
      <c r="A2180" s="27">
        <v>3178</v>
      </c>
      <c r="B2180" s="25" t="s">
        <v>2199</v>
      </c>
      <c r="C2180" s="25" t="s">
        <v>20</v>
      </c>
      <c r="D2180" s="26" t="s">
        <v>84</v>
      </c>
      <c r="E2180" s="27">
        <v>3</v>
      </c>
      <c r="F2180" s="28">
        <v>2537.59</v>
      </c>
      <c r="G2180" s="29">
        <v>0.66</v>
      </c>
      <c r="H2180" s="28">
        <f t="shared" si="68"/>
        <v>7612.77</v>
      </c>
      <c r="I2180" s="30">
        <v>45647</v>
      </c>
      <c r="J2180" s="26" t="s">
        <v>52</v>
      </c>
      <c r="K2180" s="26" t="s">
        <v>16</v>
      </c>
      <c r="L2180" s="31">
        <f t="shared" si="69"/>
        <v>2588.3417999999997</v>
      </c>
      <c r="M2180" s="31">
        <v>-174.17</v>
      </c>
      <c r="N2180" s="22">
        <f>_xlfn.XLOOKUP(Snitch_Fashion_Sales_cleaned!$J2180,Table2[City],Table2[City_Key],"not found")</f>
        <v>5</v>
      </c>
      <c r="O2180" s="21">
        <f>_xlfn.XLOOKUP(Snitch_Fashion_Sales_cleaned!$D2180,Table4[Product_Name],Table4[Product_Key],"not found")</f>
        <v>19</v>
      </c>
      <c r="P2180" s="25">
        <f>_xlfn.XLOOKUP(Snitch_Fashion_Sales_cleaned!$I2180,Table3[Order_Date],Table3[Date_Key])</f>
        <v>5</v>
      </c>
    </row>
    <row r="2181" spans="1:16" x14ac:dyDescent="0.3">
      <c r="A2181" s="34">
        <v>3179</v>
      </c>
      <c r="B2181" s="32" t="s">
        <v>1025</v>
      </c>
      <c r="C2181" s="32" t="s">
        <v>20</v>
      </c>
      <c r="D2181" s="33" t="s">
        <v>21</v>
      </c>
      <c r="E2181" s="34">
        <v>1</v>
      </c>
      <c r="F2181" s="35">
        <v>2057.88</v>
      </c>
      <c r="G2181" s="36">
        <v>0.51</v>
      </c>
      <c r="H2181" s="35">
        <f t="shared" si="68"/>
        <v>2057.88</v>
      </c>
      <c r="I2181" s="37">
        <v>45588</v>
      </c>
      <c r="J2181" s="33" t="s">
        <v>18</v>
      </c>
      <c r="K2181" s="33" t="s">
        <v>16</v>
      </c>
      <c r="L2181" s="38">
        <f t="shared" si="69"/>
        <v>1008.3612000000001</v>
      </c>
      <c r="M2181" s="38">
        <v>932.33</v>
      </c>
      <c r="N2181" s="24">
        <f>_xlfn.XLOOKUP(Snitch_Fashion_Sales_cleaned!$J2181,Table2[City],Table2[City_Key],"not found")</f>
        <v>2</v>
      </c>
      <c r="O2181" s="23">
        <f>_xlfn.XLOOKUP(Snitch_Fashion_Sales_cleaned!$D2181,Table4[Product_Name],Table4[Product_Key],"not found")</f>
        <v>2</v>
      </c>
      <c r="P2181" s="32">
        <f>_xlfn.XLOOKUP(Snitch_Fashion_Sales_cleaned!$I2181,Table3[Order_Date],Table3[Date_Key])</f>
        <v>85</v>
      </c>
    </row>
    <row r="2182" spans="1:16" x14ac:dyDescent="0.3">
      <c r="A2182" s="27">
        <v>3180</v>
      </c>
      <c r="B2182" s="25" t="s">
        <v>2200</v>
      </c>
      <c r="C2182" s="25" t="s">
        <v>25</v>
      </c>
      <c r="D2182" s="26" t="s">
        <v>82</v>
      </c>
      <c r="E2182" s="27">
        <v>5</v>
      </c>
      <c r="F2182" s="28">
        <v>1981.32</v>
      </c>
      <c r="G2182" s="29">
        <v>0.51</v>
      </c>
      <c r="H2182" s="28">
        <f t="shared" ref="H2182:H2245" si="70">E2182*F2182</f>
        <v>9906.6</v>
      </c>
      <c r="I2182" s="30">
        <v>45519</v>
      </c>
      <c r="J2182" s="26" t="s">
        <v>2540</v>
      </c>
      <c r="K2182" s="26" t="s">
        <v>23</v>
      </c>
      <c r="L2182" s="31">
        <f t="shared" ref="L2182:L2245" si="71">H2182*(1-G2182)</f>
        <v>4854.2340000000004</v>
      </c>
      <c r="M2182" s="31">
        <v>1113.19</v>
      </c>
      <c r="N2182" s="22">
        <f>_xlfn.XLOOKUP(Snitch_Fashion_Sales_cleaned!$J2182,Table2[City],Table2[City_Key],"not found")</f>
        <v>4</v>
      </c>
      <c r="O2182" s="21">
        <f>_xlfn.XLOOKUP(Snitch_Fashion_Sales_cleaned!$D2182,Table4[Product_Name],Table4[Product_Key],"not found")</f>
        <v>18</v>
      </c>
      <c r="P2182" s="25">
        <f>_xlfn.XLOOKUP(Snitch_Fashion_Sales_cleaned!$I2182,Table3[Order_Date],Table3[Date_Key])</f>
        <v>248</v>
      </c>
    </row>
    <row r="2183" spans="1:16" x14ac:dyDescent="0.3">
      <c r="A2183" s="34">
        <v>3181</v>
      </c>
      <c r="B2183" s="32" t="s">
        <v>2201</v>
      </c>
      <c r="C2183" s="32" t="s">
        <v>25</v>
      </c>
      <c r="D2183" s="33" t="s">
        <v>26</v>
      </c>
      <c r="E2183" s="34">
        <v>4</v>
      </c>
      <c r="F2183" s="35">
        <v>2933.45</v>
      </c>
      <c r="G2183" s="36">
        <v>0.51</v>
      </c>
      <c r="H2183" s="35">
        <f t="shared" si="70"/>
        <v>11733.8</v>
      </c>
      <c r="I2183" s="37">
        <v>45441</v>
      </c>
      <c r="J2183" s="33" t="s">
        <v>18</v>
      </c>
      <c r="K2183" s="33" t="s">
        <v>23</v>
      </c>
      <c r="L2183" s="38">
        <f t="shared" si="71"/>
        <v>5749.5619999999999</v>
      </c>
      <c r="M2183" s="38">
        <v>1727.03</v>
      </c>
      <c r="N2183" s="24">
        <f>_xlfn.XLOOKUP(Snitch_Fashion_Sales_cleaned!$J2183,Table2[City],Table2[City_Key],"not found")</f>
        <v>2</v>
      </c>
      <c r="O2183" s="23">
        <f>_xlfn.XLOOKUP(Snitch_Fashion_Sales_cleaned!$D2183,Table4[Product_Name],Table4[Product_Key],"not found")</f>
        <v>3</v>
      </c>
      <c r="P2183" s="32">
        <f>_xlfn.XLOOKUP(Snitch_Fashion_Sales_cleaned!$I2183,Table3[Order_Date],Table3[Date_Key])</f>
        <v>477</v>
      </c>
    </row>
    <row r="2184" spans="1:16" x14ac:dyDescent="0.3">
      <c r="A2184" s="27">
        <v>3182</v>
      </c>
      <c r="B2184" s="25" t="s">
        <v>1074</v>
      </c>
      <c r="C2184" s="25" t="s">
        <v>36</v>
      </c>
      <c r="D2184" s="26" t="s">
        <v>59</v>
      </c>
      <c r="E2184" s="27">
        <v>3</v>
      </c>
      <c r="F2184" s="28">
        <v>3078.92</v>
      </c>
      <c r="G2184" s="29">
        <v>0.51</v>
      </c>
      <c r="H2184" s="28">
        <f t="shared" si="70"/>
        <v>9236.76</v>
      </c>
      <c r="I2184" s="30">
        <v>45647</v>
      </c>
      <c r="J2184" s="26" t="s">
        <v>52</v>
      </c>
      <c r="K2184" s="26" t="s">
        <v>23</v>
      </c>
      <c r="L2184" s="31">
        <f t="shared" si="71"/>
        <v>4526.0123999999996</v>
      </c>
      <c r="M2184" s="31">
        <v>1935.04</v>
      </c>
      <c r="N2184" s="22">
        <f>_xlfn.XLOOKUP(Snitch_Fashion_Sales_cleaned!$J2184,Table2[City],Table2[City_Key],"not found")</f>
        <v>5</v>
      </c>
      <c r="O2184" s="21">
        <f>_xlfn.XLOOKUP(Snitch_Fashion_Sales_cleaned!$D2184,Table4[Product_Name],Table4[Product_Key],"not found")</f>
        <v>13</v>
      </c>
      <c r="P2184" s="25">
        <f>_xlfn.XLOOKUP(Snitch_Fashion_Sales_cleaned!$I2184,Table3[Order_Date],Table3[Date_Key])</f>
        <v>5</v>
      </c>
    </row>
    <row r="2185" spans="1:16" x14ac:dyDescent="0.3">
      <c r="A2185" s="34">
        <v>3183</v>
      </c>
      <c r="B2185" s="32" t="s">
        <v>2202</v>
      </c>
      <c r="C2185" s="32" t="s">
        <v>28</v>
      </c>
      <c r="D2185" s="33" t="s">
        <v>116</v>
      </c>
      <c r="E2185" s="34">
        <v>4</v>
      </c>
      <c r="F2185" s="35">
        <v>2785.79</v>
      </c>
      <c r="G2185" s="36">
        <v>0.51</v>
      </c>
      <c r="H2185" s="35">
        <f t="shared" si="70"/>
        <v>11143.16</v>
      </c>
      <c r="I2185" s="37">
        <v>45444</v>
      </c>
      <c r="J2185" s="33" t="s">
        <v>2540</v>
      </c>
      <c r="K2185" s="33" t="s">
        <v>23</v>
      </c>
      <c r="L2185" s="38">
        <f t="shared" si="71"/>
        <v>5460.1484</v>
      </c>
      <c r="M2185" s="38">
        <v>2332.84</v>
      </c>
      <c r="N2185" s="24">
        <f>_xlfn.XLOOKUP(Snitch_Fashion_Sales_cleaned!$J2185,Table2[City],Table2[City_Key],"not found")</f>
        <v>4</v>
      </c>
      <c r="O2185" s="23">
        <f>_xlfn.XLOOKUP(Snitch_Fashion_Sales_cleaned!$D2185,Table4[Product_Name],Table4[Product_Key],"not found")</f>
        <v>22</v>
      </c>
      <c r="P2185" s="32">
        <f>_xlfn.XLOOKUP(Snitch_Fashion_Sales_cleaned!$I2185,Table3[Order_Date],Table3[Date_Key])</f>
        <v>539</v>
      </c>
    </row>
    <row r="2186" spans="1:16" x14ac:dyDescent="0.3">
      <c r="A2186" s="27">
        <v>3184</v>
      </c>
      <c r="B2186" s="25" t="s">
        <v>2203</v>
      </c>
      <c r="C2186" s="25" t="s">
        <v>25</v>
      </c>
      <c r="D2186" s="26" t="s">
        <v>62</v>
      </c>
      <c r="E2186" s="27">
        <v>3</v>
      </c>
      <c r="F2186" s="28">
        <v>2538.0450000000001</v>
      </c>
      <c r="G2186" s="29">
        <v>1</v>
      </c>
      <c r="H2186" s="28">
        <f t="shared" si="70"/>
        <v>7614.1350000000002</v>
      </c>
      <c r="I2186" s="30">
        <v>45135</v>
      </c>
      <c r="J2186" s="26" t="s">
        <v>43</v>
      </c>
      <c r="K2186" s="26" t="s">
        <v>23</v>
      </c>
      <c r="L2186" s="31">
        <f t="shared" si="71"/>
        <v>0</v>
      </c>
      <c r="M2186" s="31">
        <v>0</v>
      </c>
      <c r="N2186" s="22">
        <f>_xlfn.XLOOKUP(Snitch_Fashion_Sales_cleaned!$J2186,Table2[City],Table2[City_Key],"not found")</f>
        <v>6</v>
      </c>
      <c r="O2186" s="21">
        <f>_xlfn.XLOOKUP(Snitch_Fashion_Sales_cleaned!$D2186,Table4[Product_Name],Table4[Product_Key],"not found")</f>
        <v>14</v>
      </c>
      <c r="P2186" s="25">
        <f>_xlfn.XLOOKUP(Snitch_Fashion_Sales_cleaned!$I2186,Table3[Order_Date],Table3[Date_Key])</f>
        <v>61</v>
      </c>
    </row>
    <row r="2187" spans="1:16" x14ac:dyDescent="0.3">
      <c r="A2187" s="34">
        <v>3185</v>
      </c>
      <c r="B2187" s="32" t="s">
        <v>2204</v>
      </c>
      <c r="C2187" s="32" t="s">
        <v>13</v>
      </c>
      <c r="D2187" s="33" t="s">
        <v>98</v>
      </c>
      <c r="E2187" s="34">
        <v>2</v>
      </c>
      <c r="F2187" s="35">
        <v>2750.33</v>
      </c>
      <c r="G2187" s="36">
        <v>0.51</v>
      </c>
      <c r="H2187" s="35">
        <f t="shared" si="70"/>
        <v>5500.66</v>
      </c>
      <c r="I2187" s="37">
        <v>45601</v>
      </c>
      <c r="J2187" s="33" t="s">
        <v>18</v>
      </c>
      <c r="K2187" s="33" t="s">
        <v>23</v>
      </c>
      <c r="L2187" s="38">
        <f t="shared" si="71"/>
        <v>2695.3233999999998</v>
      </c>
      <c r="M2187" s="38">
        <v>-726.08</v>
      </c>
      <c r="N2187" s="24">
        <f>_xlfn.XLOOKUP(Snitch_Fashion_Sales_cleaned!$J2187,Table2[City],Table2[City_Key],"not found")</f>
        <v>2</v>
      </c>
      <c r="O2187" s="23">
        <f>_xlfn.XLOOKUP(Snitch_Fashion_Sales_cleaned!$D2187,Table4[Product_Name],Table4[Product_Key],"not found")</f>
        <v>21</v>
      </c>
      <c r="P2187" s="32">
        <f>_xlfn.XLOOKUP(Snitch_Fashion_Sales_cleaned!$I2187,Table3[Order_Date],Table3[Date_Key])</f>
        <v>45</v>
      </c>
    </row>
    <row r="2188" spans="1:16" x14ac:dyDescent="0.3">
      <c r="A2188" s="27">
        <v>3186</v>
      </c>
      <c r="B2188" s="25" t="s">
        <v>2205</v>
      </c>
      <c r="C2188" s="25" t="s">
        <v>13</v>
      </c>
      <c r="D2188" s="26" t="s">
        <v>98</v>
      </c>
      <c r="E2188" s="27">
        <v>5</v>
      </c>
      <c r="F2188" s="28">
        <v>2750.33</v>
      </c>
      <c r="G2188" s="29">
        <v>0.51</v>
      </c>
      <c r="H2188" s="28">
        <f t="shared" si="70"/>
        <v>13751.65</v>
      </c>
      <c r="I2188" s="30">
        <v>45647</v>
      </c>
      <c r="J2188" s="26" t="s">
        <v>52</v>
      </c>
      <c r="K2188" s="26" t="s">
        <v>23</v>
      </c>
      <c r="L2188" s="31">
        <f t="shared" si="71"/>
        <v>6738.3085000000001</v>
      </c>
      <c r="M2188" s="31">
        <v>-637.71</v>
      </c>
      <c r="N2188" s="22">
        <f>_xlfn.XLOOKUP(Snitch_Fashion_Sales_cleaned!$J2188,Table2[City],Table2[City_Key],"not found")</f>
        <v>5</v>
      </c>
      <c r="O2188" s="21">
        <f>_xlfn.XLOOKUP(Snitch_Fashion_Sales_cleaned!$D2188,Table4[Product_Name],Table4[Product_Key],"not found")</f>
        <v>21</v>
      </c>
      <c r="P2188" s="25">
        <f>_xlfn.XLOOKUP(Snitch_Fashion_Sales_cleaned!$I2188,Table3[Order_Date],Table3[Date_Key])</f>
        <v>5</v>
      </c>
    </row>
    <row r="2189" spans="1:16" x14ac:dyDescent="0.3">
      <c r="A2189" s="34">
        <v>3187</v>
      </c>
      <c r="B2189" s="32" t="s">
        <v>2206</v>
      </c>
      <c r="C2189" s="32" t="s">
        <v>36</v>
      </c>
      <c r="D2189" s="33" t="s">
        <v>55</v>
      </c>
      <c r="E2189" s="34">
        <v>6</v>
      </c>
      <c r="F2189" s="35">
        <v>3998.97</v>
      </c>
      <c r="G2189" s="36">
        <v>0.51</v>
      </c>
      <c r="H2189" s="35">
        <f t="shared" si="70"/>
        <v>23993.82</v>
      </c>
      <c r="I2189" s="37">
        <v>45321</v>
      </c>
      <c r="J2189" s="33" t="s">
        <v>22</v>
      </c>
      <c r="K2189" s="33" t="s">
        <v>16</v>
      </c>
      <c r="L2189" s="38">
        <f t="shared" si="71"/>
        <v>11756.971799999999</v>
      </c>
      <c r="M2189" s="38">
        <v>716.49</v>
      </c>
      <c r="N2189" s="24">
        <f>_xlfn.XLOOKUP(Snitch_Fashion_Sales_cleaned!$J2189,Table2[City],Table2[City_Key],"not found")</f>
        <v>3</v>
      </c>
      <c r="O2189" s="23">
        <f>_xlfn.XLOOKUP(Snitch_Fashion_Sales_cleaned!$D2189,Table4[Product_Name],Table4[Product_Key],"not found")</f>
        <v>12</v>
      </c>
      <c r="P2189" s="32">
        <f>_xlfn.XLOOKUP(Snitch_Fashion_Sales_cleaned!$I2189,Table3[Order_Date],Table3[Date_Key])</f>
        <v>444</v>
      </c>
    </row>
    <row r="2190" spans="1:16" x14ac:dyDescent="0.3">
      <c r="A2190" s="27">
        <v>3188</v>
      </c>
      <c r="B2190" s="25" t="s">
        <v>2207</v>
      </c>
      <c r="C2190" s="25" t="s">
        <v>28</v>
      </c>
      <c r="D2190" s="26" t="s">
        <v>29</v>
      </c>
      <c r="E2190" s="27">
        <v>3</v>
      </c>
      <c r="F2190" s="28">
        <v>936.76</v>
      </c>
      <c r="G2190" s="29">
        <v>0.51</v>
      </c>
      <c r="H2190" s="28">
        <f t="shared" si="70"/>
        <v>2810.2799999999997</v>
      </c>
      <c r="I2190" s="30">
        <v>45647</v>
      </c>
      <c r="J2190" s="26" t="s">
        <v>52</v>
      </c>
      <c r="K2190" s="26" t="s">
        <v>23</v>
      </c>
      <c r="L2190" s="31">
        <f t="shared" si="71"/>
        <v>1377.0371999999998</v>
      </c>
      <c r="M2190" s="31">
        <v>1308.49</v>
      </c>
      <c r="N2190" s="22">
        <f>_xlfn.XLOOKUP(Snitch_Fashion_Sales_cleaned!$J2190,Table2[City],Table2[City_Key],"not found")</f>
        <v>5</v>
      </c>
      <c r="O2190" s="21">
        <f>_xlfn.XLOOKUP(Snitch_Fashion_Sales_cleaned!$D2190,Table4[Product_Name],Table4[Product_Key],"not found")</f>
        <v>4</v>
      </c>
      <c r="P2190" s="25">
        <f>_xlfn.XLOOKUP(Snitch_Fashion_Sales_cleaned!$I2190,Table3[Order_Date],Table3[Date_Key])</f>
        <v>5</v>
      </c>
    </row>
    <row r="2191" spans="1:16" x14ac:dyDescent="0.3">
      <c r="A2191" s="34">
        <v>3189</v>
      </c>
      <c r="B2191" s="32" t="s">
        <v>2208</v>
      </c>
      <c r="C2191" s="32" t="s">
        <v>25</v>
      </c>
      <c r="D2191" s="33" t="s">
        <v>82</v>
      </c>
      <c r="E2191" s="34">
        <v>3</v>
      </c>
      <c r="F2191" s="35">
        <v>1299.74</v>
      </c>
      <c r="G2191" s="36">
        <v>0.09</v>
      </c>
      <c r="H2191" s="35">
        <f t="shared" si="70"/>
        <v>3899.2200000000003</v>
      </c>
      <c r="I2191" s="37">
        <v>45644</v>
      </c>
      <c r="J2191" s="33" t="s">
        <v>2540</v>
      </c>
      <c r="K2191" s="33" t="s">
        <v>16</v>
      </c>
      <c r="L2191" s="38">
        <f t="shared" si="71"/>
        <v>3548.2902000000004</v>
      </c>
      <c r="M2191" s="38">
        <v>1607.44</v>
      </c>
      <c r="N2191" s="24">
        <f>_xlfn.XLOOKUP(Snitch_Fashion_Sales_cleaned!$J2191,Table2[City],Table2[City_Key],"not found")</f>
        <v>4</v>
      </c>
      <c r="O2191" s="23">
        <f>_xlfn.XLOOKUP(Snitch_Fashion_Sales_cleaned!$D2191,Table4[Product_Name],Table4[Product_Key],"not found")</f>
        <v>18</v>
      </c>
      <c r="P2191" s="32">
        <f>_xlfn.XLOOKUP(Snitch_Fashion_Sales_cleaned!$I2191,Table3[Order_Date],Table3[Date_Key])</f>
        <v>489</v>
      </c>
    </row>
    <row r="2192" spans="1:16" x14ac:dyDescent="0.3">
      <c r="A2192" s="27">
        <v>3190</v>
      </c>
      <c r="B2192" s="25" t="s">
        <v>2209</v>
      </c>
      <c r="C2192" s="25" t="s">
        <v>25</v>
      </c>
      <c r="D2192" s="26" t="s">
        <v>50</v>
      </c>
      <c r="E2192" s="27">
        <v>4</v>
      </c>
      <c r="F2192" s="28">
        <v>2666.2200000000003</v>
      </c>
      <c r="G2192" s="29">
        <v>0.44</v>
      </c>
      <c r="H2192" s="28">
        <f t="shared" si="70"/>
        <v>10664.880000000001</v>
      </c>
      <c r="I2192" s="30">
        <v>45647</v>
      </c>
      <c r="J2192" s="26" t="s">
        <v>52</v>
      </c>
      <c r="K2192" s="26" t="s">
        <v>23</v>
      </c>
      <c r="L2192" s="31">
        <f t="shared" si="71"/>
        <v>5972.332800000001</v>
      </c>
      <c r="M2192" s="31">
        <v>620.19000000000005</v>
      </c>
      <c r="N2192" s="22">
        <f>_xlfn.XLOOKUP(Snitch_Fashion_Sales_cleaned!$J2192,Table2[City],Table2[City_Key],"not found")</f>
        <v>5</v>
      </c>
      <c r="O2192" s="21">
        <f>_xlfn.XLOOKUP(Snitch_Fashion_Sales_cleaned!$D2192,Table4[Product_Name],Table4[Product_Key],"not found")</f>
        <v>11</v>
      </c>
      <c r="P2192" s="25">
        <f>_xlfn.XLOOKUP(Snitch_Fashion_Sales_cleaned!$I2192,Table3[Order_Date],Table3[Date_Key])</f>
        <v>5</v>
      </c>
    </row>
    <row r="2193" spans="1:16" x14ac:dyDescent="0.3">
      <c r="A2193" s="34">
        <v>3191</v>
      </c>
      <c r="B2193" s="32" t="s">
        <v>2210</v>
      </c>
      <c r="C2193" s="32" t="s">
        <v>20</v>
      </c>
      <c r="D2193" s="33" t="s">
        <v>84</v>
      </c>
      <c r="E2193" s="34">
        <v>3</v>
      </c>
      <c r="F2193" s="35">
        <v>2537.59</v>
      </c>
      <c r="G2193" s="36">
        <v>0.51</v>
      </c>
      <c r="H2193" s="35">
        <f t="shared" si="70"/>
        <v>7612.77</v>
      </c>
      <c r="I2193" s="37">
        <v>45687</v>
      </c>
      <c r="J2193" s="33" t="s">
        <v>15</v>
      </c>
      <c r="K2193" s="33" t="s">
        <v>23</v>
      </c>
      <c r="L2193" s="38">
        <f t="shared" si="71"/>
        <v>3730.2573000000002</v>
      </c>
      <c r="M2193" s="38">
        <v>173.16</v>
      </c>
      <c r="N2193" s="24">
        <f>_xlfn.XLOOKUP(Snitch_Fashion_Sales_cleaned!$J2193,Table2[City],Table2[City_Key],"not found")</f>
        <v>1</v>
      </c>
      <c r="O2193" s="23">
        <f>_xlfn.XLOOKUP(Snitch_Fashion_Sales_cleaned!$D2193,Table4[Product_Name],Table4[Product_Key],"not found")</f>
        <v>19</v>
      </c>
      <c r="P2193" s="32">
        <f>_xlfn.XLOOKUP(Snitch_Fashion_Sales_cleaned!$I2193,Table3[Order_Date],Table3[Date_Key])</f>
        <v>340</v>
      </c>
    </row>
    <row r="2194" spans="1:16" x14ac:dyDescent="0.3">
      <c r="A2194" s="27">
        <v>3192</v>
      </c>
      <c r="B2194" s="25" t="s">
        <v>2211</v>
      </c>
      <c r="C2194" s="25" t="s">
        <v>13</v>
      </c>
      <c r="D2194" s="26" t="s">
        <v>46</v>
      </c>
      <c r="E2194" s="27">
        <v>4</v>
      </c>
      <c r="F2194" s="28">
        <v>3568.45</v>
      </c>
      <c r="G2194" s="29">
        <v>0.37</v>
      </c>
      <c r="H2194" s="28">
        <f t="shared" si="70"/>
        <v>14273.8</v>
      </c>
      <c r="I2194" s="30">
        <v>45136</v>
      </c>
      <c r="J2194" s="26" t="s">
        <v>15</v>
      </c>
      <c r="K2194" s="26" t="s">
        <v>16</v>
      </c>
      <c r="L2194" s="31">
        <f t="shared" si="71"/>
        <v>8992.4939999999988</v>
      </c>
      <c r="M2194" s="31">
        <v>1683.74</v>
      </c>
      <c r="N2194" s="22">
        <f>_xlfn.XLOOKUP(Snitch_Fashion_Sales_cleaned!$J2194,Table2[City],Table2[City_Key],"not found")</f>
        <v>1</v>
      </c>
      <c r="O2194" s="21">
        <f>_xlfn.XLOOKUP(Snitch_Fashion_Sales_cleaned!$D2194,Table4[Product_Name],Table4[Product_Key],"not found")</f>
        <v>10</v>
      </c>
      <c r="P2194" s="25">
        <f>_xlfn.XLOOKUP(Snitch_Fashion_Sales_cleaned!$I2194,Table3[Order_Date],Table3[Date_Key])</f>
        <v>145</v>
      </c>
    </row>
    <row r="2195" spans="1:16" x14ac:dyDescent="0.3">
      <c r="A2195" s="34">
        <v>3193</v>
      </c>
      <c r="B2195" s="32" t="s">
        <v>2212</v>
      </c>
      <c r="C2195" s="32" t="s">
        <v>13</v>
      </c>
      <c r="D2195" s="33" t="s">
        <v>34</v>
      </c>
      <c r="E2195" s="34">
        <v>3</v>
      </c>
      <c r="F2195" s="35">
        <v>3008.6549999999997</v>
      </c>
      <c r="G2195" s="36">
        <v>0.51</v>
      </c>
      <c r="H2195" s="35">
        <f t="shared" si="70"/>
        <v>9025.9650000000001</v>
      </c>
      <c r="I2195" s="37">
        <v>45465</v>
      </c>
      <c r="J2195" s="33" t="s">
        <v>18</v>
      </c>
      <c r="K2195" s="33" t="s">
        <v>16</v>
      </c>
      <c r="L2195" s="38">
        <f t="shared" si="71"/>
        <v>4422.7228500000001</v>
      </c>
      <c r="M2195" s="38">
        <v>1236.54</v>
      </c>
      <c r="N2195" s="24">
        <f>_xlfn.XLOOKUP(Snitch_Fashion_Sales_cleaned!$J2195,Table2[City],Table2[City_Key],"not found")</f>
        <v>2</v>
      </c>
      <c r="O2195" s="23">
        <f>_xlfn.XLOOKUP(Snitch_Fashion_Sales_cleaned!$D2195,Table4[Product_Name],Table4[Product_Key],"not found")</f>
        <v>6</v>
      </c>
      <c r="P2195" s="32">
        <f>_xlfn.XLOOKUP(Snitch_Fashion_Sales_cleaned!$I2195,Table3[Order_Date],Table3[Date_Key])</f>
        <v>146</v>
      </c>
    </row>
    <row r="2196" spans="1:16" x14ac:dyDescent="0.3">
      <c r="A2196" s="27">
        <v>1022</v>
      </c>
      <c r="B2196" s="25" t="s">
        <v>2213</v>
      </c>
      <c r="C2196" s="25" t="s">
        <v>25</v>
      </c>
      <c r="D2196" s="26" t="s">
        <v>50</v>
      </c>
      <c r="E2196" s="27">
        <v>4</v>
      </c>
      <c r="F2196" s="28">
        <v>3611.35</v>
      </c>
      <c r="G2196" s="29">
        <v>0.51</v>
      </c>
      <c r="H2196" s="28">
        <f t="shared" si="70"/>
        <v>14445.4</v>
      </c>
      <c r="I2196" s="30">
        <v>45848</v>
      </c>
      <c r="J2196" s="26" t="s">
        <v>18</v>
      </c>
      <c r="K2196" s="26" t="s">
        <v>23</v>
      </c>
      <c r="L2196" s="31">
        <f t="shared" si="71"/>
        <v>7078.2460000000001</v>
      </c>
      <c r="M2196" s="31">
        <v>-200.64</v>
      </c>
      <c r="N2196" s="22">
        <f>_xlfn.XLOOKUP(Snitch_Fashion_Sales_cleaned!$J2196,Table2[City],Table2[City_Key],"not found")</f>
        <v>2</v>
      </c>
      <c r="O2196" s="21">
        <f>_xlfn.XLOOKUP(Snitch_Fashion_Sales_cleaned!$D2196,Table4[Product_Name],Table4[Product_Key],"not found")</f>
        <v>11</v>
      </c>
      <c r="P2196" s="25">
        <f>_xlfn.XLOOKUP(Snitch_Fashion_Sales_cleaned!$I2196,Table3[Order_Date],Table3[Date_Key])</f>
        <v>391</v>
      </c>
    </row>
    <row r="2197" spans="1:16" x14ac:dyDescent="0.3">
      <c r="A2197" s="34">
        <v>3195</v>
      </c>
      <c r="B2197" s="32" t="s">
        <v>2214</v>
      </c>
      <c r="C2197" s="32" t="s">
        <v>20</v>
      </c>
      <c r="D2197" s="33" t="s">
        <v>84</v>
      </c>
      <c r="E2197" s="34">
        <v>3</v>
      </c>
      <c r="F2197" s="35">
        <v>958.16</v>
      </c>
      <c r="G2197" s="36">
        <v>0.51</v>
      </c>
      <c r="H2197" s="35">
        <f t="shared" si="70"/>
        <v>2874.48</v>
      </c>
      <c r="I2197" s="37">
        <v>45302</v>
      </c>
      <c r="J2197" s="33" t="s">
        <v>15</v>
      </c>
      <c r="K2197" s="33" t="s">
        <v>16</v>
      </c>
      <c r="L2197" s="38">
        <f t="shared" si="71"/>
        <v>1408.4952000000001</v>
      </c>
      <c r="M2197" s="38">
        <v>352.12380000000002</v>
      </c>
      <c r="N2197" s="24">
        <f>_xlfn.XLOOKUP(Snitch_Fashion_Sales_cleaned!$J2197,Table2[City],Table2[City_Key],"not found")</f>
        <v>1</v>
      </c>
      <c r="O2197" s="23">
        <f>_xlfn.XLOOKUP(Snitch_Fashion_Sales_cleaned!$D2197,Table4[Product_Name],Table4[Product_Key],"not found")</f>
        <v>19</v>
      </c>
      <c r="P2197" s="32">
        <f>_xlfn.XLOOKUP(Snitch_Fashion_Sales_cleaned!$I2197,Table3[Order_Date],Table3[Date_Key])</f>
        <v>502</v>
      </c>
    </row>
    <row r="2198" spans="1:16" x14ac:dyDescent="0.3">
      <c r="A2198" s="27">
        <v>3196</v>
      </c>
      <c r="B2198" s="25" t="s">
        <v>2215</v>
      </c>
      <c r="C2198" s="25" t="s">
        <v>36</v>
      </c>
      <c r="D2198" s="26" t="s">
        <v>59</v>
      </c>
      <c r="E2198" s="27">
        <v>3</v>
      </c>
      <c r="F2198" s="28">
        <v>4897.24</v>
      </c>
      <c r="G2198" s="29">
        <v>0.51</v>
      </c>
      <c r="H2198" s="28">
        <f t="shared" si="70"/>
        <v>14691.72</v>
      </c>
      <c r="I2198" s="30">
        <v>45518</v>
      </c>
      <c r="J2198" s="26" t="s">
        <v>43</v>
      </c>
      <c r="K2198" s="26" t="s">
        <v>23</v>
      </c>
      <c r="L2198" s="31">
        <f t="shared" si="71"/>
        <v>7198.9427999999998</v>
      </c>
      <c r="M2198" s="31">
        <v>2989.6</v>
      </c>
      <c r="N2198" s="22">
        <f>_xlfn.XLOOKUP(Snitch_Fashion_Sales_cleaned!$J2198,Table2[City],Table2[City_Key],"not found")</f>
        <v>6</v>
      </c>
      <c r="O2198" s="21">
        <f>_xlfn.XLOOKUP(Snitch_Fashion_Sales_cleaned!$D2198,Table4[Product_Name],Table4[Product_Key],"not found")</f>
        <v>13</v>
      </c>
      <c r="P2198" s="25">
        <f>_xlfn.XLOOKUP(Snitch_Fashion_Sales_cleaned!$I2198,Table3[Order_Date],Table3[Date_Key])</f>
        <v>43</v>
      </c>
    </row>
    <row r="2199" spans="1:16" x14ac:dyDescent="0.3">
      <c r="A2199" s="34">
        <v>3197</v>
      </c>
      <c r="B2199" s="32" t="s">
        <v>2216</v>
      </c>
      <c r="C2199" s="32" t="s">
        <v>28</v>
      </c>
      <c r="D2199" s="33" t="s">
        <v>137</v>
      </c>
      <c r="E2199" s="34">
        <v>5</v>
      </c>
      <c r="F2199" s="35">
        <v>2338.04</v>
      </c>
      <c r="G2199" s="36">
        <v>0.51</v>
      </c>
      <c r="H2199" s="35">
        <f t="shared" si="70"/>
        <v>11690.2</v>
      </c>
      <c r="I2199" s="37">
        <v>45540</v>
      </c>
      <c r="J2199" s="33" t="s">
        <v>52</v>
      </c>
      <c r="K2199" s="33" t="s">
        <v>16</v>
      </c>
      <c r="L2199" s="38">
        <f t="shared" si="71"/>
        <v>5728.1980000000003</v>
      </c>
      <c r="M2199" s="38">
        <v>2348.85</v>
      </c>
      <c r="N2199" s="24">
        <f>_xlfn.XLOOKUP(Snitch_Fashion_Sales_cleaned!$J2199,Table2[City],Table2[City_Key],"not found")</f>
        <v>5</v>
      </c>
      <c r="O2199" s="23">
        <f>_xlfn.XLOOKUP(Snitch_Fashion_Sales_cleaned!$D2199,Table4[Product_Name],Table4[Product_Key],"not found")</f>
        <v>24</v>
      </c>
      <c r="P2199" s="32">
        <f>_xlfn.XLOOKUP(Snitch_Fashion_Sales_cleaned!$I2199,Table3[Order_Date],Table3[Date_Key])</f>
        <v>167</v>
      </c>
    </row>
    <row r="2200" spans="1:16" x14ac:dyDescent="0.3">
      <c r="A2200" s="27">
        <v>3198</v>
      </c>
      <c r="B2200" s="25" t="s">
        <v>2217</v>
      </c>
      <c r="C2200" s="25" t="s">
        <v>20</v>
      </c>
      <c r="D2200" s="26" t="s">
        <v>21</v>
      </c>
      <c r="E2200" s="27">
        <v>4</v>
      </c>
      <c r="F2200" s="28">
        <v>2579.8000000000002</v>
      </c>
      <c r="G2200" s="29">
        <v>0.51</v>
      </c>
      <c r="H2200" s="28">
        <f t="shared" si="70"/>
        <v>10319.200000000001</v>
      </c>
      <c r="I2200" s="30">
        <v>45748</v>
      </c>
      <c r="J2200" s="26" t="s">
        <v>43</v>
      </c>
      <c r="K2200" s="26" t="s">
        <v>16</v>
      </c>
      <c r="L2200" s="31">
        <f t="shared" si="71"/>
        <v>5056.4080000000004</v>
      </c>
      <c r="M2200" s="31">
        <v>816.72</v>
      </c>
      <c r="N2200" s="22">
        <f>_xlfn.XLOOKUP(Snitch_Fashion_Sales_cleaned!$J2200,Table2[City],Table2[City_Key],"not found")</f>
        <v>6</v>
      </c>
      <c r="O2200" s="21">
        <f>_xlfn.XLOOKUP(Snitch_Fashion_Sales_cleaned!$D2200,Table4[Product_Name],Table4[Product_Key],"not found")</f>
        <v>2</v>
      </c>
      <c r="P2200" s="25">
        <f>_xlfn.XLOOKUP(Snitch_Fashion_Sales_cleaned!$I2200,Table3[Order_Date],Table3[Date_Key])</f>
        <v>72</v>
      </c>
    </row>
    <row r="2201" spans="1:16" x14ac:dyDescent="0.3">
      <c r="A2201" s="34">
        <v>1003</v>
      </c>
      <c r="B2201" s="32" t="s">
        <v>2218</v>
      </c>
      <c r="C2201" s="32" t="s">
        <v>13</v>
      </c>
      <c r="D2201" s="33" t="s">
        <v>14</v>
      </c>
      <c r="E2201" s="34">
        <v>4</v>
      </c>
      <c r="F2201" s="35">
        <v>2366.6149999999998</v>
      </c>
      <c r="G2201" s="36">
        <v>0.51</v>
      </c>
      <c r="H2201" s="35">
        <f t="shared" si="70"/>
        <v>9466.4599999999991</v>
      </c>
      <c r="I2201" s="37">
        <v>45396</v>
      </c>
      <c r="J2201" s="33" t="s">
        <v>22</v>
      </c>
      <c r="K2201" s="33" t="s">
        <v>16</v>
      </c>
      <c r="L2201" s="38">
        <f t="shared" si="71"/>
        <v>4638.5653999999995</v>
      </c>
      <c r="M2201" s="38">
        <v>-756.14</v>
      </c>
      <c r="N2201" s="24">
        <f>_xlfn.XLOOKUP(Snitch_Fashion_Sales_cleaned!$J2201,Table2[City],Table2[City_Key],"not found")</f>
        <v>3</v>
      </c>
      <c r="O2201" s="23">
        <f>_xlfn.XLOOKUP(Snitch_Fashion_Sales_cleaned!$D2201,Table4[Product_Name],Table4[Product_Key],"not found")</f>
        <v>1</v>
      </c>
      <c r="P2201" s="32">
        <f>_xlfn.XLOOKUP(Snitch_Fashion_Sales_cleaned!$I2201,Table3[Order_Date],Table3[Date_Key])</f>
        <v>540</v>
      </c>
    </row>
    <row r="2202" spans="1:16" x14ac:dyDescent="0.3">
      <c r="A2202" s="27">
        <v>3200</v>
      </c>
      <c r="B2202" s="25" t="s">
        <v>2219</v>
      </c>
      <c r="C2202" s="25" t="s">
        <v>28</v>
      </c>
      <c r="D2202" s="26" t="s">
        <v>137</v>
      </c>
      <c r="E2202" s="27">
        <v>3.5</v>
      </c>
      <c r="F2202" s="28">
        <v>2338.04</v>
      </c>
      <c r="G2202" s="29">
        <v>0.51</v>
      </c>
      <c r="H2202" s="28">
        <f t="shared" si="70"/>
        <v>8183.1399999999994</v>
      </c>
      <c r="I2202" s="30">
        <v>45522</v>
      </c>
      <c r="J2202" s="26" t="s">
        <v>22</v>
      </c>
      <c r="K2202" s="26" t="s">
        <v>23</v>
      </c>
      <c r="L2202" s="31">
        <f t="shared" si="71"/>
        <v>4009.7385999999997</v>
      </c>
      <c r="M2202" s="31">
        <v>2779.48</v>
      </c>
      <c r="N2202" s="22">
        <f>_xlfn.XLOOKUP(Snitch_Fashion_Sales_cleaned!$J2202,Table2[City],Table2[City_Key],"not found")</f>
        <v>3</v>
      </c>
      <c r="O2202" s="21">
        <f>_xlfn.XLOOKUP(Snitch_Fashion_Sales_cleaned!$D2202,Table4[Product_Name],Table4[Product_Key],"not found")</f>
        <v>24</v>
      </c>
      <c r="P2202" s="25">
        <f>_xlfn.XLOOKUP(Snitch_Fashion_Sales_cleaned!$I2202,Table3[Order_Date],Table3[Date_Key])</f>
        <v>404</v>
      </c>
    </row>
    <row r="2203" spans="1:16" x14ac:dyDescent="0.3">
      <c r="A2203" s="34">
        <v>3201</v>
      </c>
      <c r="B2203" s="32" t="s">
        <v>2220</v>
      </c>
      <c r="C2203" s="32" t="s">
        <v>25</v>
      </c>
      <c r="D2203" s="33" t="s">
        <v>50</v>
      </c>
      <c r="E2203" s="34">
        <v>4</v>
      </c>
      <c r="F2203" s="35">
        <v>3494.89</v>
      </c>
      <c r="G2203" s="36">
        <v>0.51</v>
      </c>
      <c r="H2203" s="35">
        <f t="shared" si="70"/>
        <v>13979.56</v>
      </c>
      <c r="I2203" s="37">
        <v>45546</v>
      </c>
      <c r="J2203" s="33" t="s">
        <v>52</v>
      </c>
      <c r="K2203" s="33" t="s">
        <v>16</v>
      </c>
      <c r="L2203" s="38">
        <f t="shared" si="71"/>
        <v>6849.9843999999994</v>
      </c>
      <c r="M2203" s="38">
        <v>1036.32</v>
      </c>
      <c r="N2203" s="24">
        <f>_xlfn.XLOOKUP(Snitch_Fashion_Sales_cleaned!$J2203,Table2[City],Table2[City_Key],"not found")</f>
        <v>5</v>
      </c>
      <c r="O2203" s="23">
        <f>_xlfn.XLOOKUP(Snitch_Fashion_Sales_cleaned!$D2203,Table4[Product_Name],Table4[Product_Key],"not found")</f>
        <v>11</v>
      </c>
      <c r="P2203" s="32">
        <f>_xlfn.XLOOKUP(Snitch_Fashion_Sales_cleaned!$I2203,Table3[Order_Date],Table3[Date_Key])</f>
        <v>203</v>
      </c>
    </row>
    <row r="2204" spans="1:16" x14ac:dyDescent="0.3">
      <c r="A2204" s="27">
        <v>1006</v>
      </c>
      <c r="B2204" s="25" t="s">
        <v>2221</v>
      </c>
      <c r="C2204" s="25" t="s">
        <v>25</v>
      </c>
      <c r="D2204" s="26" t="s">
        <v>26</v>
      </c>
      <c r="E2204" s="27">
        <v>4</v>
      </c>
      <c r="F2204" s="28">
        <v>2520.44</v>
      </c>
      <c r="G2204" s="29">
        <v>0.15</v>
      </c>
      <c r="H2204" s="28">
        <f t="shared" si="70"/>
        <v>10081.76</v>
      </c>
      <c r="I2204" s="30">
        <v>45698</v>
      </c>
      <c r="J2204" s="26" t="s">
        <v>2540</v>
      </c>
      <c r="K2204" s="26" t="s">
        <v>16</v>
      </c>
      <c r="L2204" s="31">
        <f t="shared" si="71"/>
        <v>8569.4959999999992</v>
      </c>
      <c r="M2204" s="31">
        <v>2408.2800000000002</v>
      </c>
      <c r="N2204" s="22">
        <f>_xlfn.XLOOKUP(Snitch_Fashion_Sales_cleaned!$J2204,Table2[City],Table2[City_Key],"not found")</f>
        <v>4</v>
      </c>
      <c r="O2204" s="21">
        <f>_xlfn.XLOOKUP(Snitch_Fashion_Sales_cleaned!$D2204,Table4[Product_Name],Table4[Product_Key],"not found")</f>
        <v>3</v>
      </c>
      <c r="P2204" s="25">
        <f>_xlfn.XLOOKUP(Snitch_Fashion_Sales_cleaned!$I2204,Table3[Order_Date],Table3[Date_Key])</f>
        <v>32</v>
      </c>
    </row>
    <row r="2205" spans="1:16" x14ac:dyDescent="0.3">
      <c r="A2205" s="34">
        <v>3203</v>
      </c>
      <c r="B2205" s="32" t="s">
        <v>2222</v>
      </c>
      <c r="C2205" s="32" t="s">
        <v>20</v>
      </c>
      <c r="D2205" s="33" t="s">
        <v>84</v>
      </c>
      <c r="E2205" s="34">
        <v>3</v>
      </c>
      <c r="F2205" s="35">
        <v>4883.5200000000004</v>
      </c>
      <c r="G2205" s="36">
        <v>0.51</v>
      </c>
      <c r="H2205" s="35">
        <f t="shared" si="70"/>
        <v>14650.560000000001</v>
      </c>
      <c r="I2205" s="37">
        <v>45647</v>
      </c>
      <c r="J2205" s="33" t="s">
        <v>43</v>
      </c>
      <c r="K2205" s="33" t="s">
        <v>23</v>
      </c>
      <c r="L2205" s="38">
        <f t="shared" si="71"/>
        <v>7178.7744000000002</v>
      </c>
      <c r="M2205" s="38">
        <v>1510.55</v>
      </c>
      <c r="N2205" s="24">
        <f>_xlfn.XLOOKUP(Snitch_Fashion_Sales_cleaned!$J2205,Table2[City],Table2[City_Key],"not found")</f>
        <v>6</v>
      </c>
      <c r="O2205" s="23">
        <f>_xlfn.XLOOKUP(Snitch_Fashion_Sales_cleaned!$D2205,Table4[Product_Name],Table4[Product_Key],"not found")</f>
        <v>19</v>
      </c>
      <c r="P2205" s="32">
        <f>_xlfn.XLOOKUP(Snitch_Fashion_Sales_cleaned!$I2205,Table3[Order_Date],Table3[Date_Key])</f>
        <v>5</v>
      </c>
    </row>
    <row r="2206" spans="1:16" x14ac:dyDescent="0.3">
      <c r="A2206" s="27">
        <v>3204</v>
      </c>
      <c r="B2206" s="25" t="s">
        <v>2223</v>
      </c>
      <c r="C2206" s="25" t="s">
        <v>28</v>
      </c>
      <c r="D2206" s="26" t="s">
        <v>39</v>
      </c>
      <c r="E2206" s="27">
        <v>3</v>
      </c>
      <c r="F2206" s="28">
        <v>781.13</v>
      </c>
      <c r="G2206" s="29">
        <v>0.51</v>
      </c>
      <c r="H2206" s="28">
        <f t="shared" si="70"/>
        <v>2343.39</v>
      </c>
      <c r="I2206" s="30">
        <v>45501</v>
      </c>
      <c r="J2206" s="26" t="s">
        <v>22</v>
      </c>
      <c r="K2206" s="26" t="s">
        <v>16</v>
      </c>
      <c r="L2206" s="31">
        <f t="shared" si="71"/>
        <v>1148.2610999999999</v>
      </c>
      <c r="M2206" s="31">
        <v>287.06527499999999</v>
      </c>
      <c r="N2206" s="22">
        <f>_xlfn.XLOOKUP(Snitch_Fashion_Sales_cleaned!$J2206,Table2[City],Table2[City_Key],"not found")</f>
        <v>3</v>
      </c>
      <c r="O2206" s="21">
        <f>_xlfn.XLOOKUP(Snitch_Fashion_Sales_cleaned!$D2206,Table4[Product_Name],Table4[Product_Key],"not found")</f>
        <v>8</v>
      </c>
      <c r="P2206" s="25">
        <f>_xlfn.XLOOKUP(Snitch_Fashion_Sales_cleaned!$I2206,Table3[Order_Date],Table3[Date_Key])</f>
        <v>417</v>
      </c>
    </row>
    <row r="2207" spans="1:16" x14ac:dyDescent="0.3">
      <c r="A2207" s="34">
        <v>3205</v>
      </c>
      <c r="B2207" s="32" t="s">
        <v>2224</v>
      </c>
      <c r="C2207" s="32" t="s">
        <v>25</v>
      </c>
      <c r="D2207" s="33" t="s">
        <v>50</v>
      </c>
      <c r="E2207" s="34">
        <v>4</v>
      </c>
      <c r="F2207" s="35">
        <v>2666.2200000000003</v>
      </c>
      <c r="G2207" s="36">
        <v>0.51</v>
      </c>
      <c r="H2207" s="35">
        <f t="shared" si="70"/>
        <v>10664.880000000001</v>
      </c>
      <c r="I2207" s="37">
        <v>45646</v>
      </c>
      <c r="J2207" s="33" t="s">
        <v>52</v>
      </c>
      <c r="K2207" s="33" t="s">
        <v>23</v>
      </c>
      <c r="L2207" s="38">
        <f t="shared" si="71"/>
        <v>5225.7912000000006</v>
      </c>
      <c r="M2207" s="38">
        <v>1723.22</v>
      </c>
      <c r="N2207" s="24">
        <f>_xlfn.XLOOKUP(Snitch_Fashion_Sales_cleaned!$J2207,Table2[City],Table2[City_Key],"not found")</f>
        <v>5</v>
      </c>
      <c r="O2207" s="23">
        <f>_xlfn.XLOOKUP(Snitch_Fashion_Sales_cleaned!$D2207,Table4[Product_Name],Table4[Product_Key],"not found")</f>
        <v>11</v>
      </c>
      <c r="P2207" s="32">
        <f>_xlfn.XLOOKUP(Snitch_Fashion_Sales_cleaned!$I2207,Table3[Order_Date],Table3[Date_Key])</f>
        <v>529</v>
      </c>
    </row>
    <row r="2208" spans="1:16" x14ac:dyDescent="0.3">
      <c r="A2208" s="27">
        <v>3206</v>
      </c>
      <c r="B2208" s="25" t="s">
        <v>2225</v>
      </c>
      <c r="C2208" s="25" t="s">
        <v>36</v>
      </c>
      <c r="D2208" s="26" t="s">
        <v>87</v>
      </c>
      <c r="E2208" s="27">
        <v>4</v>
      </c>
      <c r="F2208" s="28">
        <v>2889.5349999999999</v>
      </c>
      <c r="G2208" s="29">
        <v>0.54</v>
      </c>
      <c r="H2208" s="28">
        <f t="shared" si="70"/>
        <v>11558.14</v>
      </c>
      <c r="I2208" s="30">
        <v>45634</v>
      </c>
      <c r="J2208" s="26" t="s">
        <v>15</v>
      </c>
      <c r="K2208" s="26" t="s">
        <v>16</v>
      </c>
      <c r="L2208" s="31">
        <f t="shared" si="71"/>
        <v>5316.7443999999996</v>
      </c>
      <c r="M2208" s="31">
        <v>550.46</v>
      </c>
      <c r="N2208" s="22">
        <f>_xlfn.XLOOKUP(Snitch_Fashion_Sales_cleaned!$J2208,Table2[City],Table2[City_Key],"not found")</f>
        <v>1</v>
      </c>
      <c r="O2208" s="21">
        <f>_xlfn.XLOOKUP(Snitch_Fashion_Sales_cleaned!$D2208,Table4[Product_Name],Table4[Product_Key],"not found")</f>
        <v>20</v>
      </c>
      <c r="P2208" s="25">
        <f>_xlfn.XLOOKUP(Snitch_Fashion_Sales_cleaned!$I2208,Table3[Order_Date],Table3[Date_Key])</f>
        <v>377</v>
      </c>
    </row>
    <row r="2209" spans="1:16" x14ac:dyDescent="0.3">
      <c r="A2209" s="34">
        <v>3207</v>
      </c>
      <c r="B2209" s="32" t="s">
        <v>2226</v>
      </c>
      <c r="C2209" s="32" t="s">
        <v>13</v>
      </c>
      <c r="D2209" s="33" t="s">
        <v>46</v>
      </c>
      <c r="E2209" s="34">
        <v>4</v>
      </c>
      <c r="F2209" s="35">
        <v>2891.64</v>
      </c>
      <c r="G2209" s="36">
        <v>0.51</v>
      </c>
      <c r="H2209" s="35">
        <f t="shared" si="70"/>
        <v>11566.56</v>
      </c>
      <c r="I2209" s="37">
        <v>45647</v>
      </c>
      <c r="J2209" s="33" t="s">
        <v>18</v>
      </c>
      <c r="K2209" s="33" t="s">
        <v>16</v>
      </c>
      <c r="L2209" s="38">
        <f t="shared" si="71"/>
        <v>5667.6143999999995</v>
      </c>
      <c r="M2209" s="38">
        <v>-547.29</v>
      </c>
      <c r="N2209" s="24">
        <f>_xlfn.XLOOKUP(Snitch_Fashion_Sales_cleaned!$J2209,Table2[City],Table2[City_Key],"not found")</f>
        <v>2</v>
      </c>
      <c r="O2209" s="23">
        <f>_xlfn.XLOOKUP(Snitch_Fashion_Sales_cleaned!$D2209,Table4[Product_Name],Table4[Product_Key],"not found")</f>
        <v>10</v>
      </c>
      <c r="P2209" s="32">
        <f>_xlfn.XLOOKUP(Snitch_Fashion_Sales_cleaned!$I2209,Table3[Order_Date],Table3[Date_Key])</f>
        <v>5</v>
      </c>
    </row>
    <row r="2210" spans="1:16" x14ac:dyDescent="0.3">
      <c r="A2210" s="27">
        <v>3208</v>
      </c>
      <c r="B2210" s="25" t="s">
        <v>2227</v>
      </c>
      <c r="C2210" s="25" t="s">
        <v>28</v>
      </c>
      <c r="D2210" s="26" t="s">
        <v>116</v>
      </c>
      <c r="E2210" s="27">
        <v>4</v>
      </c>
      <c r="F2210" s="28">
        <v>4280.7</v>
      </c>
      <c r="G2210" s="29">
        <v>0.51</v>
      </c>
      <c r="H2210" s="28">
        <f t="shared" si="70"/>
        <v>17122.8</v>
      </c>
      <c r="I2210" s="30">
        <v>45554</v>
      </c>
      <c r="J2210" s="26" t="s">
        <v>43</v>
      </c>
      <c r="K2210" s="26" t="s">
        <v>23</v>
      </c>
      <c r="L2210" s="31">
        <f t="shared" si="71"/>
        <v>8390.1719999999987</v>
      </c>
      <c r="M2210" s="31">
        <v>68.36</v>
      </c>
      <c r="N2210" s="22">
        <f>_xlfn.XLOOKUP(Snitch_Fashion_Sales_cleaned!$J2210,Table2[City],Table2[City_Key],"not found")</f>
        <v>6</v>
      </c>
      <c r="O2210" s="21">
        <f>_xlfn.XLOOKUP(Snitch_Fashion_Sales_cleaned!$D2210,Table4[Product_Name],Table4[Product_Key],"not found")</f>
        <v>22</v>
      </c>
      <c r="P2210" s="25">
        <f>_xlfn.XLOOKUP(Snitch_Fashion_Sales_cleaned!$I2210,Table3[Order_Date],Table3[Date_Key])</f>
        <v>421</v>
      </c>
    </row>
    <row r="2211" spans="1:16" x14ac:dyDescent="0.3">
      <c r="A2211" s="34">
        <v>3209</v>
      </c>
      <c r="B2211" s="32" t="s">
        <v>2228</v>
      </c>
      <c r="C2211" s="32" t="s">
        <v>25</v>
      </c>
      <c r="D2211" s="33" t="s">
        <v>82</v>
      </c>
      <c r="E2211" s="34">
        <v>3</v>
      </c>
      <c r="F2211" s="35">
        <v>3221.55</v>
      </c>
      <c r="G2211" s="36">
        <v>0.51</v>
      </c>
      <c r="H2211" s="35">
        <f t="shared" si="70"/>
        <v>9664.6500000000015</v>
      </c>
      <c r="I2211" s="37">
        <v>45279</v>
      </c>
      <c r="J2211" s="33" t="s">
        <v>18</v>
      </c>
      <c r="K2211" s="33" t="s">
        <v>23</v>
      </c>
      <c r="L2211" s="38">
        <f t="shared" si="71"/>
        <v>4735.6785000000009</v>
      </c>
      <c r="M2211" s="38">
        <v>1996.4</v>
      </c>
      <c r="N2211" s="24">
        <f>_xlfn.XLOOKUP(Snitch_Fashion_Sales_cleaned!$J2211,Table2[City],Table2[City_Key],"not found")</f>
        <v>2</v>
      </c>
      <c r="O2211" s="23">
        <f>_xlfn.XLOOKUP(Snitch_Fashion_Sales_cleaned!$D2211,Table4[Product_Name],Table4[Product_Key],"not found")</f>
        <v>18</v>
      </c>
      <c r="P2211" s="32">
        <f>_xlfn.XLOOKUP(Snitch_Fashion_Sales_cleaned!$I2211,Table3[Order_Date],Table3[Date_Key])</f>
        <v>474</v>
      </c>
    </row>
    <row r="2212" spans="1:16" x14ac:dyDescent="0.3">
      <c r="A2212" s="27">
        <v>3210</v>
      </c>
      <c r="B2212" s="25" t="s">
        <v>2229</v>
      </c>
      <c r="C2212" s="25" t="s">
        <v>13</v>
      </c>
      <c r="D2212" s="26" t="s">
        <v>98</v>
      </c>
      <c r="E2212" s="27">
        <v>5</v>
      </c>
      <c r="F2212" s="28">
        <v>2750.33</v>
      </c>
      <c r="G2212" s="29">
        <v>0.51</v>
      </c>
      <c r="H2212" s="28">
        <f t="shared" si="70"/>
        <v>13751.65</v>
      </c>
      <c r="I2212" s="30">
        <v>45676</v>
      </c>
      <c r="J2212" s="26" t="s">
        <v>22</v>
      </c>
      <c r="K2212" s="26" t="s">
        <v>23</v>
      </c>
      <c r="L2212" s="31">
        <f t="shared" si="71"/>
        <v>6738.3085000000001</v>
      </c>
      <c r="M2212" s="31">
        <v>1580.66</v>
      </c>
      <c r="N2212" s="22">
        <f>_xlfn.XLOOKUP(Snitch_Fashion_Sales_cleaned!$J2212,Table2[City],Table2[City_Key],"not found")</f>
        <v>3</v>
      </c>
      <c r="O2212" s="21">
        <f>_xlfn.XLOOKUP(Snitch_Fashion_Sales_cleaned!$D2212,Table4[Product_Name],Table4[Product_Key],"not found")</f>
        <v>21</v>
      </c>
      <c r="P2212" s="25">
        <f>_xlfn.XLOOKUP(Snitch_Fashion_Sales_cleaned!$I2212,Table3[Order_Date],Table3[Date_Key])</f>
        <v>172</v>
      </c>
    </row>
    <row r="2213" spans="1:16" x14ac:dyDescent="0.3">
      <c r="A2213" s="34">
        <v>3211</v>
      </c>
      <c r="B2213" s="32" t="s">
        <v>2230</v>
      </c>
      <c r="C2213" s="32" t="s">
        <v>31</v>
      </c>
      <c r="D2213" s="33" t="s">
        <v>32</v>
      </c>
      <c r="E2213" s="34">
        <v>4</v>
      </c>
      <c r="F2213" s="35">
        <v>1624.28</v>
      </c>
      <c r="G2213" s="36">
        <v>0.51</v>
      </c>
      <c r="H2213" s="35">
        <f t="shared" si="70"/>
        <v>6497.12</v>
      </c>
      <c r="I2213" s="37">
        <v>45697</v>
      </c>
      <c r="J2213" s="33" t="s">
        <v>2540</v>
      </c>
      <c r="K2213" s="33" t="s">
        <v>23</v>
      </c>
      <c r="L2213" s="38">
        <f t="shared" si="71"/>
        <v>3183.5888</v>
      </c>
      <c r="M2213" s="38">
        <v>1863.17</v>
      </c>
      <c r="N2213" s="24">
        <f>_xlfn.XLOOKUP(Snitch_Fashion_Sales_cleaned!$J2213,Table2[City],Table2[City_Key],"not found")</f>
        <v>4</v>
      </c>
      <c r="O2213" s="23">
        <f>_xlfn.XLOOKUP(Snitch_Fashion_Sales_cleaned!$D2213,Table4[Product_Name],Table4[Product_Key],"not found")</f>
        <v>5</v>
      </c>
      <c r="P2213" s="32">
        <f>_xlfn.XLOOKUP(Snitch_Fashion_Sales_cleaned!$I2213,Table3[Order_Date],Table3[Date_Key])</f>
        <v>339</v>
      </c>
    </row>
    <row r="2214" spans="1:16" x14ac:dyDescent="0.3">
      <c r="A2214" s="27">
        <v>3212</v>
      </c>
      <c r="B2214" s="25" t="s">
        <v>1931</v>
      </c>
      <c r="C2214" s="25" t="s">
        <v>20</v>
      </c>
      <c r="D2214" s="26" t="s">
        <v>21</v>
      </c>
      <c r="E2214" s="27">
        <v>4</v>
      </c>
      <c r="F2214" s="28">
        <v>4606.8500000000004</v>
      </c>
      <c r="G2214" s="29">
        <v>0.28000000000000003</v>
      </c>
      <c r="H2214" s="28">
        <f t="shared" si="70"/>
        <v>18427.400000000001</v>
      </c>
      <c r="I2214" s="30">
        <v>45530</v>
      </c>
      <c r="J2214" s="26" t="s">
        <v>18</v>
      </c>
      <c r="K2214" s="26" t="s">
        <v>16</v>
      </c>
      <c r="L2214" s="31">
        <f t="shared" si="71"/>
        <v>13267.728000000001</v>
      </c>
      <c r="M2214" s="31">
        <v>188.97</v>
      </c>
      <c r="N2214" s="22">
        <f>_xlfn.XLOOKUP(Snitch_Fashion_Sales_cleaned!$J2214,Table2[City],Table2[City_Key],"not found")</f>
        <v>2</v>
      </c>
      <c r="O2214" s="21">
        <f>_xlfn.XLOOKUP(Snitch_Fashion_Sales_cleaned!$D2214,Table4[Product_Name],Table4[Product_Key],"not found")</f>
        <v>2</v>
      </c>
      <c r="P2214" s="25">
        <f>_xlfn.XLOOKUP(Snitch_Fashion_Sales_cleaned!$I2214,Table3[Order_Date],Table3[Date_Key])</f>
        <v>275</v>
      </c>
    </row>
    <row r="2215" spans="1:16" x14ac:dyDescent="0.3">
      <c r="A2215" s="34">
        <v>3213</v>
      </c>
      <c r="B2215" s="32" t="s">
        <v>2231</v>
      </c>
      <c r="C2215" s="32" t="s">
        <v>20</v>
      </c>
      <c r="D2215" s="33" t="s">
        <v>76</v>
      </c>
      <c r="E2215" s="34">
        <v>6</v>
      </c>
      <c r="F2215" s="35">
        <v>1213.25</v>
      </c>
      <c r="G2215" s="36">
        <v>0.51</v>
      </c>
      <c r="H2215" s="35">
        <f t="shared" si="70"/>
        <v>7279.5</v>
      </c>
      <c r="I2215" s="37">
        <v>45592</v>
      </c>
      <c r="J2215" s="33" t="s">
        <v>18</v>
      </c>
      <c r="K2215" s="33" t="s">
        <v>16</v>
      </c>
      <c r="L2215" s="38">
        <f t="shared" si="71"/>
        <v>3566.9549999999999</v>
      </c>
      <c r="M2215" s="38">
        <v>-82.79</v>
      </c>
      <c r="N2215" s="24">
        <f>_xlfn.XLOOKUP(Snitch_Fashion_Sales_cleaned!$J2215,Table2[City],Table2[City_Key],"not found")</f>
        <v>2</v>
      </c>
      <c r="O2215" s="23">
        <f>_xlfn.XLOOKUP(Snitch_Fashion_Sales_cleaned!$D2215,Table4[Product_Name],Table4[Product_Key],"not found")</f>
        <v>16</v>
      </c>
      <c r="P2215" s="32">
        <f>_xlfn.XLOOKUP(Snitch_Fashion_Sales_cleaned!$I2215,Table3[Order_Date],Table3[Date_Key])</f>
        <v>159</v>
      </c>
    </row>
    <row r="2216" spans="1:16" x14ac:dyDescent="0.3">
      <c r="A2216" s="27">
        <v>3214</v>
      </c>
      <c r="B2216" s="25" t="s">
        <v>1116</v>
      </c>
      <c r="C2216" s="25" t="s">
        <v>13</v>
      </c>
      <c r="D2216" s="26" t="s">
        <v>98</v>
      </c>
      <c r="E2216" s="27">
        <v>5</v>
      </c>
      <c r="F2216" s="28">
        <v>2750.33</v>
      </c>
      <c r="G2216" s="29">
        <v>0.51</v>
      </c>
      <c r="H2216" s="28">
        <f t="shared" si="70"/>
        <v>13751.65</v>
      </c>
      <c r="I2216" s="30">
        <v>45774</v>
      </c>
      <c r="J2216" s="26" t="s">
        <v>22</v>
      </c>
      <c r="K2216" s="26" t="s">
        <v>16</v>
      </c>
      <c r="L2216" s="31">
        <f t="shared" si="71"/>
        <v>6738.3085000000001</v>
      </c>
      <c r="M2216" s="31">
        <v>1084.99</v>
      </c>
      <c r="N2216" s="22">
        <f>_xlfn.XLOOKUP(Snitch_Fashion_Sales_cleaned!$J2216,Table2[City],Table2[City_Key],"not found")</f>
        <v>3</v>
      </c>
      <c r="O2216" s="21">
        <f>_xlfn.XLOOKUP(Snitch_Fashion_Sales_cleaned!$D2216,Table4[Product_Name],Table4[Product_Key],"not found")</f>
        <v>21</v>
      </c>
      <c r="P2216" s="25">
        <f>_xlfn.XLOOKUP(Snitch_Fashion_Sales_cleaned!$I2216,Table3[Order_Date],Table3[Date_Key])</f>
        <v>267</v>
      </c>
    </row>
    <row r="2217" spans="1:16" x14ac:dyDescent="0.3">
      <c r="A2217" s="34">
        <v>3215</v>
      </c>
      <c r="B2217" s="32" t="s">
        <v>2232</v>
      </c>
      <c r="C2217" s="32" t="s">
        <v>13</v>
      </c>
      <c r="D2217" s="33" t="s">
        <v>98</v>
      </c>
      <c r="E2217" s="34">
        <v>1</v>
      </c>
      <c r="F2217" s="35">
        <v>552.80999999999995</v>
      </c>
      <c r="G2217" s="36">
        <v>0.56999999999999995</v>
      </c>
      <c r="H2217" s="35">
        <f t="shared" si="70"/>
        <v>552.80999999999995</v>
      </c>
      <c r="I2217" s="37">
        <v>45647</v>
      </c>
      <c r="J2217" s="33" t="s">
        <v>15</v>
      </c>
      <c r="K2217" s="33" t="s">
        <v>23</v>
      </c>
      <c r="L2217" s="38">
        <f t="shared" si="71"/>
        <v>237.70830000000001</v>
      </c>
      <c r="M2217" s="38">
        <v>206.75</v>
      </c>
      <c r="N2217" s="24">
        <f>_xlfn.XLOOKUP(Snitch_Fashion_Sales_cleaned!$J2217,Table2[City],Table2[City_Key],"not found")</f>
        <v>1</v>
      </c>
      <c r="O2217" s="23">
        <f>_xlfn.XLOOKUP(Snitch_Fashion_Sales_cleaned!$D2217,Table4[Product_Name],Table4[Product_Key],"not found")</f>
        <v>21</v>
      </c>
      <c r="P2217" s="32">
        <f>_xlfn.XLOOKUP(Snitch_Fashion_Sales_cleaned!$I2217,Table3[Order_Date],Table3[Date_Key])</f>
        <v>5</v>
      </c>
    </row>
    <row r="2218" spans="1:16" x14ac:dyDescent="0.3">
      <c r="A2218" s="27">
        <v>3216</v>
      </c>
      <c r="B2218" s="25" t="s">
        <v>2233</v>
      </c>
      <c r="C2218" s="25" t="s">
        <v>25</v>
      </c>
      <c r="D2218" s="26" t="s">
        <v>50</v>
      </c>
      <c r="E2218" s="27">
        <v>4</v>
      </c>
      <c r="F2218" s="28">
        <v>2666.2200000000003</v>
      </c>
      <c r="G2218" s="29">
        <v>7.0000000000000007E-2</v>
      </c>
      <c r="H2218" s="28">
        <f t="shared" si="70"/>
        <v>10664.880000000001</v>
      </c>
      <c r="I2218" s="30">
        <v>45596</v>
      </c>
      <c r="J2218" s="26" t="s">
        <v>43</v>
      </c>
      <c r="K2218" s="26" t="s">
        <v>23</v>
      </c>
      <c r="L2218" s="31">
        <f t="shared" si="71"/>
        <v>9918.3384000000005</v>
      </c>
      <c r="M2218" s="31">
        <v>1989.05</v>
      </c>
      <c r="N2218" s="22">
        <f>_xlfn.XLOOKUP(Snitch_Fashion_Sales_cleaned!$J2218,Table2[City],Table2[City_Key],"not found")</f>
        <v>6</v>
      </c>
      <c r="O2218" s="21">
        <f>_xlfn.XLOOKUP(Snitch_Fashion_Sales_cleaned!$D2218,Table4[Product_Name],Table4[Product_Key],"not found")</f>
        <v>11</v>
      </c>
      <c r="P2218" s="25">
        <f>_xlfn.XLOOKUP(Snitch_Fashion_Sales_cleaned!$I2218,Table3[Order_Date],Table3[Date_Key])</f>
        <v>226</v>
      </c>
    </row>
    <row r="2219" spans="1:16" x14ac:dyDescent="0.3">
      <c r="A2219" s="34">
        <v>3217</v>
      </c>
      <c r="B2219" s="32" t="s">
        <v>2234</v>
      </c>
      <c r="C2219" s="32" t="s">
        <v>36</v>
      </c>
      <c r="D2219" s="33" t="s">
        <v>59</v>
      </c>
      <c r="E2219" s="34">
        <v>3</v>
      </c>
      <c r="F2219" s="35">
        <v>1039.75</v>
      </c>
      <c r="G2219" s="36">
        <v>0.51</v>
      </c>
      <c r="H2219" s="35">
        <f t="shared" si="70"/>
        <v>3119.25</v>
      </c>
      <c r="I2219" s="37">
        <v>45136</v>
      </c>
      <c r="J2219" s="33" t="s">
        <v>43</v>
      </c>
      <c r="K2219" s="33" t="s">
        <v>16</v>
      </c>
      <c r="L2219" s="38">
        <f t="shared" si="71"/>
        <v>1528.4324999999999</v>
      </c>
      <c r="M2219" s="38">
        <v>902.04</v>
      </c>
      <c r="N2219" s="24">
        <f>_xlfn.XLOOKUP(Snitch_Fashion_Sales_cleaned!$J2219,Table2[City],Table2[City_Key],"not found")</f>
        <v>6</v>
      </c>
      <c r="O2219" s="23">
        <f>_xlfn.XLOOKUP(Snitch_Fashion_Sales_cleaned!$D2219,Table4[Product_Name],Table4[Product_Key],"not found")</f>
        <v>13</v>
      </c>
      <c r="P2219" s="32">
        <f>_xlfn.XLOOKUP(Snitch_Fashion_Sales_cleaned!$I2219,Table3[Order_Date],Table3[Date_Key])</f>
        <v>145</v>
      </c>
    </row>
    <row r="2220" spans="1:16" x14ac:dyDescent="0.3">
      <c r="A2220" s="27">
        <v>3218</v>
      </c>
      <c r="B2220" s="25" t="s">
        <v>2235</v>
      </c>
      <c r="C2220" s="25" t="s">
        <v>31</v>
      </c>
      <c r="D2220" s="26" t="s">
        <v>32</v>
      </c>
      <c r="E2220" s="27">
        <v>4</v>
      </c>
      <c r="F2220" s="28">
        <v>2001.5500000000002</v>
      </c>
      <c r="G2220" s="29">
        <v>0.16</v>
      </c>
      <c r="H2220" s="28">
        <f t="shared" si="70"/>
        <v>8006.2000000000007</v>
      </c>
      <c r="I2220" s="30">
        <v>45520</v>
      </c>
      <c r="J2220" s="26" t="s">
        <v>43</v>
      </c>
      <c r="K2220" s="26" t="s">
        <v>23</v>
      </c>
      <c r="L2220" s="31">
        <f t="shared" si="71"/>
        <v>6725.2080000000005</v>
      </c>
      <c r="M2220" s="31">
        <v>946.6</v>
      </c>
      <c r="N2220" s="22">
        <f>_xlfn.XLOOKUP(Snitch_Fashion_Sales_cleaned!$J2220,Table2[City],Table2[City_Key],"not found")</f>
        <v>6</v>
      </c>
      <c r="O2220" s="21">
        <f>_xlfn.XLOOKUP(Snitch_Fashion_Sales_cleaned!$D2220,Table4[Product_Name],Table4[Product_Key],"not found")</f>
        <v>5</v>
      </c>
      <c r="P2220" s="25">
        <f>_xlfn.XLOOKUP(Snitch_Fashion_Sales_cleaned!$I2220,Table3[Order_Date],Table3[Date_Key])</f>
        <v>321</v>
      </c>
    </row>
    <row r="2221" spans="1:16" x14ac:dyDescent="0.3">
      <c r="A2221" s="34">
        <v>3219</v>
      </c>
      <c r="B2221" s="32" t="s">
        <v>2236</v>
      </c>
      <c r="C2221" s="32" t="s">
        <v>25</v>
      </c>
      <c r="D2221" s="33" t="s">
        <v>82</v>
      </c>
      <c r="E2221" s="34">
        <v>5</v>
      </c>
      <c r="F2221" s="35">
        <v>2385.5749999999998</v>
      </c>
      <c r="G2221" s="36">
        <v>0.51</v>
      </c>
      <c r="H2221" s="35">
        <f t="shared" si="70"/>
        <v>11927.875</v>
      </c>
      <c r="I2221" s="37">
        <v>45375</v>
      </c>
      <c r="J2221" s="33" t="s">
        <v>2540</v>
      </c>
      <c r="K2221" s="33" t="s">
        <v>16</v>
      </c>
      <c r="L2221" s="38">
        <f t="shared" si="71"/>
        <v>5844.6587499999996</v>
      </c>
      <c r="M2221" s="38">
        <v>908.45</v>
      </c>
      <c r="N2221" s="24">
        <f>_xlfn.XLOOKUP(Snitch_Fashion_Sales_cleaned!$J2221,Table2[City],Table2[City_Key],"not found")</f>
        <v>4</v>
      </c>
      <c r="O2221" s="23">
        <f>_xlfn.XLOOKUP(Snitch_Fashion_Sales_cleaned!$D2221,Table4[Product_Name],Table4[Product_Key],"not found")</f>
        <v>18</v>
      </c>
      <c r="P2221" s="32">
        <f>_xlfn.XLOOKUP(Snitch_Fashion_Sales_cleaned!$I2221,Table3[Order_Date],Table3[Date_Key])</f>
        <v>541</v>
      </c>
    </row>
    <row r="2222" spans="1:16" x14ac:dyDescent="0.3">
      <c r="A2222" s="27">
        <v>1006</v>
      </c>
      <c r="B2222" s="25" t="s">
        <v>1588</v>
      </c>
      <c r="C2222" s="25" t="s">
        <v>13</v>
      </c>
      <c r="D2222" s="26" t="s">
        <v>98</v>
      </c>
      <c r="E2222" s="27">
        <v>5</v>
      </c>
      <c r="F2222" s="28">
        <v>732.96</v>
      </c>
      <c r="G2222" s="29">
        <v>0.21</v>
      </c>
      <c r="H2222" s="28">
        <f t="shared" si="70"/>
        <v>3664.8</v>
      </c>
      <c r="I2222" s="30">
        <v>45647</v>
      </c>
      <c r="J2222" s="26" t="s">
        <v>52</v>
      </c>
      <c r="K2222" s="26" t="s">
        <v>23</v>
      </c>
      <c r="L2222" s="31">
        <f t="shared" si="71"/>
        <v>2895.1920000000005</v>
      </c>
      <c r="M2222" s="31">
        <v>-702.58</v>
      </c>
      <c r="N2222" s="22">
        <f>_xlfn.XLOOKUP(Snitch_Fashion_Sales_cleaned!$J2222,Table2[City],Table2[City_Key],"not found")</f>
        <v>5</v>
      </c>
      <c r="O2222" s="21">
        <f>_xlfn.XLOOKUP(Snitch_Fashion_Sales_cleaned!$D2222,Table4[Product_Name],Table4[Product_Key],"not found")</f>
        <v>21</v>
      </c>
      <c r="P2222" s="25">
        <f>_xlfn.XLOOKUP(Snitch_Fashion_Sales_cleaned!$I2222,Table3[Order_Date],Table3[Date_Key])</f>
        <v>5</v>
      </c>
    </row>
    <row r="2223" spans="1:16" x14ac:dyDescent="0.3">
      <c r="A2223" s="34">
        <v>3221</v>
      </c>
      <c r="B2223" s="32" t="s">
        <v>2237</v>
      </c>
      <c r="C2223" s="32" t="s">
        <v>28</v>
      </c>
      <c r="D2223" s="33" t="s">
        <v>29</v>
      </c>
      <c r="E2223" s="34">
        <v>3</v>
      </c>
      <c r="F2223" s="35">
        <v>2515.415</v>
      </c>
      <c r="G2223" s="36">
        <v>0.51</v>
      </c>
      <c r="H2223" s="35">
        <f t="shared" si="70"/>
        <v>7546.2449999999999</v>
      </c>
      <c r="I2223" s="37">
        <v>45855</v>
      </c>
      <c r="J2223" s="33" t="s">
        <v>43</v>
      </c>
      <c r="K2223" s="33" t="s">
        <v>23</v>
      </c>
      <c r="L2223" s="38">
        <f t="shared" si="71"/>
        <v>3697.66005</v>
      </c>
      <c r="M2223" s="38">
        <v>2141.34</v>
      </c>
      <c r="N2223" s="24">
        <f>_xlfn.XLOOKUP(Snitch_Fashion_Sales_cleaned!$J2223,Table2[City],Table2[City_Key],"not found")</f>
        <v>6</v>
      </c>
      <c r="O2223" s="23">
        <f>_xlfn.XLOOKUP(Snitch_Fashion_Sales_cleaned!$D2223,Table4[Product_Name],Table4[Product_Key],"not found")</f>
        <v>4</v>
      </c>
      <c r="P2223" s="32">
        <f>_xlfn.XLOOKUP(Snitch_Fashion_Sales_cleaned!$I2223,Table3[Order_Date],Table3[Date_Key])</f>
        <v>97</v>
      </c>
    </row>
    <row r="2224" spans="1:16" x14ac:dyDescent="0.3">
      <c r="A2224" s="27">
        <v>3222</v>
      </c>
      <c r="B2224" s="25" t="s">
        <v>2238</v>
      </c>
      <c r="C2224" s="25" t="s">
        <v>36</v>
      </c>
      <c r="D2224" s="26" t="s">
        <v>87</v>
      </c>
      <c r="E2224" s="27">
        <v>4</v>
      </c>
      <c r="F2224" s="28">
        <v>2889.5349999999999</v>
      </c>
      <c r="G2224" s="29">
        <v>0.51</v>
      </c>
      <c r="H2224" s="28">
        <f t="shared" si="70"/>
        <v>11558.14</v>
      </c>
      <c r="I2224" s="30">
        <v>45703</v>
      </c>
      <c r="J2224" s="26" t="s">
        <v>43</v>
      </c>
      <c r="K2224" s="26" t="s">
        <v>23</v>
      </c>
      <c r="L2224" s="31">
        <f t="shared" si="71"/>
        <v>5663.4885999999997</v>
      </c>
      <c r="M2224" s="31">
        <v>-545.96</v>
      </c>
      <c r="N2224" s="22">
        <f>_xlfn.XLOOKUP(Snitch_Fashion_Sales_cleaned!$J2224,Table2[City],Table2[City_Key],"not found")</f>
        <v>6</v>
      </c>
      <c r="O2224" s="21">
        <f>_xlfn.XLOOKUP(Snitch_Fashion_Sales_cleaned!$D2224,Table4[Product_Name],Table4[Product_Key],"not found")</f>
        <v>20</v>
      </c>
      <c r="P2224" s="25">
        <f>_xlfn.XLOOKUP(Snitch_Fashion_Sales_cleaned!$I2224,Table3[Order_Date],Table3[Date_Key])</f>
        <v>242</v>
      </c>
    </row>
    <row r="2225" spans="1:16" x14ac:dyDescent="0.3">
      <c r="A2225" s="34">
        <v>3223</v>
      </c>
      <c r="B2225" s="32" t="s">
        <v>2239</v>
      </c>
      <c r="C2225" s="32" t="s">
        <v>31</v>
      </c>
      <c r="D2225" s="33" t="s">
        <v>78</v>
      </c>
      <c r="E2225" s="34">
        <v>4</v>
      </c>
      <c r="F2225" s="35">
        <v>2599.75</v>
      </c>
      <c r="G2225" s="36">
        <v>0.51</v>
      </c>
      <c r="H2225" s="35">
        <f t="shared" si="70"/>
        <v>10399</v>
      </c>
      <c r="I2225" s="37">
        <v>45356</v>
      </c>
      <c r="J2225" s="33" t="s">
        <v>22</v>
      </c>
      <c r="K2225" s="33" t="s">
        <v>16</v>
      </c>
      <c r="L2225" s="38">
        <f t="shared" si="71"/>
        <v>5095.51</v>
      </c>
      <c r="M2225" s="38">
        <v>1477.87</v>
      </c>
      <c r="N2225" s="24">
        <f>_xlfn.XLOOKUP(Snitch_Fashion_Sales_cleaned!$J2225,Table2[City],Table2[City_Key],"not found")</f>
        <v>3</v>
      </c>
      <c r="O2225" s="23">
        <f>_xlfn.XLOOKUP(Snitch_Fashion_Sales_cleaned!$D2225,Table4[Product_Name],Table4[Product_Key],"not found")</f>
        <v>17</v>
      </c>
      <c r="P2225" s="32">
        <f>_xlfn.XLOOKUP(Snitch_Fashion_Sales_cleaned!$I2225,Table3[Order_Date],Table3[Date_Key])</f>
        <v>137</v>
      </c>
    </row>
    <row r="2226" spans="1:16" x14ac:dyDescent="0.3">
      <c r="A2226" s="27">
        <v>3224</v>
      </c>
      <c r="B2226" s="25" t="s">
        <v>2240</v>
      </c>
      <c r="C2226" s="25" t="s">
        <v>13</v>
      </c>
      <c r="D2226" s="26" t="s">
        <v>14</v>
      </c>
      <c r="E2226" s="27">
        <v>6</v>
      </c>
      <c r="F2226" s="28">
        <v>878.95</v>
      </c>
      <c r="G2226" s="29">
        <v>0.01</v>
      </c>
      <c r="H2226" s="28">
        <f t="shared" si="70"/>
        <v>5273.7000000000007</v>
      </c>
      <c r="I2226" s="30">
        <v>45769</v>
      </c>
      <c r="J2226" s="26" t="s">
        <v>22</v>
      </c>
      <c r="K2226" s="26" t="s">
        <v>23</v>
      </c>
      <c r="L2226" s="31">
        <f t="shared" si="71"/>
        <v>5220.9630000000006</v>
      </c>
      <c r="M2226" s="31">
        <v>2099.52</v>
      </c>
      <c r="N2226" s="22">
        <f>_xlfn.XLOOKUP(Snitch_Fashion_Sales_cleaned!$J2226,Table2[City],Table2[City_Key],"not found")</f>
        <v>3</v>
      </c>
      <c r="O2226" s="21">
        <f>_xlfn.XLOOKUP(Snitch_Fashion_Sales_cleaned!$D2226,Table4[Product_Name],Table4[Product_Key],"not found")</f>
        <v>1</v>
      </c>
      <c r="P2226" s="25">
        <f>_xlfn.XLOOKUP(Snitch_Fashion_Sales_cleaned!$I2226,Table3[Order_Date],Table3[Date_Key])</f>
        <v>187</v>
      </c>
    </row>
    <row r="2227" spans="1:16" x14ac:dyDescent="0.3">
      <c r="A2227" s="34">
        <v>3225</v>
      </c>
      <c r="B2227" s="32" t="s">
        <v>2241</v>
      </c>
      <c r="C2227" s="32" t="s">
        <v>36</v>
      </c>
      <c r="D2227" s="33" t="s">
        <v>37</v>
      </c>
      <c r="E2227" s="34">
        <v>6</v>
      </c>
      <c r="F2227" s="35">
        <v>2975.64</v>
      </c>
      <c r="G2227" s="36">
        <v>0.51</v>
      </c>
      <c r="H2227" s="35">
        <f t="shared" si="70"/>
        <v>17853.84</v>
      </c>
      <c r="I2227" s="37">
        <v>45647</v>
      </c>
      <c r="J2227" s="33" t="s">
        <v>43</v>
      </c>
      <c r="K2227" s="33" t="s">
        <v>23</v>
      </c>
      <c r="L2227" s="38">
        <f t="shared" si="71"/>
        <v>8748.3816000000006</v>
      </c>
      <c r="M2227" s="38">
        <v>2666.58</v>
      </c>
      <c r="N2227" s="24">
        <f>_xlfn.XLOOKUP(Snitch_Fashion_Sales_cleaned!$J2227,Table2[City],Table2[City_Key],"not found")</f>
        <v>6</v>
      </c>
      <c r="O2227" s="23">
        <f>_xlfn.XLOOKUP(Snitch_Fashion_Sales_cleaned!$D2227,Table4[Product_Name],Table4[Product_Key],"not found")</f>
        <v>7</v>
      </c>
      <c r="P2227" s="32">
        <f>_xlfn.XLOOKUP(Snitch_Fashion_Sales_cleaned!$I2227,Table3[Order_Date],Table3[Date_Key])</f>
        <v>5</v>
      </c>
    </row>
    <row r="2228" spans="1:16" x14ac:dyDescent="0.3">
      <c r="A2228" s="27">
        <v>3226</v>
      </c>
      <c r="B2228" s="25" t="s">
        <v>2242</v>
      </c>
      <c r="C2228" s="25" t="s">
        <v>36</v>
      </c>
      <c r="D2228" s="26" t="s">
        <v>59</v>
      </c>
      <c r="E2228" s="27">
        <v>3</v>
      </c>
      <c r="F2228" s="28">
        <v>2765.26</v>
      </c>
      <c r="G2228" s="29">
        <v>0.51</v>
      </c>
      <c r="H2228" s="28">
        <f t="shared" si="70"/>
        <v>8295.7800000000007</v>
      </c>
      <c r="I2228" s="30">
        <v>45146</v>
      </c>
      <c r="J2228" s="26" t="s">
        <v>2540</v>
      </c>
      <c r="K2228" s="26" t="s">
        <v>16</v>
      </c>
      <c r="L2228" s="31">
        <f t="shared" si="71"/>
        <v>4064.9322000000002</v>
      </c>
      <c r="M2228" s="31">
        <v>2715.65</v>
      </c>
      <c r="N2228" s="22">
        <f>_xlfn.XLOOKUP(Snitch_Fashion_Sales_cleaned!$J2228,Table2[City],Table2[City_Key],"not found")</f>
        <v>4</v>
      </c>
      <c r="O2228" s="21">
        <f>_xlfn.XLOOKUP(Snitch_Fashion_Sales_cleaned!$D2228,Table4[Product_Name],Table4[Product_Key],"not found")</f>
        <v>13</v>
      </c>
      <c r="P2228" s="25">
        <f>_xlfn.XLOOKUP(Snitch_Fashion_Sales_cleaned!$I2228,Table3[Order_Date],Table3[Date_Key])</f>
        <v>542</v>
      </c>
    </row>
    <row r="2229" spans="1:16" x14ac:dyDescent="0.3">
      <c r="A2229" s="34">
        <v>3227</v>
      </c>
      <c r="B2229" s="32" t="s">
        <v>2243</v>
      </c>
      <c r="C2229" s="32" t="s">
        <v>28</v>
      </c>
      <c r="D2229" s="33" t="s">
        <v>29</v>
      </c>
      <c r="E2229" s="34">
        <v>3</v>
      </c>
      <c r="F2229" s="35">
        <v>2515.415</v>
      </c>
      <c r="G2229" s="36">
        <v>0.51</v>
      </c>
      <c r="H2229" s="35">
        <f t="shared" si="70"/>
        <v>7546.2449999999999</v>
      </c>
      <c r="I2229" s="37">
        <v>45505</v>
      </c>
      <c r="J2229" s="33" t="s">
        <v>22</v>
      </c>
      <c r="K2229" s="33" t="s">
        <v>16</v>
      </c>
      <c r="L2229" s="38">
        <f t="shared" si="71"/>
        <v>3697.66005</v>
      </c>
      <c r="M2229" s="38">
        <v>2498.2199999999998</v>
      </c>
      <c r="N2229" s="24">
        <f>_xlfn.XLOOKUP(Snitch_Fashion_Sales_cleaned!$J2229,Table2[City],Table2[City_Key],"not found")</f>
        <v>3</v>
      </c>
      <c r="O2229" s="23">
        <f>_xlfn.XLOOKUP(Snitch_Fashion_Sales_cleaned!$D2229,Table4[Product_Name],Table4[Product_Key],"not found")</f>
        <v>4</v>
      </c>
      <c r="P2229" s="32">
        <f>_xlfn.XLOOKUP(Snitch_Fashion_Sales_cleaned!$I2229,Table3[Order_Date],Table3[Date_Key])</f>
        <v>363</v>
      </c>
    </row>
    <row r="2230" spans="1:16" x14ac:dyDescent="0.3">
      <c r="A2230" s="27">
        <v>3228</v>
      </c>
      <c r="B2230" s="25" t="s">
        <v>2244</v>
      </c>
      <c r="C2230" s="25" t="s">
        <v>31</v>
      </c>
      <c r="D2230" s="26" t="s">
        <v>78</v>
      </c>
      <c r="E2230" s="27">
        <v>4</v>
      </c>
      <c r="F2230" s="28">
        <v>2125.02</v>
      </c>
      <c r="G2230" s="29">
        <v>0.51</v>
      </c>
      <c r="H2230" s="28">
        <f t="shared" si="70"/>
        <v>8500.08</v>
      </c>
      <c r="I2230" s="30">
        <v>45563</v>
      </c>
      <c r="J2230" s="26" t="s">
        <v>52</v>
      </c>
      <c r="K2230" s="26" t="s">
        <v>16</v>
      </c>
      <c r="L2230" s="31">
        <f t="shared" si="71"/>
        <v>4165.0392000000002</v>
      </c>
      <c r="M2230" s="31">
        <v>1154.25</v>
      </c>
      <c r="N2230" s="22">
        <f>_xlfn.XLOOKUP(Snitch_Fashion_Sales_cleaned!$J2230,Table2[City],Table2[City_Key],"not found")</f>
        <v>5</v>
      </c>
      <c r="O2230" s="21">
        <f>_xlfn.XLOOKUP(Snitch_Fashion_Sales_cleaned!$D2230,Table4[Product_Name],Table4[Product_Key],"not found")</f>
        <v>17</v>
      </c>
      <c r="P2230" s="25">
        <f>_xlfn.XLOOKUP(Snitch_Fashion_Sales_cleaned!$I2230,Table3[Order_Date],Table3[Date_Key])</f>
        <v>134</v>
      </c>
    </row>
    <row r="2231" spans="1:16" x14ac:dyDescent="0.3">
      <c r="A2231" s="34">
        <v>3229</v>
      </c>
      <c r="B2231" s="32" t="s">
        <v>2245</v>
      </c>
      <c r="C2231" s="32" t="s">
        <v>28</v>
      </c>
      <c r="D2231" s="33" t="s">
        <v>137</v>
      </c>
      <c r="E2231" s="34">
        <v>3.5</v>
      </c>
      <c r="F2231" s="35">
        <v>2338.04</v>
      </c>
      <c r="G2231" s="36">
        <v>0.51</v>
      </c>
      <c r="H2231" s="35">
        <f t="shared" si="70"/>
        <v>8183.1399999999994</v>
      </c>
      <c r="I2231" s="37">
        <v>45647</v>
      </c>
      <c r="J2231" s="33" t="s">
        <v>15</v>
      </c>
      <c r="K2231" s="33" t="s">
        <v>16</v>
      </c>
      <c r="L2231" s="38">
        <f t="shared" si="71"/>
        <v>4009.7385999999997</v>
      </c>
      <c r="M2231" s="38">
        <v>1178.45</v>
      </c>
      <c r="N2231" s="24">
        <f>_xlfn.XLOOKUP(Snitch_Fashion_Sales_cleaned!$J2231,Table2[City],Table2[City_Key],"not found")</f>
        <v>1</v>
      </c>
      <c r="O2231" s="23">
        <f>_xlfn.XLOOKUP(Snitch_Fashion_Sales_cleaned!$D2231,Table4[Product_Name],Table4[Product_Key],"not found")</f>
        <v>24</v>
      </c>
      <c r="P2231" s="32">
        <f>_xlfn.XLOOKUP(Snitch_Fashion_Sales_cleaned!$I2231,Table3[Order_Date],Table3[Date_Key])</f>
        <v>5</v>
      </c>
    </row>
    <row r="2232" spans="1:16" x14ac:dyDescent="0.3">
      <c r="A2232" s="27">
        <v>3230</v>
      </c>
      <c r="B2232" s="25" t="s">
        <v>2246</v>
      </c>
      <c r="C2232" s="25" t="s">
        <v>20</v>
      </c>
      <c r="D2232" s="26" t="s">
        <v>21</v>
      </c>
      <c r="E2232" s="27">
        <v>3</v>
      </c>
      <c r="F2232" s="28">
        <v>4694.3100000000004</v>
      </c>
      <c r="G2232" s="29">
        <v>0.09</v>
      </c>
      <c r="H2232" s="28">
        <f t="shared" si="70"/>
        <v>14082.93</v>
      </c>
      <c r="I2232" s="30">
        <v>45647</v>
      </c>
      <c r="J2232" s="26" t="s">
        <v>2540</v>
      </c>
      <c r="K2232" s="26" t="s">
        <v>23</v>
      </c>
      <c r="L2232" s="31">
        <f t="shared" si="71"/>
        <v>12815.4663</v>
      </c>
      <c r="M2232" s="31">
        <v>-215.18</v>
      </c>
      <c r="N2232" s="22">
        <f>_xlfn.XLOOKUP(Snitch_Fashion_Sales_cleaned!$J2232,Table2[City],Table2[City_Key],"not found")</f>
        <v>4</v>
      </c>
      <c r="O2232" s="21">
        <f>_xlfn.XLOOKUP(Snitch_Fashion_Sales_cleaned!$D2232,Table4[Product_Name],Table4[Product_Key],"not found")</f>
        <v>2</v>
      </c>
      <c r="P2232" s="25">
        <f>_xlfn.XLOOKUP(Snitch_Fashion_Sales_cleaned!$I2232,Table3[Order_Date],Table3[Date_Key])</f>
        <v>5</v>
      </c>
    </row>
    <row r="2233" spans="1:16" x14ac:dyDescent="0.3">
      <c r="A2233" s="34">
        <v>3231</v>
      </c>
      <c r="B2233" s="32" t="s">
        <v>2247</v>
      </c>
      <c r="C2233" s="32" t="s">
        <v>25</v>
      </c>
      <c r="D2233" s="33" t="s">
        <v>26</v>
      </c>
      <c r="E2233" s="34">
        <v>4</v>
      </c>
      <c r="F2233" s="35">
        <v>2933.45</v>
      </c>
      <c r="G2233" s="36">
        <v>0.51</v>
      </c>
      <c r="H2233" s="35">
        <f t="shared" si="70"/>
        <v>11733.8</v>
      </c>
      <c r="I2233" s="37">
        <v>45345</v>
      </c>
      <c r="J2233" s="33" t="s">
        <v>43</v>
      </c>
      <c r="K2233" s="33" t="s">
        <v>23</v>
      </c>
      <c r="L2233" s="38">
        <f t="shared" si="71"/>
        <v>5749.5619999999999</v>
      </c>
      <c r="M2233" s="38">
        <v>2837.72</v>
      </c>
      <c r="N2233" s="24">
        <f>_xlfn.XLOOKUP(Snitch_Fashion_Sales_cleaned!$J2233,Table2[City],Table2[City_Key],"not found")</f>
        <v>6</v>
      </c>
      <c r="O2233" s="23">
        <f>_xlfn.XLOOKUP(Snitch_Fashion_Sales_cleaned!$D2233,Table4[Product_Name],Table4[Product_Key],"not found")</f>
        <v>3</v>
      </c>
      <c r="P2233" s="32">
        <f>_xlfn.XLOOKUP(Snitch_Fashion_Sales_cleaned!$I2233,Table3[Order_Date],Table3[Date_Key])</f>
        <v>543</v>
      </c>
    </row>
    <row r="2234" spans="1:16" x14ac:dyDescent="0.3">
      <c r="A2234" s="27">
        <v>3232</v>
      </c>
      <c r="B2234" s="25" t="s">
        <v>2248</v>
      </c>
      <c r="C2234" s="25" t="s">
        <v>20</v>
      </c>
      <c r="D2234" s="26" t="s">
        <v>21</v>
      </c>
      <c r="E2234" s="27">
        <v>4</v>
      </c>
      <c r="F2234" s="28">
        <v>2579.8000000000002</v>
      </c>
      <c r="G2234" s="29">
        <v>0.3</v>
      </c>
      <c r="H2234" s="28">
        <f t="shared" si="70"/>
        <v>10319.200000000001</v>
      </c>
      <c r="I2234" s="30">
        <v>45626</v>
      </c>
      <c r="J2234" s="26" t="s">
        <v>2540</v>
      </c>
      <c r="K2234" s="26" t="s">
        <v>23</v>
      </c>
      <c r="L2234" s="31">
        <f t="shared" si="71"/>
        <v>7223.44</v>
      </c>
      <c r="M2234" s="31">
        <v>1045.42</v>
      </c>
      <c r="N2234" s="22">
        <f>_xlfn.XLOOKUP(Snitch_Fashion_Sales_cleaned!$J2234,Table2[City],Table2[City_Key],"not found")</f>
        <v>4</v>
      </c>
      <c r="O2234" s="21">
        <f>_xlfn.XLOOKUP(Snitch_Fashion_Sales_cleaned!$D2234,Table4[Product_Name],Table4[Product_Key],"not found")</f>
        <v>2</v>
      </c>
      <c r="P2234" s="25">
        <f>_xlfn.XLOOKUP(Snitch_Fashion_Sales_cleaned!$I2234,Table3[Order_Date],Table3[Date_Key])</f>
        <v>185</v>
      </c>
    </row>
    <row r="2235" spans="1:16" x14ac:dyDescent="0.3">
      <c r="A2235" s="34">
        <v>3233</v>
      </c>
      <c r="B2235" s="32" t="s">
        <v>2249</v>
      </c>
      <c r="C2235" s="32" t="s">
        <v>31</v>
      </c>
      <c r="D2235" s="33" t="s">
        <v>32</v>
      </c>
      <c r="E2235" s="34">
        <v>4</v>
      </c>
      <c r="F2235" s="35">
        <v>2654.66</v>
      </c>
      <c r="G2235" s="36">
        <v>0.51</v>
      </c>
      <c r="H2235" s="35">
        <f t="shared" si="70"/>
        <v>10618.64</v>
      </c>
      <c r="I2235" s="37">
        <v>45491</v>
      </c>
      <c r="J2235" s="33" t="s">
        <v>2540</v>
      </c>
      <c r="K2235" s="33" t="s">
        <v>23</v>
      </c>
      <c r="L2235" s="38">
        <f t="shared" si="71"/>
        <v>5203.1335999999992</v>
      </c>
      <c r="M2235" s="38">
        <v>2008.66</v>
      </c>
      <c r="N2235" s="24">
        <f>_xlfn.XLOOKUP(Snitch_Fashion_Sales_cleaned!$J2235,Table2[City],Table2[City_Key],"not found")</f>
        <v>4</v>
      </c>
      <c r="O2235" s="23">
        <f>_xlfn.XLOOKUP(Snitch_Fashion_Sales_cleaned!$D2235,Table4[Product_Name],Table4[Product_Key],"not found")</f>
        <v>5</v>
      </c>
      <c r="P2235" s="32">
        <f>_xlfn.XLOOKUP(Snitch_Fashion_Sales_cleaned!$I2235,Table3[Order_Date],Table3[Date_Key])</f>
        <v>263</v>
      </c>
    </row>
    <row r="2236" spans="1:16" x14ac:dyDescent="0.3">
      <c r="A2236" s="27">
        <v>3234</v>
      </c>
      <c r="B2236" s="25" t="s">
        <v>2250</v>
      </c>
      <c r="C2236" s="25" t="s">
        <v>13</v>
      </c>
      <c r="D2236" s="26" t="s">
        <v>98</v>
      </c>
      <c r="E2236" s="27">
        <v>5</v>
      </c>
      <c r="F2236" s="28">
        <v>2068.3000000000002</v>
      </c>
      <c r="G2236" s="29">
        <v>0.51</v>
      </c>
      <c r="H2236" s="28">
        <f t="shared" si="70"/>
        <v>10341.5</v>
      </c>
      <c r="I2236" s="30">
        <v>45623</v>
      </c>
      <c r="J2236" s="26" t="s">
        <v>52</v>
      </c>
      <c r="K2236" s="26" t="s">
        <v>23</v>
      </c>
      <c r="L2236" s="31">
        <f t="shared" si="71"/>
        <v>5067.335</v>
      </c>
      <c r="M2236" s="31">
        <v>-896.79</v>
      </c>
      <c r="N2236" s="22">
        <f>_xlfn.XLOOKUP(Snitch_Fashion_Sales_cleaned!$J2236,Table2[City],Table2[City_Key],"not found")</f>
        <v>5</v>
      </c>
      <c r="O2236" s="21">
        <f>_xlfn.XLOOKUP(Snitch_Fashion_Sales_cleaned!$D2236,Table4[Product_Name],Table4[Product_Key],"not found")</f>
        <v>21</v>
      </c>
      <c r="P2236" s="25">
        <f>_xlfn.XLOOKUP(Snitch_Fashion_Sales_cleaned!$I2236,Table3[Order_Date],Table3[Date_Key])</f>
        <v>373</v>
      </c>
    </row>
    <row r="2237" spans="1:16" x14ac:dyDescent="0.3">
      <c r="A2237" s="34">
        <v>3235</v>
      </c>
      <c r="B2237" s="32" t="s">
        <v>2251</v>
      </c>
      <c r="C2237" s="32" t="s">
        <v>25</v>
      </c>
      <c r="D2237" s="33" t="s">
        <v>26</v>
      </c>
      <c r="E2237" s="34">
        <v>4</v>
      </c>
      <c r="F2237" s="35">
        <v>3466.1</v>
      </c>
      <c r="G2237" s="36">
        <v>0.51</v>
      </c>
      <c r="H2237" s="35">
        <f t="shared" si="70"/>
        <v>13864.4</v>
      </c>
      <c r="I2237" s="37">
        <v>45804</v>
      </c>
      <c r="J2237" s="33" t="s">
        <v>2540</v>
      </c>
      <c r="K2237" s="33" t="s">
        <v>23</v>
      </c>
      <c r="L2237" s="38">
        <f t="shared" si="71"/>
        <v>6793.5559999999996</v>
      </c>
      <c r="M2237" s="38">
        <v>1011.48</v>
      </c>
      <c r="N2237" s="24">
        <f>_xlfn.XLOOKUP(Snitch_Fashion_Sales_cleaned!$J2237,Table2[City],Table2[City_Key],"not found")</f>
        <v>4</v>
      </c>
      <c r="O2237" s="23">
        <f>_xlfn.XLOOKUP(Snitch_Fashion_Sales_cleaned!$D2237,Table4[Product_Name],Table4[Product_Key],"not found")</f>
        <v>3</v>
      </c>
      <c r="P2237" s="32">
        <f>_xlfn.XLOOKUP(Snitch_Fashion_Sales_cleaned!$I2237,Table3[Order_Date],Table3[Date_Key])</f>
        <v>9</v>
      </c>
    </row>
    <row r="2238" spans="1:16" x14ac:dyDescent="0.3">
      <c r="A2238" s="27">
        <v>3236</v>
      </c>
      <c r="B2238" s="25" t="s">
        <v>2252</v>
      </c>
      <c r="C2238" s="25" t="s">
        <v>20</v>
      </c>
      <c r="D2238" s="26" t="s">
        <v>118</v>
      </c>
      <c r="E2238" s="27">
        <v>3.5</v>
      </c>
      <c r="F2238" s="28">
        <v>3253.51</v>
      </c>
      <c r="G2238" s="29">
        <v>0.55000000000000004</v>
      </c>
      <c r="H2238" s="28">
        <f t="shared" si="70"/>
        <v>11387.285</v>
      </c>
      <c r="I2238" s="30">
        <v>45654</v>
      </c>
      <c r="J2238" s="26" t="s">
        <v>43</v>
      </c>
      <c r="K2238" s="26" t="s">
        <v>16</v>
      </c>
      <c r="L2238" s="31">
        <f t="shared" si="71"/>
        <v>5124.2782499999994</v>
      </c>
      <c r="M2238" s="31">
        <v>713.71</v>
      </c>
      <c r="N2238" s="22">
        <f>_xlfn.XLOOKUP(Snitch_Fashion_Sales_cleaned!$J2238,Table2[City],Table2[City_Key],"not found")</f>
        <v>6</v>
      </c>
      <c r="O2238" s="21">
        <f>_xlfn.XLOOKUP(Snitch_Fashion_Sales_cleaned!$D2238,Table4[Product_Name],Table4[Product_Key],"not found")</f>
        <v>23</v>
      </c>
      <c r="P2238" s="25">
        <f>_xlfn.XLOOKUP(Snitch_Fashion_Sales_cleaned!$I2238,Table3[Order_Date],Table3[Date_Key])</f>
        <v>333</v>
      </c>
    </row>
    <row r="2239" spans="1:16" x14ac:dyDescent="0.3">
      <c r="A2239" s="34">
        <v>3237</v>
      </c>
      <c r="B2239" s="32" t="s">
        <v>2253</v>
      </c>
      <c r="C2239" s="32" t="s">
        <v>20</v>
      </c>
      <c r="D2239" s="33" t="s">
        <v>21</v>
      </c>
      <c r="E2239" s="34">
        <v>3</v>
      </c>
      <c r="F2239" s="35">
        <v>2579.8000000000002</v>
      </c>
      <c r="G2239" s="36">
        <v>0.51</v>
      </c>
      <c r="H2239" s="35">
        <f t="shared" si="70"/>
        <v>7739.4000000000005</v>
      </c>
      <c r="I2239" s="37">
        <v>45562</v>
      </c>
      <c r="J2239" s="33" t="s">
        <v>18</v>
      </c>
      <c r="K2239" s="33" t="s">
        <v>23</v>
      </c>
      <c r="L2239" s="38">
        <f t="shared" si="71"/>
        <v>3792.306</v>
      </c>
      <c r="M2239" s="38">
        <v>1866.05</v>
      </c>
      <c r="N2239" s="24">
        <f>_xlfn.XLOOKUP(Snitch_Fashion_Sales_cleaned!$J2239,Table2[City],Table2[City_Key],"not found")</f>
        <v>2</v>
      </c>
      <c r="O2239" s="23">
        <f>_xlfn.XLOOKUP(Snitch_Fashion_Sales_cleaned!$D2239,Table4[Product_Name],Table4[Product_Key],"not found")</f>
        <v>2</v>
      </c>
      <c r="P2239" s="32">
        <f>_xlfn.XLOOKUP(Snitch_Fashion_Sales_cleaned!$I2239,Table3[Order_Date],Table3[Date_Key])</f>
        <v>337</v>
      </c>
    </row>
    <row r="2240" spans="1:16" x14ac:dyDescent="0.3">
      <c r="A2240" s="27">
        <v>3238</v>
      </c>
      <c r="B2240" s="25" t="s">
        <v>2254</v>
      </c>
      <c r="C2240" s="25" t="s">
        <v>31</v>
      </c>
      <c r="D2240" s="26" t="s">
        <v>68</v>
      </c>
      <c r="E2240" s="27">
        <v>4</v>
      </c>
      <c r="F2240" s="28">
        <v>2765.79</v>
      </c>
      <c r="G2240" s="29">
        <v>0.87</v>
      </c>
      <c r="H2240" s="28">
        <f t="shared" si="70"/>
        <v>11063.16</v>
      </c>
      <c r="I2240" s="30">
        <v>45560</v>
      </c>
      <c r="J2240" s="26" t="s">
        <v>15</v>
      </c>
      <c r="K2240" s="26" t="s">
        <v>23</v>
      </c>
      <c r="L2240" s="31">
        <f t="shared" si="71"/>
        <v>1438.2108000000001</v>
      </c>
      <c r="M2240" s="31">
        <v>744.17</v>
      </c>
      <c r="N2240" s="22">
        <f>_xlfn.XLOOKUP(Snitch_Fashion_Sales_cleaned!$J2240,Table2[City],Table2[City_Key],"not found")</f>
        <v>1</v>
      </c>
      <c r="O2240" s="21">
        <f>_xlfn.XLOOKUP(Snitch_Fashion_Sales_cleaned!$D2240,Table4[Product_Name],Table4[Product_Key],"not found")</f>
        <v>15</v>
      </c>
      <c r="P2240" s="25">
        <f>_xlfn.XLOOKUP(Snitch_Fashion_Sales_cleaned!$I2240,Table3[Order_Date],Table3[Date_Key])</f>
        <v>274</v>
      </c>
    </row>
    <row r="2241" spans="1:16" x14ac:dyDescent="0.3">
      <c r="A2241" s="34">
        <v>3239</v>
      </c>
      <c r="B2241" s="32" t="s">
        <v>2255</v>
      </c>
      <c r="C2241" s="32" t="s">
        <v>13</v>
      </c>
      <c r="D2241" s="33" t="s">
        <v>46</v>
      </c>
      <c r="E2241" s="34">
        <v>1</v>
      </c>
      <c r="F2241" s="35">
        <v>4585.71</v>
      </c>
      <c r="G2241" s="36">
        <v>0.51</v>
      </c>
      <c r="H2241" s="35">
        <f t="shared" si="70"/>
        <v>4585.71</v>
      </c>
      <c r="I2241" s="37">
        <v>45795</v>
      </c>
      <c r="J2241" s="33" t="s">
        <v>18</v>
      </c>
      <c r="K2241" s="33" t="s">
        <v>23</v>
      </c>
      <c r="L2241" s="38">
        <f t="shared" si="71"/>
        <v>2246.9978999999998</v>
      </c>
      <c r="M2241" s="38">
        <v>1277.56</v>
      </c>
      <c r="N2241" s="24">
        <f>_xlfn.XLOOKUP(Snitch_Fashion_Sales_cleaned!$J2241,Table2[City],Table2[City_Key],"not found")</f>
        <v>2</v>
      </c>
      <c r="O2241" s="23">
        <f>_xlfn.XLOOKUP(Snitch_Fashion_Sales_cleaned!$D2241,Table4[Product_Name],Table4[Product_Key],"not found")</f>
        <v>10</v>
      </c>
      <c r="P2241" s="32">
        <f>_xlfn.XLOOKUP(Snitch_Fashion_Sales_cleaned!$I2241,Table3[Order_Date],Table3[Date_Key])</f>
        <v>271</v>
      </c>
    </row>
    <row r="2242" spans="1:16" x14ac:dyDescent="0.3">
      <c r="A2242" s="27">
        <v>3240</v>
      </c>
      <c r="B2242" s="25" t="s">
        <v>2256</v>
      </c>
      <c r="C2242" s="25" t="s">
        <v>36</v>
      </c>
      <c r="D2242" s="26" t="s">
        <v>37</v>
      </c>
      <c r="E2242" s="27">
        <v>4</v>
      </c>
      <c r="F2242" s="28">
        <v>2975.64</v>
      </c>
      <c r="G2242" s="29">
        <v>0.51</v>
      </c>
      <c r="H2242" s="28">
        <f t="shared" si="70"/>
        <v>11902.56</v>
      </c>
      <c r="I2242" s="30">
        <v>45575</v>
      </c>
      <c r="J2242" s="26" t="s">
        <v>2540</v>
      </c>
      <c r="K2242" s="26" t="s">
        <v>23</v>
      </c>
      <c r="L2242" s="31">
        <f t="shared" si="71"/>
        <v>5832.2543999999998</v>
      </c>
      <c r="M2242" s="31">
        <v>940.05</v>
      </c>
      <c r="N2242" s="22">
        <f>_xlfn.XLOOKUP(Snitch_Fashion_Sales_cleaned!$J2242,Table2[City],Table2[City_Key],"not found")</f>
        <v>4</v>
      </c>
      <c r="O2242" s="21">
        <f>_xlfn.XLOOKUP(Snitch_Fashion_Sales_cleaned!$D2242,Table4[Product_Name],Table4[Product_Key],"not found")</f>
        <v>7</v>
      </c>
      <c r="P2242" s="25">
        <f>_xlfn.XLOOKUP(Snitch_Fashion_Sales_cleaned!$I2242,Table3[Order_Date],Table3[Date_Key])</f>
        <v>100</v>
      </c>
    </row>
    <row r="2243" spans="1:16" x14ac:dyDescent="0.3">
      <c r="A2243" s="34">
        <v>1026</v>
      </c>
      <c r="B2243" s="32" t="s">
        <v>2257</v>
      </c>
      <c r="C2243" s="32" t="s">
        <v>31</v>
      </c>
      <c r="D2243" s="33" t="s">
        <v>32</v>
      </c>
      <c r="E2243" s="34">
        <v>4</v>
      </c>
      <c r="F2243" s="35">
        <v>3186.11</v>
      </c>
      <c r="G2243" s="36">
        <v>0.74</v>
      </c>
      <c r="H2243" s="35">
        <f t="shared" si="70"/>
        <v>12744.44</v>
      </c>
      <c r="I2243" s="37">
        <v>45583</v>
      </c>
      <c r="J2243" s="33" t="s">
        <v>18</v>
      </c>
      <c r="K2243" s="33" t="s">
        <v>16</v>
      </c>
      <c r="L2243" s="38">
        <f t="shared" si="71"/>
        <v>3313.5544000000004</v>
      </c>
      <c r="M2243" s="38">
        <v>2939.87</v>
      </c>
      <c r="N2243" s="24">
        <f>_xlfn.XLOOKUP(Snitch_Fashion_Sales_cleaned!$J2243,Table2[City],Table2[City_Key],"not found")</f>
        <v>2</v>
      </c>
      <c r="O2243" s="23">
        <f>_xlfn.XLOOKUP(Snitch_Fashion_Sales_cleaned!$D2243,Table4[Product_Name],Table4[Product_Key],"not found")</f>
        <v>5</v>
      </c>
      <c r="P2243" s="32">
        <f>_xlfn.XLOOKUP(Snitch_Fashion_Sales_cleaned!$I2243,Table3[Order_Date],Table3[Date_Key])</f>
        <v>544</v>
      </c>
    </row>
    <row r="2244" spans="1:16" x14ac:dyDescent="0.3">
      <c r="A2244" s="27">
        <v>3242</v>
      </c>
      <c r="B2244" s="25" t="s">
        <v>2258</v>
      </c>
      <c r="C2244" s="25" t="s">
        <v>25</v>
      </c>
      <c r="D2244" s="26" t="s">
        <v>26</v>
      </c>
      <c r="E2244" s="27">
        <v>4</v>
      </c>
      <c r="F2244" s="28">
        <v>2933.45</v>
      </c>
      <c r="G2244" s="29">
        <v>0.16</v>
      </c>
      <c r="H2244" s="28">
        <f t="shared" si="70"/>
        <v>11733.8</v>
      </c>
      <c r="I2244" s="30">
        <v>45367</v>
      </c>
      <c r="J2244" s="26" t="s">
        <v>22</v>
      </c>
      <c r="K2244" s="26" t="s">
        <v>23</v>
      </c>
      <c r="L2244" s="31">
        <f t="shared" si="71"/>
        <v>9856.3919999999998</v>
      </c>
      <c r="M2244" s="31">
        <v>2996.49</v>
      </c>
      <c r="N2244" s="22">
        <f>_xlfn.XLOOKUP(Snitch_Fashion_Sales_cleaned!$J2244,Table2[City],Table2[City_Key],"not found")</f>
        <v>3</v>
      </c>
      <c r="O2244" s="21">
        <f>_xlfn.XLOOKUP(Snitch_Fashion_Sales_cleaned!$D2244,Table4[Product_Name],Table4[Product_Key],"not found")</f>
        <v>3</v>
      </c>
      <c r="P2244" s="25">
        <f>_xlfn.XLOOKUP(Snitch_Fashion_Sales_cleaned!$I2244,Table3[Order_Date],Table3[Date_Key])</f>
        <v>392</v>
      </c>
    </row>
    <row r="2245" spans="1:16" x14ac:dyDescent="0.3">
      <c r="A2245" s="34">
        <v>3243</v>
      </c>
      <c r="B2245" s="32" t="s">
        <v>2259</v>
      </c>
      <c r="C2245" s="32" t="s">
        <v>36</v>
      </c>
      <c r="D2245" s="33" t="s">
        <v>87</v>
      </c>
      <c r="E2245" s="34">
        <v>4</v>
      </c>
      <c r="F2245" s="35">
        <v>2889.5349999999999</v>
      </c>
      <c r="G2245" s="36">
        <v>0.87</v>
      </c>
      <c r="H2245" s="35">
        <f t="shared" si="70"/>
        <v>11558.14</v>
      </c>
      <c r="I2245" s="37">
        <v>45647</v>
      </c>
      <c r="J2245" s="33" t="s">
        <v>15</v>
      </c>
      <c r="K2245" s="33" t="s">
        <v>23</v>
      </c>
      <c r="L2245" s="38">
        <f t="shared" si="71"/>
        <v>1502.5581999999999</v>
      </c>
      <c r="M2245" s="38">
        <v>1345.46</v>
      </c>
      <c r="N2245" s="24">
        <f>_xlfn.XLOOKUP(Snitch_Fashion_Sales_cleaned!$J2245,Table2[City],Table2[City_Key],"not found")</f>
        <v>1</v>
      </c>
      <c r="O2245" s="23">
        <f>_xlfn.XLOOKUP(Snitch_Fashion_Sales_cleaned!$D2245,Table4[Product_Name],Table4[Product_Key],"not found")</f>
        <v>20</v>
      </c>
      <c r="P2245" s="32">
        <f>_xlfn.XLOOKUP(Snitch_Fashion_Sales_cleaned!$I2245,Table3[Order_Date],Table3[Date_Key])</f>
        <v>5</v>
      </c>
    </row>
    <row r="2246" spans="1:16" x14ac:dyDescent="0.3">
      <c r="A2246" s="27">
        <v>3244</v>
      </c>
      <c r="B2246" s="25" t="s">
        <v>2260</v>
      </c>
      <c r="C2246" s="25" t="s">
        <v>28</v>
      </c>
      <c r="D2246" s="26" t="s">
        <v>116</v>
      </c>
      <c r="E2246" s="27">
        <v>4</v>
      </c>
      <c r="F2246" s="28">
        <v>2785.79</v>
      </c>
      <c r="G2246" s="29">
        <v>0.47</v>
      </c>
      <c r="H2246" s="28">
        <f t="shared" ref="H2246:H2309" si="72">E2246*F2246</f>
        <v>11143.16</v>
      </c>
      <c r="I2246" s="30">
        <v>45714</v>
      </c>
      <c r="J2246" s="26" t="s">
        <v>18</v>
      </c>
      <c r="K2246" s="26" t="s">
        <v>23</v>
      </c>
      <c r="L2246" s="31">
        <f t="shared" ref="L2246:L2309" si="73">H2246*(1-G2246)</f>
        <v>5905.8748000000005</v>
      </c>
      <c r="M2246" s="31">
        <v>2205.34</v>
      </c>
      <c r="N2246" s="22">
        <f>_xlfn.XLOOKUP(Snitch_Fashion_Sales_cleaned!$J2246,Table2[City],Table2[City_Key],"not found")</f>
        <v>2</v>
      </c>
      <c r="O2246" s="21">
        <f>_xlfn.XLOOKUP(Snitch_Fashion_Sales_cleaned!$D2246,Table4[Product_Name],Table4[Product_Key],"not found")</f>
        <v>22</v>
      </c>
      <c r="P2246" s="25">
        <f>_xlfn.XLOOKUP(Snitch_Fashion_Sales_cleaned!$I2246,Table3[Order_Date],Table3[Date_Key])</f>
        <v>312</v>
      </c>
    </row>
    <row r="2247" spans="1:16" x14ac:dyDescent="0.3">
      <c r="A2247" s="34">
        <v>3245</v>
      </c>
      <c r="B2247" s="32" t="s">
        <v>2261</v>
      </c>
      <c r="C2247" s="32" t="s">
        <v>25</v>
      </c>
      <c r="D2247" s="33" t="s">
        <v>50</v>
      </c>
      <c r="E2247" s="34">
        <v>4</v>
      </c>
      <c r="F2247" s="35">
        <v>2666.2200000000003</v>
      </c>
      <c r="G2247" s="36">
        <v>0.51</v>
      </c>
      <c r="H2247" s="35">
        <f t="shared" si="72"/>
        <v>10664.880000000001</v>
      </c>
      <c r="I2247" s="37">
        <v>45282</v>
      </c>
      <c r="J2247" s="33" t="s">
        <v>52</v>
      </c>
      <c r="K2247" s="33" t="s">
        <v>23</v>
      </c>
      <c r="L2247" s="38">
        <f t="shared" si="73"/>
        <v>5225.7912000000006</v>
      </c>
      <c r="M2247" s="38">
        <v>1403.98</v>
      </c>
      <c r="N2247" s="24">
        <f>_xlfn.XLOOKUP(Snitch_Fashion_Sales_cleaned!$J2247,Table2[City],Table2[City_Key],"not found")</f>
        <v>5</v>
      </c>
      <c r="O2247" s="23">
        <f>_xlfn.XLOOKUP(Snitch_Fashion_Sales_cleaned!$D2247,Table4[Product_Name],Table4[Product_Key],"not found")</f>
        <v>11</v>
      </c>
      <c r="P2247" s="32">
        <f>_xlfn.XLOOKUP(Snitch_Fashion_Sales_cleaned!$I2247,Table3[Order_Date],Table3[Date_Key])</f>
        <v>290</v>
      </c>
    </row>
    <row r="2248" spans="1:16" x14ac:dyDescent="0.3">
      <c r="A2248" s="27">
        <v>3246</v>
      </c>
      <c r="B2248" s="25" t="s">
        <v>2262</v>
      </c>
      <c r="C2248" s="25" t="s">
        <v>13</v>
      </c>
      <c r="D2248" s="26" t="s">
        <v>34</v>
      </c>
      <c r="E2248" s="27">
        <v>3</v>
      </c>
      <c r="F2248" s="28">
        <v>4842.74</v>
      </c>
      <c r="G2248" s="29">
        <v>0.51</v>
      </c>
      <c r="H2248" s="28">
        <f t="shared" si="72"/>
        <v>14528.22</v>
      </c>
      <c r="I2248" s="30">
        <v>45647</v>
      </c>
      <c r="J2248" s="26" t="s">
        <v>43</v>
      </c>
      <c r="K2248" s="26" t="s">
        <v>23</v>
      </c>
      <c r="L2248" s="31">
        <f t="shared" si="73"/>
        <v>7118.8277999999991</v>
      </c>
      <c r="M2248" s="31">
        <v>2628.24</v>
      </c>
      <c r="N2248" s="22">
        <f>_xlfn.XLOOKUP(Snitch_Fashion_Sales_cleaned!$J2248,Table2[City],Table2[City_Key],"not found")</f>
        <v>6</v>
      </c>
      <c r="O2248" s="21">
        <f>_xlfn.XLOOKUP(Snitch_Fashion_Sales_cleaned!$D2248,Table4[Product_Name],Table4[Product_Key],"not found")</f>
        <v>6</v>
      </c>
      <c r="P2248" s="25">
        <f>_xlfn.XLOOKUP(Snitch_Fashion_Sales_cleaned!$I2248,Table3[Order_Date],Table3[Date_Key])</f>
        <v>5</v>
      </c>
    </row>
    <row r="2249" spans="1:16" x14ac:dyDescent="0.3">
      <c r="A2249" s="34">
        <v>3247</v>
      </c>
      <c r="B2249" s="32" t="s">
        <v>2263</v>
      </c>
      <c r="C2249" s="32" t="s">
        <v>36</v>
      </c>
      <c r="D2249" s="33" t="s">
        <v>37</v>
      </c>
      <c r="E2249" s="34">
        <v>4</v>
      </c>
      <c r="F2249" s="35">
        <v>2975.64</v>
      </c>
      <c r="G2249" s="36">
        <v>0.51</v>
      </c>
      <c r="H2249" s="35">
        <f t="shared" si="72"/>
        <v>11902.56</v>
      </c>
      <c r="I2249" s="37">
        <v>45631</v>
      </c>
      <c r="J2249" s="33" t="s">
        <v>15</v>
      </c>
      <c r="K2249" s="33" t="s">
        <v>23</v>
      </c>
      <c r="L2249" s="38">
        <f t="shared" si="73"/>
        <v>5832.2543999999998</v>
      </c>
      <c r="M2249" s="38">
        <v>2182.4899999999998</v>
      </c>
      <c r="N2249" s="24">
        <f>_xlfn.XLOOKUP(Snitch_Fashion_Sales_cleaned!$J2249,Table2[City],Table2[City_Key],"not found")</f>
        <v>1</v>
      </c>
      <c r="O2249" s="23">
        <f>_xlfn.XLOOKUP(Snitch_Fashion_Sales_cleaned!$D2249,Table4[Product_Name],Table4[Product_Key],"not found")</f>
        <v>7</v>
      </c>
      <c r="P2249" s="32">
        <f>_xlfn.XLOOKUP(Snitch_Fashion_Sales_cleaned!$I2249,Table3[Order_Date],Table3[Date_Key])</f>
        <v>397</v>
      </c>
    </row>
    <row r="2250" spans="1:16" x14ac:dyDescent="0.3">
      <c r="A2250" s="27">
        <v>3248</v>
      </c>
      <c r="B2250" s="25" t="s">
        <v>2264</v>
      </c>
      <c r="C2250" s="25" t="s">
        <v>36</v>
      </c>
      <c r="D2250" s="26" t="s">
        <v>37</v>
      </c>
      <c r="E2250" s="27">
        <v>4</v>
      </c>
      <c r="F2250" s="28">
        <v>2061.91</v>
      </c>
      <c r="G2250" s="29">
        <v>0.51</v>
      </c>
      <c r="H2250" s="28">
        <f t="shared" si="72"/>
        <v>8247.64</v>
      </c>
      <c r="I2250" s="30">
        <v>45800</v>
      </c>
      <c r="J2250" s="26" t="s">
        <v>18</v>
      </c>
      <c r="K2250" s="26" t="s">
        <v>23</v>
      </c>
      <c r="L2250" s="31">
        <f t="shared" si="73"/>
        <v>4041.3435999999997</v>
      </c>
      <c r="M2250" s="31">
        <v>-729.1</v>
      </c>
      <c r="N2250" s="22">
        <f>_xlfn.XLOOKUP(Snitch_Fashion_Sales_cleaned!$J2250,Table2[City],Table2[City_Key],"not found")</f>
        <v>2</v>
      </c>
      <c r="O2250" s="21">
        <f>_xlfn.XLOOKUP(Snitch_Fashion_Sales_cleaned!$D2250,Table4[Product_Name],Table4[Product_Key],"not found")</f>
        <v>7</v>
      </c>
      <c r="P2250" s="25">
        <f>_xlfn.XLOOKUP(Snitch_Fashion_Sales_cleaned!$I2250,Table3[Order_Date],Table3[Date_Key])</f>
        <v>442</v>
      </c>
    </row>
    <row r="2251" spans="1:16" x14ac:dyDescent="0.3">
      <c r="A2251" s="34">
        <v>3249</v>
      </c>
      <c r="B2251" s="32" t="s">
        <v>2265</v>
      </c>
      <c r="C2251" s="32" t="s">
        <v>31</v>
      </c>
      <c r="D2251" s="33" t="s">
        <v>32</v>
      </c>
      <c r="E2251" s="34">
        <v>4</v>
      </c>
      <c r="F2251" s="35">
        <v>2001.5500000000002</v>
      </c>
      <c r="G2251" s="36">
        <v>0.51</v>
      </c>
      <c r="H2251" s="35">
        <f t="shared" si="72"/>
        <v>8006.2000000000007</v>
      </c>
      <c r="I2251" s="37">
        <v>45647</v>
      </c>
      <c r="J2251" s="33" t="s">
        <v>15</v>
      </c>
      <c r="K2251" s="33" t="s">
        <v>23</v>
      </c>
      <c r="L2251" s="38">
        <f t="shared" si="73"/>
        <v>3923.0380000000005</v>
      </c>
      <c r="M2251" s="38">
        <v>1787.82</v>
      </c>
      <c r="N2251" s="24">
        <f>_xlfn.XLOOKUP(Snitch_Fashion_Sales_cleaned!$J2251,Table2[City],Table2[City_Key],"not found")</f>
        <v>1</v>
      </c>
      <c r="O2251" s="23">
        <f>_xlfn.XLOOKUP(Snitch_Fashion_Sales_cleaned!$D2251,Table4[Product_Name],Table4[Product_Key],"not found")</f>
        <v>5</v>
      </c>
      <c r="P2251" s="32">
        <f>_xlfn.XLOOKUP(Snitch_Fashion_Sales_cleaned!$I2251,Table3[Order_Date],Table3[Date_Key])</f>
        <v>5</v>
      </c>
    </row>
    <row r="2252" spans="1:16" x14ac:dyDescent="0.3">
      <c r="A2252" s="27">
        <v>3250</v>
      </c>
      <c r="B2252" s="25" t="s">
        <v>2266</v>
      </c>
      <c r="C2252" s="25" t="s">
        <v>31</v>
      </c>
      <c r="D2252" s="26" t="s">
        <v>32</v>
      </c>
      <c r="E2252" s="27">
        <v>4</v>
      </c>
      <c r="F2252" s="28">
        <v>2001.5500000000002</v>
      </c>
      <c r="G2252" s="29">
        <v>0.51</v>
      </c>
      <c r="H2252" s="28">
        <f t="shared" si="72"/>
        <v>8006.2000000000007</v>
      </c>
      <c r="I2252" s="30">
        <v>45647</v>
      </c>
      <c r="J2252" s="26" t="s">
        <v>2540</v>
      </c>
      <c r="K2252" s="26" t="s">
        <v>23</v>
      </c>
      <c r="L2252" s="31">
        <f t="shared" si="73"/>
        <v>3923.0380000000005</v>
      </c>
      <c r="M2252" s="31">
        <v>2200.6</v>
      </c>
      <c r="N2252" s="22">
        <f>_xlfn.XLOOKUP(Snitch_Fashion_Sales_cleaned!$J2252,Table2[City],Table2[City_Key],"not found")</f>
        <v>4</v>
      </c>
      <c r="O2252" s="21">
        <f>_xlfn.XLOOKUP(Snitch_Fashion_Sales_cleaned!$D2252,Table4[Product_Name],Table4[Product_Key],"not found")</f>
        <v>5</v>
      </c>
      <c r="P2252" s="25">
        <f>_xlfn.XLOOKUP(Snitch_Fashion_Sales_cleaned!$I2252,Table3[Order_Date],Table3[Date_Key])</f>
        <v>5</v>
      </c>
    </row>
    <row r="2253" spans="1:16" x14ac:dyDescent="0.3">
      <c r="A2253" s="34">
        <v>3251</v>
      </c>
      <c r="B2253" s="32" t="s">
        <v>2267</v>
      </c>
      <c r="C2253" s="32" t="s">
        <v>36</v>
      </c>
      <c r="D2253" s="33" t="s">
        <v>55</v>
      </c>
      <c r="E2253" s="34">
        <v>3</v>
      </c>
      <c r="F2253" s="35">
        <v>2731.6350000000002</v>
      </c>
      <c r="G2253" s="36">
        <v>0.51</v>
      </c>
      <c r="H2253" s="35">
        <f t="shared" si="72"/>
        <v>8194.9050000000007</v>
      </c>
      <c r="I2253" s="37">
        <v>45672</v>
      </c>
      <c r="J2253" s="33" t="s">
        <v>15</v>
      </c>
      <c r="K2253" s="33" t="s">
        <v>16</v>
      </c>
      <c r="L2253" s="38">
        <f t="shared" si="73"/>
        <v>4015.5034500000002</v>
      </c>
      <c r="M2253" s="38">
        <v>2977.81</v>
      </c>
      <c r="N2253" s="24">
        <f>_xlfn.XLOOKUP(Snitch_Fashion_Sales_cleaned!$J2253,Table2[City],Table2[City_Key],"not found")</f>
        <v>1</v>
      </c>
      <c r="O2253" s="23">
        <f>_xlfn.XLOOKUP(Snitch_Fashion_Sales_cleaned!$D2253,Table4[Product_Name],Table4[Product_Key],"not found")</f>
        <v>12</v>
      </c>
      <c r="P2253" s="32">
        <f>_xlfn.XLOOKUP(Snitch_Fashion_Sales_cleaned!$I2253,Table3[Order_Date],Table3[Date_Key])</f>
        <v>48</v>
      </c>
    </row>
    <row r="2254" spans="1:16" x14ac:dyDescent="0.3">
      <c r="A2254" s="27">
        <v>3252</v>
      </c>
      <c r="B2254" s="25" t="s">
        <v>2268</v>
      </c>
      <c r="C2254" s="25" t="s">
        <v>25</v>
      </c>
      <c r="D2254" s="26" t="s">
        <v>62</v>
      </c>
      <c r="E2254" s="27">
        <v>4</v>
      </c>
      <c r="F2254" s="28">
        <v>2538.0450000000001</v>
      </c>
      <c r="G2254" s="29">
        <v>0.51</v>
      </c>
      <c r="H2254" s="28">
        <f t="shared" si="72"/>
        <v>10152.18</v>
      </c>
      <c r="I2254" s="30">
        <v>45700</v>
      </c>
      <c r="J2254" s="26" t="s">
        <v>18</v>
      </c>
      <c r="K2254" s="26" t="s">
        <v>23</v>
      </c>
      <c r="L2254" s="31">
        <f t="shared" si="73"/>
        <v>4974.5681999999997</v>
      </c>
      <c r="M2254" s="31">
        <v>-544.70000000000005</v>
      </c>
      <c r="N2254" s="22">
        <f>_xlfn.XLOOKUP(Snitch_Fashion_Sales_cleaned!$J2254,Table2[City],Table2[City_Key],"not found")</f>
        <v>2</v>
      </c>
      <c r="O2254" s="21">
        <f>_xlfn.XLOOKUP(Snitch_Fashion_Sales_cleaned!$D2254,Table4[Product_Name],Table4[Product_Key],"not found")</f>
        <v>14</v>
      </c>
      <c r="P2254" s="25">
        <f>_xlfn.XLOOKUP(Snitch_Fashion_Sales_cleaned!$I2254,Table3[Order_Date],Table3[Date_Key])</f>
        <v>39</v>
      </c>
    </row>
    <row r="2255" spans="1:16" x14ac:dyDescent="0.3">
      <c r="A2255" s="34">
        <v>3253</v>
      </c>
      <c r="B2255" s="32" t="s">
        <v>2269</v>
      </c>
      <c r="C2255" s="32" t="s">
        <v>20</v>
      </c>
      <c r="D2255" s="33" t="s">
        <v>76</v>
      </c>
      <c r="E2255" s="34">
        <v>5</v>
      </c>
      <c r="F2255" s="35">
        <v>4429.95</v>
      </c>
      <c r="G2255" s="36">
        <v>0.35</v>
      </c>
      <c r="H2255" s="35">
        <f t="shared" si="72"/>
        <v>22149.75</v>
      </c>
      <c r="I2255" s="37">
        <v>45727</v>
      </c>
      <c r="J2255" s="33" t="s">
        <v>52</v>
      </c>
      <c r="K2255" s="33" t="s">
        <v>23</v>
      </c>
      <c r="L2255" s="38">
        <f t="shared" si="73"/>
        <v>14397.3375</v>
      </c>
      <c r="M2255" s="38">
        <v>-746.94</v>
      </c>
      <c r="N2255" s="24">
        <f>_xlfn.XLOOKUP(Snitch_Fashion_Sales_cleaned!$J2255,Table2[City],Table2[City_Key],"not found")</f>
        <v>5</v>
      </c>
      <c r="O2255" s="23">
        <f>_xlfn.XLOOKUP(Snitch_Fashion_Sales_cleaned!$D2255,Table4[Product_Name],Table4[Product_Key],"not found")</f>
        <v>16</v>
      </c>
      <c r="P2255" s="32">
        <f>_xlfn.XLOOKUP(Snitch_Fashion_Sales_cleaned!$I2255,Table3[Order_Date],Table3[Date_Key])</f>
        <v>357</v>
      </c>
    </row>
    <row r="2256" spans="1:16" x14ac:dyDescent="0.3">
      <c r="A2256" s="27">
        <v>3254</v>
      </c>
      <c r="B2256" s="25" t="s">
        <v>2270</v>
      </c>
      <c r="C2256" s="25" t="s">
        <v>20</v>
      </c>
      <c r="D2256" s="26" t="s">
        <v>76</v>
      </c>
      <c r="E2256" s="27">
        <v>3</v>
      </c>
      <c r="F2256" s="28">
        <v>2229.4899999999998</v>
      </c>
      <c r="G2256" s="29">
        <v>0.51</v>
      </c>
      <c r="H2256" s="28">
        <f t="shared" si="72"/>
        <v>6688.4699999999993</v>
      </c>
      <c r="I2256" s="30">
        <v>45815</v>
      </c>
      <c r="J2256" s="26" t="s">
        <v>43</v>
      </c>
      <c r="K2256" s="26" t="s">
        <v>16</v>
      </c>
      <c r="L2256" s="31">
        <f t="shared" si="73"/>
        <v>3277.3502999999996</v>
      </c>
      <c r="M2256" s="31">
        <v>2285.19</v>
      </c>
      <c r="N2256" s="22">
        <f>_xlfn.XLOOKUP(Snitch_Fashion_Sales_cleaned!$J2256,Table2[City],Table2[City_Key],"not found")</f>
        <v>6</v>
      </c>
      <c r="O2256" s="21">
        <f>_xlfn.XLOOKUP(Snitch_Fashion_Sales_cleaned!$D2256,Table4[Product_Name],Table4[Product_Key],"not found")</f>
        <v>16</v>
      </c>
      <c r="P2256" s="25">
        <f>_xlfn.XLOOKUP(Snitch_Fashion_Sales_cleaned!$I2256,Table3[Order_Date],Table3[Date_Key])</f>
        <v>438</v>
      </c>
    </row>
    <row r="2257" spans="1:16" x14ac:dyDescent="0.3">
      <c r="A2257" s="34">
        <v>3255</v>
      </c>
      <c r="B2257" s="32" t="s">
        <v>2271</v>
      </c>
      <c r="C2257" s="32" t="s">
        <v>28</v>
      </c>
      <c r="D2257" s="33" t="s">
        <v>116</v>
      </c>
      <c r="E2257" s="34">
        <v>6</v>
      </c>
      <c r="F2257" s="35">
        <v>3904.86</v>
      </c>
      <c r="G2257" s="36">
        <v>0.51</v>
      </c>
      <c r="H2257" s="35">
        <f t="shared" si="72"/>
        <v>23429.16</v>
      </c>
      <c r="I2257" s="37">
        <v>45630</v>
      </c>
      <c r="J2257" s="33" t="s">
        <v>22</v>
      </c>
      <c r="K2257" s="33" t="s">
        <v>16</v>
      </c>
      <c r="L2257" s="38">
        <f t="shared" si="73"/>
        <v>11480.288399999999</v>
      </c>
      <c r="M2257" s="38">
        <v>1504.25</v>
      </c>
      <c r="N2257" s="24">
        <f>_xlfn.XLOOKUP(Snitch_Fashion_Sales_cleaned!$J2257,Table2[City],Table2[City_Key],"not found")</f>
        <v>3</v>
      </c>
      <c r="O2257" s="23">
        <f>_xlfn.XLOOKUP(Snitch_Fashion_Sales_cleaned!$D2257,Table4[Product_Name],Table4[Product_Key],"not found")</f>
        <v>22</v>
      </c>
      <c r="P2257" s="32">
        <f>_xlfn.XLOOKUP(Snitch_Fashion_Sales_cleaned!$I2257,Table3[Order_Date],Table3[Date_Key])</f>
        <v>130</v>
      </c>
    </row>
    <row r="2258" spans="1:16" x14ac:dyDescent="0.3">
      <c r="A2258" s="27">
        <v>3256</v>
      </c>
      <c r="B2258" s="25" t="s">
        <v>2272</v>
      </c>
      <c r="C2258" s="25" t="s">
        <v>31</v>
      </c>
      <c r="D2258" s="26" t="s">
        <v>32</v>
      </c>
      <c r="E2258" s="27">
        <v>2</v>
      </c>
      <c r="F2258" s="28">
        <v>2001.5500000000002</v>
      </c>
      <c r="G2258" s="29">
        <v>0.51</v>
      </c>
      <c r="H2258" s="28">
        <f t="shared" si="72"/>
        <v>4003.1000000000004</v>
      </c>
      <c r="I2258" s="30">
        <v>45860</v>
      </c>
      <c r="J2258" s="26" t="s">
        <v>22</v>
      </c>
      <c r="K2258" s="26" t="s">
        <v>23</v>
      </c>
      <c r="L2258" s="31">
        <f t="shared" si="73"/>
        <v>1961.5190000000002</v>
      </c>
      <c r="M2258" s="31">
        <v>298.94</v>
      </c>
      <c r="N2258" s="22">
        <f>_xlfn.XLOOKUP(Snitch_Fashion_Sales_cleaned!$J2258,Table2[City],Table2[City_Key],"not found")</f>
        <v>3</v>
      </c>
      <c r="O2258" s="21">
        <f>_xlfn.XLOOKUP(Snitch_Fashion_Sales_cleaned!$D2258,Table4[Product_Name],Table4[Product_Key],"not found")</f>
        <v>5</v>
      </c>
      <c r="P2258" s="25">
        <f>_xlfn.XLOOKUP(Snitch_Fashion_Sales_cleaned!$I2258,Table3[Order_Date],Table3[Date_Key])</f>
        <v>244</v>
      </c>
    </row>
    <row r="2259" spans="1:16" x14ac:dyDescent="0.3">
      <c r="A2259" s="34">
        <v>3257</v>
      </c>
      <c r="B2259" s="32" t="s">
        <v>422</v>
      </c>
      <c r="C2259" s="32" t="s">
        <v>31</v>
      </c>
      <c r="D2259" s="33" t="s">
        <v>78</v>
      </c>
      <c r="E2259" s="34">
        <v>4</v>
      </c>
      <c r="F2259" s="35">
        <v>2599.75</v>
      </c>
      <c r="G2259" s="36">
        <v>0.51</v>
      </c>
      <c r="H2259" s="35">
        <f t="shared" si="72"/>
        <v>10399</v>
      </c>
      <c r="I2259" s="37">
        <v>45734</v>
      </c>
      <c r="J2259" s="33" t="s">
        <v>52</v>
      </c>
      <c r="K2259" s="33" t="s">
        <v>23</v>
      </c>
      <c r="L2259" s="38">
        <f t="shared" si="73"/>
        <v>5095.51</v>
      </c>
      <c r="M2259" s="38">
        <v>-271.48</v>
      </c>
      <c r="N2259" s="24">
        <f>_xlfn.XLOOKUP(Snitch_Fashion_Sales_cleaned!$J2259,Table2[City],Table2[City_Key],"not found")</f>
        <v>5</v>
      </c>
      <c r="O2259" s="23">
        <f>_xlfn.XLOOKUP(Snitch_Fashion_Sales_cleaned!$D2259,Table4[Product_Name],Table4[Product_Key],"not found")</f>
        <v>17</v>
      </c>
      <c r="P2259" s="32">
        <f>_xlfn.XLOOKUP(Snitch_Fashion_Sales_cleaned!$I2259,Table3[Order_Date],Table3[Date_Key])</f>
        <v>268</v>
      </c>
    </row>
    <row r="2260" spans="1:16" x14ac:dyDescent="0.3">
      <c r="A2260" s="27">
        <v>3258</v>
      </c>
      <c r="B2260" s="25" t="s">
        <v>2273</v>
      </c>
      <c r="C2260" s="25" t="s">
        <v>25</v>
      </c>
      <c r="D2260" s="26" t="s">
        <v>26</v>
      </c>
      <c r="E2260" s="27">
        <v>4</v>
      </c>
      <c r="F2260" s="28">
        <v>2933.45</v>
      </c>
      <c r="G2260" s="29">
        <v>0.51</v>
      </c>
      <c r="H2260" s="28">
        <f t="shared" si="72"/>
        <v>11733.8</v>
      </c>
      <c r="I2260" s="30">
        <v>45722</v>
      </c>
      <c r="J2260" s="26" t="s">
        <v>18</v>
      </c>
      <c r="K2260" s="26" t="s">
        <v>23</v>
      </c>
      <c r="L2260" s="31">
        <f t="shared" si="73"/>
        <v>5749.5619999999999</v>
      </c>
      <c r="M2260" s="31">
        <v>682.17</v>
      </c>
      <c r="N2260" s="22">
        <f>_xlfn.XLOOKUP(Snitch_Fashion_Sales_cleaned!$J2260,Table2[City],Table2[City_Key],"not found")</f>
        <v>2</v>
      </c>
      <c r="O2260" s="21">
        <f>_xlfn.XLOOKUP(Snitch_Fashion_Sales_cleaned!$D2260,Table4[Product_Name],Table4[Product_Key],"not found")</f>
        <v>3</v>
      </c>
      <c r="P2260" s="25">
        <f>_xlfn.XLOOKUP(Snitch_Fashion_Sales_cleaned!$I2260,Table3[Order_Date],Table3[Date_Key])</f>
        <v>358</v>
      </c>
    </row>
    <row r="2261" spans="1:16" x14ac:dyDescent="0.3">
      <c r="A2261" s="34">
        <v>3259</v>
      </c>
      <c r="B2261" s="32" t="s">
        <v>2274</v>
      </c>
      <c r="C2261" s="32" t="s">
        <v>25</v>
      </c>
      <c r="D2261" s="33" t="s">
        <v>82</v>
      </c>
      <c r="E2261" s="34">
        <v>3</v>
      </c>
      <c r="F2261" s="35">
        <v>2385.5749999999998</v>
      </c>
      <c r="G2261" s="36">
        <v>0.51</v>
      </c>
      <c r="H2261" s="35">
        <f t="shared" si="72"/>
        <v>7156.7249999999995</v>
      </c>
      <c r="I2261" s="37">
        <v>45766</v>
      </c>
      <c r="J2261" s="33" t="s">
        <v>22</v>
      </c>
      <c r="K2261" s="33" t="s">
        <v>23</v>
      </c>
      <c r="L2261" s="38">
        <f t="shared" si="73"/>
        <v>3506.7952499999997</v>
      </c>
      <c r="M2261" s="38">
        <v>2448.2199999999998</v>
      </c>
      <c r="N2261" s="24">
        <f>_xlfn.XLOOKUP(Snitch_Fashion_Sales_cleaned!$J2261,Table2[City],Table2[City_Key],"not found")</f>
        <v>3</v>
      </c>
      <c r="O2261" s="23">
        <f>_xlfn.XLOOKUP(Snitch_Fashion_Sales_cleaned!$D2261,Table4[Product_Name],Table4[Product_Key],"not found")</f>
        <v>18</v>
      </c>
      <c r="P2261" s="32">
        <f>_xlfn.XLOOKUP(Snitch_Fashion_Sales_cleaned!$I2261,Table3[Order_Date],Table3[Date_Key])</f>
        <v>534</v>
      </c>
    </row>
    <row r="2262" spans="1:16" x14ac:dyDescent="0.3">
      <c r="A2262" s="27">
        <v>1024</v>
      </c>
      <c r="B2262" s="25" t="s">
        <v>2275</v>
      </c>
      <c r="C2262" s="25" t="s">
        <v>28</v>
      </c>
      <c r="D2262" s="26" t="s">
        <v>116</v>
      </c>
      <c r="E2262" s="27">
        <v>4</v>
      </c>
      <c r="F2262" s="28">
        <v>940.64</v>
      </c>
      <c r="G2262" s="29">
        <v>0.67</v>
      </c>
      <c r="H2262" s="28">
        <f t="shared" si="72"/>
        <v>3762.56</v>
      </c>
      <c r="I2262" s="30">
        <v>45667</v>
      </c>
      <c r="J2262" s="26" t="s">
        <v>22</v>
      </c>
      <c r="K2262" s="26" t="s">
        <v>16</v>
      </c>
      <c r="L2262" s="31">
        <f t="shared" si="73"/>
        <v>1241.6447999999998</v>
      </c>
      <c r="M2262" s="31">
        <v>310.41119999999995</v>
      </c>
      <c r="N2262" s="22">
        <f>_xlfn.XLOOKUP(Snitch_Fashion_Sales_cleaned!$J2262,Table2[City],Table2[City_Key],"not found")</f>
        <v>3</v>
      </c>
      <c r="O2262" s="21">
        <f>_xlfn.XLOOKUP(Snitch_Fashion_Sales_cleaned!$D2262,Table4[Product_Name],Table4[Product_Key],"not found")</f>
        <v>22</v>
      </c>
      <c r="P2262" s="25">
        <f>_xlfn.XLOOKUP(Snitch_Fashion_Sales_cleaned!$I2262,Table3[Order_Date],Table3[Date_Key])</f>
        <v>123</v>
      </c>
    </row>
    <row r="2263" spans="1:16" x14ac:dyDescent="0.3">
      <c r="A2263" s="34">
        <v>3261</v>
      </c>
      <c r="B2263" s="32" t="s">
        <v>2276</v>
      </c>
      <c r="C2263" s="32" t="s">
        <v>20</v>
      </c>
      <c r="D2263" s="33" t="s">
        <v>84</v>
      </c>
      <c r="E2263" s="34">
        <v>3</v>
      </c>
      <c r="F2263" s="35">
        <v>2537.59</v>
      </c>
      <c r="G2263" s="36">
        <v>0.51</v>
      </c>
      <c r="H2263" s="35">
        <f t="shared" si="72"/>
        <v>7612.77</v>
      </c>
      <c r="I2263" s="37">
        <v>45789</v>
      </c>
      <c r="J2263" s="33" t="s">
        <v>43</v>
      </c>
      <c r="K2263" s="33" t="s">
        <v>16</v>
      </c>
      <c r="L2263" s="38">
        <f t="shared" si="73"/>
        <v>3730.2573000000002</v>
      </c>
      <c r="M2263" s="38">
        <v>-602.39</v>
      </c>
      <c r="N2263" s="24">
        <f>_xlfn.XLOOKUP(Snitch_Fashion_Sales_cleaned!$J2263,Table2[City],Table2[City_Key],"not found")</f>
        <v>6</v>
      </c>
      <c r="O2263" s="23">
        <f>_xlfn.XLOOKUP(Snitch_Fashion_Sales_cleaned!$D2263,Table4[Product_Name],Table4[Product_Key],"not found")</f>
        <v>19</v>
      </c>
      <c r="P2263" s="32">
        <f>_xlfn.XLOOKUP(Snitch_Fashion_Sales_cleaned!$I2263,Table3[Order_Date],Table3[Date_Key])</f>
        <v>206</v>
      </c>
    </row>
    <row r="2264" spans="1:16" x14ac:dyDescent="0.3">
      <c r="A2264" s="27">
        <v>3262</v>
      </c>
      <c r="B2264" s="25" t="s">
        <v>2277</v>
      </c>
      <c r="C2264" s="25" t="s">
        <v>28</v>
      </c>
      <c r="D2264" s="26" t="s">
        <v>137</v>
      </c>
      <c r="E2264" s="27">
        <v>3.5</v>
      </c>
      <c r="F2264" s="28">
        <v>3727.53</v>
      </c>
      <c r="G2264" s="29">
        <v>0.51</v>
      </c>
      <c r="H2264" s="28">
        <f t="shared" si="72"/>
        <v>13046.355000000001</v>
      </c>
      <c r="I2264" s="30">
        <v>45647</v>
      </c>
      <c r="J2264" s="26" t="s">
        <v>18</v>
      </c>
      <c r="K2264" s="26" t="s">
        <v>23</v>
      </c>
      <c r="L2264" s="31">
        <f t="shared" si="73"/>
        <v>6392.7139500000003</v>
      </c>
      <c r="M2264" s="31">
        <v>29.62</v>
      </c>
      <c r="N2264" s="22">
        <f>_xlfn.XLOOKUP(Snitch_Fashion_Sales_cleaned!$J2264,Table2[City],Table2[City_Key],"not found")</f>
        <v>2</v>
      </c>
      <c r="O2264" s="21">
        <f>_xlfn.XLOOKUP(Snitch_Fashion_Sales_cleaned!$D2264,Table4[Product_Name],Table4[Product_Key],"not found")</f>
        <v>24</v>
      </c>
      <c r="P2264" s="25">
        <f>_xlfn.XLOOKUP(Snitch_Fashion_Sales_cleaned!$I2264,Table3[Order_Date],Table3[Date_Key])</f>
        <v>5</v>
      </c>
    </row>
    <row r="2265" spans="1:16" x14ac:dyDescent="0.3">
      <c r="A2265" s="34">
        <v>3263</v>
      </c>
      <c r="B2265" s="32" t="s">
        <v>2278</v>
      </c>
      <c r="C2265" s="32" t="s">
        <v>25</v>
      </c>
      <c r="D2265" s="33" t="s">
        <v>50</v>
      </c>
      <c r="E2265" s="34">
        <v>6</v>
      </c>
      <c r="F2265" s="35">
        <v>3121.49</v>
      </c>
      <c r="G2265" s="36">
        <v>0.51</v>
      </c>
      <c r="H2265" s="35">
        <f t="shared" si="72"/>
        <v>18728.939999999999</v>
      </c>
      <c r="I2265" s="37">
        <v>45678</v>
      </c>
      <c r="J2265" s="33" t="s">
        <v>2540</v>
      </c>
      <c r="K2265" s="33" t="s">
        <v>23</v>
      </c>
      <c r="L2265" s="38">
        <f t="shared" si="73"/>
        <v>9177.1805999999997</v>
      </c>
      <c r="M2265" s="38">
        <v>1156.27</v>
      </c>
      <c r="N2265" s="24">
        <f>_xlfn.XLOOKUP(Snitch_Fashion_Sales_cleaned!$J2265,Table2[City],Table2[City_Key],"not found")</f>
        <v>4</v>
      </c>
      <c r="O2265" s="23">
        <f>_xlfn.XLOOKUP(Snitch_Fashion_Sales_cleaned!$D2265,Table4[Product_Name],Table4[Product_Key],"not found")</f>
        <v>11</v>
      </c>
      <c r="P2265" s="32">
        <f>_xlfn.XLOOKUP(Snitch_Fashion_Sales_cleaned!$I2265,Table3[Order_Date],Table3[Date_Key])</f>
        <v>208</v>
      </c>
    </row>
    <row r="2266" spans="1:16" x14ac:dyDescent="0.3">
      <c r="A2266" s="27">
        <v>3264</v>
      </c>
      <c r="B2266" s="25" t="s">
        <v>2279</v>
      </c>
      <c r="C2266" s="25" t="s">
        <v>36</v>
      </c>
      <c r="D2266" s="26" t="s">
        <v>59</v>
      </c>
      <c r="E2266" s="27">
        <v>3</v>
      </c>
      <c r="F2266" s="28">
        <v>944.36</v>
      </c>
      <c r="G2266" s="29">
        <v>7.0000000000000007E-2</v>
      </c>
      <c r="H2266" s="28">
        <f t="shared" si="72"/>
        <v>2833.08</v>
      </c>
      <c r="I2266" s="30">
        <v>45831</v>
      </c>
      <c r="J2266" s="26" t="s">
        <v>52</v>
      </c>
      <c r="K2266" s="26" t="s">
        <v>23</v>
      </c>
      <c r="L2266" s="31">
        <f t="shared" si="73"/>
        <v>2634.7643999999996</v>
      </c>
      <c r="M2266" s="31">
        <v>1133.74</v>
      </c>
      <c r="N2266" s="22">
        <f>_xlfn.XLOOKUP(Snitch_Fashion_Sales_cleaned!$J2266,Table2[City],Table2[City_Key],"not found")</f>
        <v>5</v>
      </c>
      <c r="O2266" s="21">
        <f>_xlfn.XLOOKUP(Snitch_Fashion_Sales_cleaned!$D2266,Table4[Product_Name],Table4[Product_Key],"not found")</f>
        <v>13</v>
      </c>
      <c r="P2266" s="25">
        <f>_xlfn.XLOOKUP(Snitch_Fashion_Sales_cleaned!$I2266,Table3[Order_Date],Table3[Date_Key])</f>
        <v>281</v>
      </c>
    </row>
    <row r="2267" spans="1:16" x14ac:dyDescent="0.3">
      <c r="A2267" s="34">
        <v>3265</v>
      </c>
      <c r="B2267" s="32" t="s">
        <v>2280</v>
      </c>
      <c r="C2267" s="32" t="s">
        <v>20</v>
      </c>
      <c r="D2267" s="33" t="s">
        <v>118</v>
      </c>
      <c r="E2267" s="34">
        <v>3.5</v>
      </c>
      <c r="F2267" s="35">
        <v>1882.93</v>
      </c>
      <c r="G2267" s="36">
        <v>0.51</v>
      </c>
      <c r="H2267" s="35">
        <f t="shared" si="72"/>
        <v>6590.2550000000001</v>
      </c>
      <c r="I2267" s="37">
        <v>45835</v>
      </c>
      <c r="J2267" s="33" t="s">
        <v>2540</v>
      </c>
      <c r="K2267" s="33" t="s">
        <v>23</v>
      </c>
      <c r="L2267" s="38">
        <f t="shared" si="73"/>
        <v>3229.2249499999998</v>
      </c>
      <c r="M2267" s="38">
        <v>520.85</v>
      </c>
      <c r="N2267" s="24">
        <f>_xlfn.XLOOKUP(Snitch_Fashion_Sales_cleaned!$J2267,Table2[City],Table2[City_Key],"not found")</f>
        <v>4</v>
      </c>
      <c r="O2267" s="23">
        <f>_xlfn.XLOOKUP(Snitch_Fashion_Sales_cleaned!$D2267,Table4[Product_Name],Table4[Product_Key],"not found")</f>
        <v>23</v>
      </c>
      <c r="P2267" s="32">
        <f>_xlfn.XLOOKUP(Snitch_Fashion_Sales_cleaned!$I2267,Table3[Order_Date],Table3[Date_Key])</f>
        <v>84</v>
      </c>
    </row>
    <row r="2268" spans="1:16" x14ac:dyDescent="0.3">
      <c r="A2268" s="27">
        <v>3266</v>
      </c>
      <c r="B2268" s="25" t="s">
        <v>2281</v>
      </c>
      <c r="C2268" s="25" t="s">
        <v>31</v>
      </c>
      <c r="D2268" s="26" t="s">
        <v>68</v>
      </c>
      <c r="E2268" s="27">
        <v>4</v>
      </c>
      <c r="F2268" s="28">
        <v>3349.58</v>
      </c>
      <c r="G2268" s="29">
        <v>0.51</v>
      </c>
      <c r="H2268" s="28">
        <f t="shared" si="72"/>
        <v>13398.32</v>
      </c>
      <c r="I2268" s="30">
        <v>45647</v>
      </c>
      <c r="J2268" s="26" t="s">
        <v>22</v>
      </c>
      <c r="K2268" s="26" t="s">
        <v>23</v>
      </c>
      <c r="L2268" s="31">
        <f t="shared" si="73"/>
        <v>6565.1768000000002</v>
      </c>
      <c r="M2268" s="31">
        <v>1085.2</v>
      </c>
      <c r="N2268" s="22">
        <f>_xlfn.XLOOKUP(Snitch_Fashion_Sales_cleaned!$J2268,Table2[City],Table2[City_Key],"not found")</f>
        <v>3</v>
      </c>
      <c r="O2268" s="21">
        <f>_xlfn.XLOOKUP(Snitch_Fashion_Sales_cleaned!$D2268,Table4[Product_Name],Table4[Product_Key],"not found")</f>
        <v>15</v>
      </c>
      <c r="P2268" s="25">
        <f>_xlfn.XLOOKUP(Snitch_Fashion_Sales_cleaned!$I2268,Table3[Order_Date],Table3[Date_Key])</f>
        <v>5</v>
      </c>
    </row>
    <row r="2269" spans="1:16" x14ac:dyDescent="0.3">
      <c r="A2269" s="34">
        <v>3267</v>
      </c>
      <c r="B2269" s="32" t="s">
        <v>2282</v>
      </c>
      <c r="C2269" s="32" t="s">
        <v>36</v>
      </c>
      <c r="D2269" s="33" t="s">
        <v>55</v>
      </c>
      <c r="E2269" s="34">
        <v>1</v>
      </c>
      <c r="F2269" s="35">
        <v>3965.8</v>
      </c>
      <c r="G2269" s="36">
        <v>0.48</v>
      </c>
      <c r="H2269" s="35">
        <f t="shared" si="72"/>
        <v>3965.8</v>
      </c>
      <c r="I2269" s="37">
        <v>45587</v>
      </c>
      <c r="J2269" s="33" t="s">
        <v>2540</v>
      </c>
      <c r="K2269" s="33" t="s">
        <v>23</v>
      </c>
      <c r="L2269" s="38">
        <f t="shared" si="73"/>
        <v>2062.2160000000003</v>
      </c>
      <c r="M2269" s="38">
        <v>1222.8499999999999</v>
      </c>
      <c r="N2269" s="24">
        <f>_xlfn.XLOOKUP(Snitch_Fashion_Sales_cleaned!$J2269,Table2[City],Table2[City_Key],"not found")</f>
        <v>4</v>
      </c>
      <c r="O2269" s="23">
        <f>_xlfn.XLOOKUP(Snitch_Fashion_Sales_cleaned!$D2269,Table4[Product_Name],Table4[Product_Key],"not found")</f>
        <v>12</v>
      </c>
      <c r="P2269" s="32">
        <f>_xlfn.XLOOKUP(Snitch_Fashion_Sales_cleaned!$I2269,Table3[Order_Date],Table3[Date_Key])</f>
        <v>14</v>
      </c>
    </row>
    <row r="2270" spans="1:16" x14ac:dyDescent="0.3">
      <c r="A2270" s="27">
        <v>1045</v>
      </c>
      <c r="B2270" s="25" t="s">
        <v>2283</v>
      </c>
      <c r="C2270" s="25" t="s">
        <v>28</v>
      </c>
      <c r="D2270" s="26" t="s">
        <v>39</v>
      </c>
      <c r="E2270" s="27">
        <v>3</v>
      </c>
      <c r="F2270" s="28">
        <v>2577.6350000000002</v>
      </c>
      <c r="G2270" s="29">
        <v>0.51</v>
      </c>
      <c r="H2270" s="28">
        <f t="shared" si="72"/>
        <v>7732.9050000000007</v>
      </c>
      <c r="I2270" s="30">
        <v>45347</v>
      </c>
      <c r="J2270" s="26" t="s">
        <v>43</v>
      </c>
      <c r="K2270" s="26" t="s">
        <v>16</v>
      </c>
      <c r="L2270" s="31">
        <f t="shared" si="73"/>
        <v>3789.12345</v>
      </c>
      <c r="M2270" s="31">
        <v>454.74</v>
      </c>
      <c r="N2270" s="22">
        <f>_xlfn.XLOOKUP(Snitch_Fashion_Sales_cleaned!$J2270,Table2[City],Table2[City_Key],"not found")</f>
        <v>6</v>
      </c>
      <c r="O2270" s="21">
        <f>_xlfn.XLOOKUP(Snitch_Fashion_Sales_cleaned!$D2270,Table4[Product_Name],Table4[Product_Key],"not found")</f>
        <v>8</v>
      </c>
      <c r="P2270" s="25">
        <f>_xlfn.XLOOKUP(Snitch_Fashion_Sales_cleaned!$I2270,Table3[Order_Date],Table3[Date_Key])</f>
        <v>545</v>
      </c>
    </row>
    <row r="2271" spans="1:16" x14ac:dyDescent="0.3">
      <c r="A2271" s="34">
        <v>3269</v>
      </c>
      <c r="B2271" s="32" t="s">
        <v>2284</v>
      </c>
      <c r="C2271" s="32" t="s">
        <v>31</v>
      </c>
      <c r="D2271" s="33" t="s">
        <v>32</v>
      </c>
      <c r="E2271" s="34">
        <v>4</v>
      </c>
      <c r="F2271" s="35">
        <v>2998.25</v>
      </c>
      <c r="G2271" s="36">
        <v>0.51</v>
      </c>
      <c r="H2271" s="35">
        <f t="shared" si="72"/>
        <v>11993</v>
      </c>
      <c r="I2271" s="37">
        <v>45380</v>
      </c>
      <c r="J2271" s="33" t="s">
        <v>18</v>
      </c>
      <c r="K2271" s="33" t="s">
        <v>23</v>
      </c>
      <c r="L2271" s="38">
        <f t="shared" si="73"/>
        <v>5876.57</v>
      </c>
      <c r="M2271" s="38">
        <v>-781.65</v>
      </c>
      <c r="N2271" s="24">
        <f>_xlfn.XLOOKUP(Snitch_Fashion_Sales_cleaned!$J2271,Table2[City],Table2[City_Key],"not found")</f>
        <v>2</v>
      </c>
      <c r="O2271" s="23">
        <f>_xlfn.XLOOKUP(Snitch_Fashion_Sales_cleaned!$D2271,Table4[Product_Name],Table4[Product_Key],"not found")</f>
        <v>5</v>
      </c>
      <c r="P2271" s="32">
        <f>_xlfn.XLOOKUP(Snitch_Fashion_Sales_cleaned!$I2271,Table3[Order_Date],Table3[Date_Key])</f>
        <v>304</v>
      </c>
    </row>
    <row r="2272" spans="1:16" x14ac:dyDescent="0.3">
      <c r="A2272" s="27">
        <v>3270</v>
      </c>
      <c r="B2272" s="25" t="s">
        <v>2285</v>
      </c>
      <c r="C2272" s="25" t="s">
        <v>31</v>
      </c>
      <c r="D2272" s="26" t="s">
        <v>41</v>
      </c>
      <c r="E2272" s="27">
        <v>3</v>
      </c>
      <c r="F2272" s="28">
        <v>3190.74</v>
      </c>
      <c r="G2272" s="29">
        <v>0.96</v>
      </c>
      <c r="H2272" s="28">
        <f t="shared" si="72"/>
        <v>9572.2199999999993</v>
      </c>
      <c r="I2272" s="30">
        <v>45647</v>
      </c>
      <c r="J2272" s="26" t="s">
        <v>18</v>
      </c>
      <c r="K2272" s="26" t="s">
        <v>23</v>
      </c>
      <c r="L2272" s="31">
        <f t="shared" si="73"/>
        <v>382.88880000000029</v>
      </c>
      <c r="M2272" s="31">
        <v>95.722200000000072</v>
      </c>
      <c r="N2272" s="22">
        <f>_xlfn.XLOOKUP(Snitch_Fashion_Sales_cleaned!$J2272,Table2[City],Table2[City_Key],"not found")</f>
        <v>2</v>
      </c>
      <c r="O2272" s="21">
        <f>_xlfn.XLOOKUP(Snitch_Fashion_Sales_cleaned!$D2272,Table4[Product_Name],Table4[Product_Key],"not found")</f>
        <v>9</v>
      </c>
      <c r="P2272" s="25">
        <f>_xlfn.XLOOKUP(Snitch_Fashion_Sales_cleaned!$I2272,Table3[Order_Date],Table3[Date_Key])</f>
        <v>5</v>
      </c>
    </row>
    <row r="2273" spans="1:16" x14ac:dyDescent="0.3">
      <c r="A2273" s="34">
        <v>3271</v>
      </c>
      <c r="B2273" s="32" t="s">
        <v>2286</v>
      </c>
      <c r="C2273" s="32" t="s">
        <v>28</v>
      </c>
      <c r="D2273" s="33" t="s">
        <v>116</v>
      </c>
      <c r="E2273" s="34">
        <v>4</v>
      </c>
      <c r="F2273" s="35">
        <v>2672.26</v>
      </c>
      <c r="G2273" s="36">
        <v>0.28999999999999998</v>
      </c>
      <c r="H2273" s="35">
        <f t="shared" si="72"/>
        <v>10689.04</v>
      </c>
      <c r="I2273" s="37">
        <v>45662</v>
      </c>
      <c r="J2273" s="33" t="s">
        <v>18</v>
      </c>
      <c r="K2273" s="33" t="s">
        <v>16</v>
      </c>
      <c r="L2273" s="38">
        <f t="shared" si="73"/>
        <v>7589.2184000000007</v>
      </c>
      <c r="M2273" s="38">
        <v>722.57</v>
      </c>
      <c r="N2273" s="24">
        <f>_xlfn.XLOOKUP(Snitch_Fashion_Sales_cleaned!$J2273,Table2[City],Table2[City_Key],"not found")</f>
        <v>2</v>
      </c>
      <c r="O2273" s="23">
        <f>_xlfn.XLOOKUP(Snitch_Fashion_Sales_cleaned!$D2273,Table4[Product_Name],Table4[Product_Key],"not found")</f>
        <v>22</v>
      </c>
      <c r="P2273" s="32">
        <f>_xlfn.XLOOKUP(Snitch_Fashion_Sales_cleaned!$I2273,Table3[Order_Date],Table3[Date_Key])</f>
        <v>302</v>
      </c>
    </row>
    <row r="2274" spans="1:16" x14ac:dyDescent="0.3">
      <c r="A2274" s="27">
        <v>3272</v>
      </c>
      <c r="B2274" s="25" t="s">
        <v>1629</v>
      </c>
      <c r="C2274" s="25" t="s">
        <v>25</v>
      </c>
      <c r="D2274" s="26" t="s">
        <v>82</v>
      </c>
      <c r="E2274" s="27">
        <v>3</v>
      </c>
      <c r="F2274" s="28">
        <v>4236.45</v>
      </c>
      <c r="G2274" s="29">
        <v>0.51</v>
      </c>
      <c r="H2274" s="28">
        <f t="shared" si="72"/>
        <v>12709.349999999999</v>
      </c>
      <c r="I2274" s="30">
        <v>45531</v>
      </c>
      <c r="J2274" s="26" t="s">
        <v>22</v>
      </c>
      <c r="K2274" s="26" t="s">
        <v>16</v>
      </c>
      <c r="L2274" s="31">
        <f t="shared" si="73"/>
        <v>6227.5814999999993</v>
      </c>
      <c r="M2274" s="31">
        <v>-849.83</v>
      </c>
      <c r="N2274" s="22">
        <f>_xlfn.XLOOKUP(Snitch_Fashion_Sales_cleaned!$J2274,Table2[City],Table2[City_Key],"not found")</f>
        <v>3</v>
      </c>
      <c r="O2274" s="21">
        <f>_xlfn.XLOOKUP(Snitch_Fashion_Sales_cleaned!$D2274,Table4[Product_Name],Table4[Product_Key],"not found")</f>
        <v>18</v>
      </c>
      <c r="P2274" s="25">
        <f>_xlfn.XLOOKUP(Snitch_Fashion_Sales_cleaned!$I2274,Table3[Order_Date],Table3[Date_Key])</f>
        <v>117</v>
      </c>
    </row>
    <row r="2275" spans="1:16" x14ac:dyDescent="0.3">
      <c r="A2275" s="34">
        <v>3273</v>
      </c>
      <c r="B2275" s="32" t="s">
        <v>1297</v>
      </c>
      <c r="C2275" s="32" t="s">
        <v>25</v>
      </c>
      <c r="D2275" s="33" t="s">
        <v>82</v>
      </c>
      <c r="E2275" s="34">
        <v>3</v>
      </c>
      <c r="F2275" s="35">
        <v>4089.68</v>
      </c>
      <c r="G2275" s="36">
        <v>0.51</v>
      </c>
      <c r="H2275" s="35">
        <f t="shared" si="72"/>
        <v>12269.039999999999</v>
      </c>
      <c r="I2275" s="37">
        <v>45516</v>
      </c>
      <c r="J2275" s="33" t="s">
        <v>2540</v>
      </c>
      <c r="K2275" s="33" t="s">
        <v>23</v>
      </c>
      <c r="L2275" s="38">
        <f t="shared" si="73"/>
        <v>6011.8295999999991</v>
      </c>
      <c r="M2275" s="38">
        <v>-713.14</v>
      </c>
      <c r="N2275" s="24">
        <f>_xlfn.XLOOKUP(Snitch_Fashion_Sales_cleaned!$J2275,Table2[City],Table2[City_Key],"not found")</f>
        <v>4</v>
      </c>
      <c r="O2275" s="23">
        <f>_xlfn.XLOOKUP(Snitch_Fashion_Sales_cleaned!$D2275,Table4[Product_Name],Table4[Product_Key],"not found")</f>
        <v>18</v>
      </c>
      <c r="P2275" s="32">
        <f>_xlfn.XLOOKUP(Snitch_Fashion_Sales_cleaned!$I2275,Table3[Order_Date],Table3[Date_Key])</f>
        <v>299</v>
      </c>
    </row>
    <row r="2276" spans="1:16" x14ac:dyDescent="0.3">
      <c r="A2276" s="27">
        <v>3274</v>
      </c>
      <c r="B2276" s="25" t="s">
        <v>2287</v>
      </c>
      <c r="C2276" s="25" t="s">
        <v>36</v>
      </c>
      <c r="D2276" s="26" t="s">
        <v>37</v>
      </c>
      <c r="E2276" s="27">
        <v>4</v>
      </c>
      <c r="F2276" s="28">
        <v>4409.22</v>
      </c>
      <c r="G2276" s="29">
        <v>0.51</v>
      </c>
      <c r="H2276" s="28">
        <f t="shared" si="72"/>
        <v>17636.88</v>
      </c>
      <c r="I2276" s="30">
        <v>45534</v>
      </c>
      <c r="J2276" s="26" t="s">
        <v>15</v>
      </c>
      <c r="K2276" s="26" t="s">
        <v>16</v>
      </c>
      <c r="L2276" s="31">
        <f t="shared" si="73"/>
        <v>8642.0712000000003</v>
      </c>
      <c r="M2276" s="31">
        <v>2886.62</v>
      </c>
      <c r="N2276" s="22">
        <f>_xlfn.XLOOKUP(Snitch_Fashion_Sales_cleaned!$J2276,Table2[City],Table2[City_Key],"not found")</f>
        <v>1</v>
      </c>
      <c r="O2276" s="21">
        <f>_xlfn.XLOOKUP(Snitch_Fashion_Sales_cleaned!$D2276,Table4[Product_Name],Table4[Product_Key],"not found")</f>
        <v>7</v>
      </c>
      <c r="P2276" s="25">
        <f>_xlfn.XLOOKUP(Snitch_Fashion_Sales_cleaned!$I2276,Table3[Order_Date],Table3[Date_Key])</f>
        <v>546</v>
      </c>
    </row>
    <row r="2277" spans="1:16" x14ac:dyDescent="0.3">
      <c r="A2277" s="34">
        <v>3275</v>
      </c>
      <c r="B2277" s="32" t="s">
        <v>2288</v>
      </c>
      <c r="C2277" s="32" t="s">
        <v>28</v>
      </c>
      <c r="D2277" s="33" t="s">
        <v>116</v>
      </c>
      <c r="E2277" s="34">
        <v>6</v>
      </c>
      <c r="F2277" s="35">
        <v>2785.79</v>
      </c>
      <c r="G2277" s="36">
        <v>0.51</v>
      </c>
      <c r="H2277" s="35">
        <f t="shared" si="72"/>
        <v>16714.739999999998</v>
      </c>
      <c r="I2277" s="37">
        <v>45520</v>
      </c>
      <c r="J2277" s="33" t="s">
        <v>18</v>
      </c>
      <c r="K2277" s="33" t="s">
        <v>16</v>
      </c>
      <c r="L2277" s="38">
        <f t="shared" si="73"/>
        <v>8190.2225999999991</v>
      </c>
      <c r="M2277" s="38">
        <v>-733.06</v>
      </c>
      <c r="N2277" s="24">
        <f>_xlfn.XLOOKUP(Snitch_Fashion_Sales_cleaned!$J2277,Table2[City],Table2[City_Key],"not found")</f>
        <v>2</v>
      </c>
      <c r="O2277" s="23">
        <f>_xlfn.XLOOKUP(Snitch_Fashion_Sales_cleaned!$D2277,Table4[Product_Name],Table4[Product_Key],"not found")</f>
        <v>22</v>
      </c>
      <c r="P2277" s="32">
        <f>_xlfn.XLOOKUP(Snitch_Fashion_Sales_cleaned!$I2277,Table3[Order_Date],Table3[Date_Key])</f>
        <v>321</v>
      </c>
    </row>
    <row r="2278" spans="1:16" x14ac:dyDescent="0.3">
      <c r="A2278" s="27">
        <v>3276</v>
      </c>
      <c r="B2278" s="25" t="s">
        <v>2289</v>
      </c>
      <c r="C2278" s="25" t="s">
        <v>31</v>
      </c>
      <c r="D2278" s="26" t="s">
        <v>41</v>
      </c>
      <c r="E2278" s="27">
        <v>6</v>
      </c>
      <c r="F2278" s="28">
        <v>3027.66</v>
      </c>
      <c r="G2278" s="29">
        <v>0.51</v>
      </c>
      <c r="H2278" s="28">
        <f t="shared" si="72"/>
        <v>18165.96</v>
      </c>
      <c r="I2278" s="30">
        <v>45664</v>
      </c>
      <c r="J2278" s="26" t="s">
        <v>43</v>
      </c>
      <c r="K2278" s="26" t="s">
        <v>16</v>
      </c>
      <c r="L2278" s="31">
        <f t="shared" si="73"/>
        <v>8901.3203999999987</v>
      </c>
      <c r="M2278" s="31">
        <v>-659.65</v>
      </c>
      <c r="N2278" s="22">
        <f>_xlfn.XLOOKUP(Snitch_Fashion_Sales_cleaned!$J2278,Table2[City],Table2[City_Key],"not found")</f>
        <v>6</v>
      </c>
      <c r="O2278" s="21">
        <f>_xlfn.XLOOKUP(Snitch_Fashion_Sales_cleaned!$D2278,Table4[Product_Name],Table4[Product_Key],"not found")</f>
        <v>9</v>
      </c>
      <c r="P2278" s="25">
        <f>_xlfn.XLOOKUP(Snitch_Fashion_Sales_cleaned!$I2278,Table3[Order_Date],Table3[Date_Key])</f>
        <v>52</v>
      </c>
    </row>
    <row r="2279" spans="1:16" x14ac:dyDescent="0.3">
      <c r="A2279" s="34">
        <v>3277</v>
      </c>
      <c r="B2279" s="32" t="s">
        <v>2290</v>
      </c>
      <c r="C2279" s="32" t="s">
        <v>20</v>
      </c>
      <c r="D2279" s="33" t="s">
        <v>84</v>
      </c>
      <c r="E2279" s="34">
        <v>3</v>
      </c>
      <c r="F2279" s="35">
        <v>3583.06</v>
      </c>
      <c r="G2279" s="36">
        <v>0.51</v>
      </c>
      <c r="H2279" s="35">
        <f t="shared" si="72"/>
        <v>10749.18</v>
      </c>
      <c r="I2279" s="37">
        <v>45647</v>
      </c>
      <c r="J2279" s="33" t="s">
        <v>18</v>
      </c>
      <c r="K2279" s="33" t="s">
        <v>16</v>
      </c>
      <c r="L2279" s="38">
        <f t="shared" si="73"/>
        <v>5267.0982000000004</v>
      </c>
      <c r="M2279" s="38">
        <v>2185.25</v>
      </c>
      <c r="N2279" s="24">
        <f>_xlfn.XLOOKUP(Snitch_Fashion_Sales_cleaned!$J2279,Table2[City],Table2[City_Key],"not found")</f>
        <v>2</v>
      </c>
      <c r="O2279" s="23">
        <f>_xlfn.XLOOKUP(Snitch_Fashion_Sales_cleaned!$D2279,Table4[Product_Name],Table4[Product_Key],"not found")</f>
        <v>19</v>
      </c>
      <c r="P2279" s="32">
        <f>_xlfn.XLOOKUP(Snitch_Fashion_Sales_cleaned!$I2279,Table3[Order_Date],Table3[Date_Key])</f>
        <v>5</v>
      </c>
    </row>
    <row r="2280" spans="1:16" x14ac:dyDescent="0.3">
      <c r="A2280" s="27">
        <v>3278</v>
      </c>
      <c r="B2280" s="25" t="s">
        <v>2291</v>
      </c>
      <c r="C2280" s="25" t="s">
        <v>28</v>
      </c>
      <c r="D2280" s="26" t="s">
        <v>29</v>
      </c>
      <c r="E2280" s="27">
        <v>3</v>
      </c>
      <c r="F2280" s="28">
        <v>3767.69</v>
      </c>
      <c r="G2280" s="29">
        <v>0.46</v>
      </c>
      <c r="H2280" s="28">
        <f t="shared" si="72"/>
        <v>11303.07</v>
      </c>
      <c r="I2280" s="30">
        <v>45556</v>
      </c>
      <c r="J2280" s="26" t="s">
        <v>2540</v>
      </c>
      <c r="K2280" s="26" t="s">
        <v>16</v>
      </c>
      <c r="L2280" s="31">
        <f t="shared" si="73"/>
        <v>6103.6578</v>
      </c>
      <c r="M2280" s="31">
        <v>746.84</v>
      </c>
      <c r="N2280" s="22">
        <f>_xlfn.XLOOKUP(Snitch_Fashion_Sales_cleaned!$J2280,Table2[City],Table2[City_Key],"not found")</f>
        <v>4</v>
      </c>
      <c r="O2280" s="21">
        <f>_xlfn.XLOOKUP(Snitch_Fashion_Sales_cleaned!$D2280,Table4[Product_Name],Table4[Product_Key],"not found")</f>
        <v>4</v>
      </c>
      <c r="P2280" s="25">
        <f>_xlfn.XLOOKUP(Snitch_Fashion_Sales_cleaned!$I2280,Table3[Order_Date],Table3[Date_Key])</f>
        <v>11</v>
      </c>
    </row>
    <row r="2281" spans="1:16" x14ac:dyDescent="0.3">
      <c r="A2281" s="34">
        <v>3279</v>
      </c>
      <c r="B2281" s="32" t="s">
        <v>2292</v>
      </c>
      <c r="C2281" s="32" t="s">
        <v>28</v>
      </c>
      <c r="D2281" s="33" t="s">
        <v>116</v>
      </c>
      <c r="E2281" s="34">
        <v>4</v>
      </c>
      <c r="F2281" s="35">
        <v>4643.96</v>
      </c>
      <c r="G2281" s="36">
        <v>0.82</v>
      </c>
      <c r="H2281" s="35">
        <f t="shared" si="72"/>
        <v>18575.84</v>
      </c>
      <c r="I2281" s="37">
        <v>45553</v>
      </c>
      <c r="J2281" s="33" t="s">
        <v>2540</v>
      </c>
      <c r="K2281" s="33" t="s">
        <v>16</v>
      </c>
      <c r="L2281" s="38">
        <f t="shared" si="73"/>
        <v>3343.6512000000012</v>
      </c>
      <c r="M2281" s="38">
        <v>2569.86</v>
      </c>
      <c r="N2281" s="24">
        <f>_xlfn.XLOOKUP(Snitch_Fashion_Sales_cleaned!$J2281,Table2[City],Table2[City_Key],"not found")</f>
        <v>4</v>
      </c>
      <c r="O2281" s="23">
        <f>_xlfn.XLOOKUP(Snitch_Fashion_Sales_cleaned!$D2281,Table4[Product_Name],Table4[Product_Key],"not found")</f>
        <v>22</v>
      </c>
      <c r="P2281" s="32">
        <f>_xlfn.XLOOKUP(Snitch_Fashion_Sales_cleaned!$I2281,Table3[Order_Date],Table3[Date_Key])</f>
        <v>430</v>
      </c>
    </row>
    <row r="2282" spans="1:16" x14ac:dyDescent="0.3">
      <c r="A2282" s="27">
        <v>3280</v>
      </c>
      <c r="B2282" s="25" t="s">
        <v>2293</v>
      </c>
      <c r="C2282" s="25" t="s">
        <v>36</v>
      </c>
      <c r="D2282" s="26" t="s">
        <v>59</v>
      </c>
      <c r="E2282" s="27">
        <v>3</v>
      </c>
      <c r="F2282" s="28">
        <v>2765.26</v>
      </c>
      <c r="G2282" s="29">
        <v>0.51</v>
      </c>
      <c r="H2282" s="28">
        <f t="shared" si="72"/>
        <v>8295.7800000000007</v>
      </c>
      <c r="I2282" s="30">
        <v>45211</v>
      </c>
      <c r="J2282" s="26" t="s">
        <v>52</v>
      </c>
      <c r="K2282" s="26" t="s">
        <v>23</v>
      </c>
      <c r="L2282" s="31">
        <f t="shared" si="73"/>
        <v>4064.9322000000002</v>
      </c>
      <c r="M2282" s="31">
        <v>601.65</v>
      </c>
      <c r="N2282" s="22">
        <f>_xlfn.XLOOKUP(Snitch_Fashion_Sales_cleaned!$J2282,Table2[City],Table2[City_Key],"not found")</f>
        <v>5</v>
      </c>
      <c r="O2282" s="21">
        <f>_xlfn.XLOOKUP(Snitch_Fashion_Sales_cleaned!$D2282,Table4[Product_Name],Table4[Product_Key],"not found")</f>
        <v>13</v>
      </c>
      <c r="P2282" s="25">
        <f>_xlfn.XLOOKUP(Snitch_Fashion_Sales_cleaned!$I2282,Table3[Order_Date],Table3[Date_Key])</f>
        <v>547</v>
      </c>
    </row>
    <row r="2283" spans="1:16" x14ac:dyDescent="0.3">
      <c r="A2283" s="34">
        <v>3281</v>
      </c>
      <c r="B2283" s="32" t="s">
        <v>2294</v>
      </c>
      <c r="C2283" s="32" t="s">
        <v>20</v>
      </c>
      <c r="D2283" s="33" t="s">
        <v>76</v>
      </c>
      <c r="E2283" s="34">
        <v>3</v>
      </c>
      <c r="F2283" s="35">
        <v>2229.4899999999998</v>
      </c>
      <c r="G2283" s="36">
        <v>0.23</v>
      </c>
      <c r="H2283" s="35">
        <f t="shared" si="72"/>
        <v>6688.4699999999993</v>
      </c>
      <c r="I2283" s="37">
        <v>45387</v>
      </c>
      <c r="J2283" s="33" t="s">
        <v>2540</v>
      </c>
      <c r="K2283" s="33" t="s">
        <v>23</v>
      </c>
      <c r="L2283" s="38">
        <f t="shared" si="73"/>
        <v>5150.1218999999992</v>
      </c>
      <c r="M2283" s="38">
        <v>1469.72</v>
      </c>
      <c r="N2283" s="24">
        <f>_xlfn.XLOOKUP(Snitch_Fashion_Sales_cleaned!$J2283,Table2[City],Table2[City_Key],"not found")</f>
        <v>4</v>
      </c>
      <c r="O2283" s="23">
        <f>_xlfn.XLOOKUP(Snitch_Fashion_Sales_cleaned!$D2283,Table4[Product_Name],Table4[Product_Key],"not found")</f>
        <v>16</v>
      </c>
      <c r="P2283" s="32">
        <f>_xlfn.XLOOKUP(Snitch_Fashion_Sales_cleaned!$I2283,Table3[Order_Date],Table3[Date_Key])</f>
        <v>548</v>
      </c>
    </row>
    <row r="2284" spans="1:16" x14ac:dyDescent="0.3">
      <c r="A2284" s="27">
        <v>3282</v>
      </c>
      <c r="B2284" s="25" t="s">
        <v>2295</v>
      </c>
      <c r="C2284" s="25" t="s">
        <v>13</v>
      </c>
      <c r="D2284" s="26" t="s">
        <v>98</v>
      </c>
      <c r="E2284" s="27">
        <v>2</v>
      </c>
      <c r="F2284" s="28">
        <v>4405.96</v>
      </c>
      <c r="G2284" s="29">
        <v>0.28000000000000003</v>
      </c>
      <c r="H2284" s="28">
        <f t="shared" si="72"/>
        <v>8811.92</v>
      </c>
      <c r="I2284" s="30">
        <v>45528</v>
      </c>
      <c r="J2284" s="26" t="s">
        <v>2540</v>
      </c>
      <c r="K2284" s="26" t="s">
        <v>23</v>
      </c>
      <c r="L2284" s="31">
        <f t="shared" si="73"/>
        <v>6344.5824000000002</v>
      </c>
      <c r="M2284" s="31">
        <v>503.27</v>
      </c>
      <c r="N2284" s="22">
        <f>_xlfn.XLOOKUP(Snitch_Fashion_Sales_cleaned!$J2284,Table2[City],Table2[City_Key],"not found")</f>
        <v>4</v>
      </c>
      <c r="O2284" s="21">
        <f>_xlfn.XLOOKUP(Snitch_Fashion_Sales_cleaned!$D2284,Table4[Product_Name],Table4[Product_Key],"not found")</f>
        <v>21</v>
      </c>
      <c r="P2284" s="25">
        <f>_xlfn.XLOOKUP(Snitch_Fashion_Sales_cleaned!$I2284,Table3[Order_Date],Table3[Date_Key])</f>
        <v>527</v>
      </c>
    </row>
    <row r="2285" spans="1:16" x14ac:dyDescent="0.3">
      <c r="A2285" s="34">
        <v>3283</v>
      </c>
      <c r="B2285" s="32" t="s">
        <v>2296</v>
      </c>
      <c r="C2285" s="32" t="s">
        <v>36</v>
      </c>
      <c r="D2285" s="33" t="s">
        <v>37</v>
      </c>
      <c r="E2285" s="34">
        <v>3</v>
      </c>
      <c r="F2285" s="35">
        <v>2975.64</v>
      </c>
      <c r="G2285" s="36">
        <v>0.51</v>
      </c>
      <c r="H2285" s="35">
        <f t="shared" si="72"/>
        <v>8926.92</v>
      </c>
      <c r="I2285" s="37">
        <v>45647</v>
      </c>
      <c r="J2285" s="33" t="s">
        <v>22</v>
      </c>
      <c r="K2285" s="33" t="s">
        <v>16</v>
      </c>
      <c r="L2285" s="38">
        <f t="shared" si="73"/>
        <v>4374.1908000000003</v>
      </c>
      <c r="M2285" s="38">
        <v>1653.09</v>
      </c>
      <c r="N2285" s="24">
        <f>_xlfn.XLOOKUP(Snitch_Fashion_Sales_cleaned!$J2285,Table2[City],Table2[City_Key],"not found")</f>
        <v>3</v>
      </c>
      <c r="O2285" s="23">
        <f>_xlfn.XLOOKUP(Snitch_Fashion_Sales_cleaned!$D2285,Table4[Product_Name],Table4[Product_Key],"not found")</f>
        <v>7</v>
      </c>
      <c r="P2285" s="32">
        <f>_xlfn.XLOOKUP(Snitch_Fashion_Sales_cleaned!$I2285,Table3[Order_Date],Table3[Date_Key])</f>
        <v>5</v>
      </c>
    </row>
    <row r="2286" spans="1:16" x14ac:dyDescent="0.3">
      <c r="A2286" s="27">
        <v>3284</v>
      </c>
      <c r="B2286" s="25" t="s">
        <v>2297</v>
      </c>
      <c r="C2286" s="25" t="s">
        <v>28</v>
      </c>
      <c r="D2286" s="26" t="s">
        <v>39</v>
      </c>
      <c r="E2286" s="27">
        <v>2</v>
      </c>
      <c r="F2286" s="28">
        <v>2577.6350000000002</v>
      </c>
      <c r="G2286" s="29">
        <v>0.51</v>
      </c>
      <c r="H2286" s="28">
        <f t="shared" si="72"/>
        <v>5155.2700000000004</v>
      </c>
      <c r="I2286" s="30">
        <v>45735</v>
      </c>
      <c r="J2286" s="26" t="s">
        <v>15</v>
      </c>
      <c r="K2286" s="26" t="s">
        <v>16</v>
      </c>
      <c r="L2286" s="31">
        <f t="shared" si="73"/>
        <v>2526.0823</v>
      </c>
      <c r="M2286" s="31">
        <v>1560.64</v>
      </c>
      <c r="N2286" s="22">
        <f>_xlfn.XLOOKUP(Snitch_Fashion_Sales_cleaned!$J2286,Table2[City],Table2[City_Key],"not found")</f>
        <v>1</v>
      </c>
      <c r="O2286" s="21">
        <f>_xlfn.XLOOKUP(Snitch_Fashion_Sales_cleaned!$D2286,Table4[Product_Name],Table4[Product_Key],"not found")</f>
        <v>8</v>
      </c>
      <c r="P2286" s="25">
        <f>_xlfn.XLOOKUP(Snitch_Fashion_Sales_cleaned!$I2286,Table3[Order_Date],Table3[Date_Key])</f>
        <v>15</v>
      </c>
    </row>
    <row r="2287" spans="1:16" x14ac:dyDescent="0.3">
      <c r="A2287" s="34">
        <v>3285</v>
      </c>
      <c r="B2287" s="32" t="s">
        <v>2298</v>
      </c>
      <c r="C2287" s="32" t="s">
        <v>31</v>
      </c>
      <c r="D2287" s="33" t="s">
        <v>78</v>
      </c>
      <c r="E2287" s="34">
        <v>4</v>
      </c>
      <c r="F2287" s="35">
        <v>4347.43</v>
      </c>
      <c r="G2287" s="36">
        <v>0.51</v>
      </c>
      <c r="H2287" s="35">
        <f t="shared" si="72"/>
        <v>17389.72</v>
      </c>
      <c r="I2287" s="37">
        <v>45709</v>
      </c>
      <c r="J2287" s="33" t="s">
        <v>15</v>
      </c>
      <c r="K2287" s="33" t="s">
        <v>23</v>
      </c>
      <c r="L2287" s="38">
        <f t="shared" si="73"/>
        <v>8520.9628000000012</v>
      </c>
      <c r="M2287" s="38">
        <v>1440.27</v>
      </c>
      <c r="N2287" s="24">
        <f>_xlfn.XLOOKUP(Snitch_Fashion_Sales_cleaned!$J2287,Table2[City],Table2[City_Key],"not found")</f>
        <v>1</v>
      </c>
      <c r="O2287" s="23">
        <f>_xlfn.XLOOKUP(Snitch_Fashion_Sales_cleaned!$D2287,Table4[Product_Name],Table4[Product_Key],"not found")</f>
        <v>17</v>
      </c>
      <c r="P2287" s="32">
        <f>_xlfn.XLOOKUP(Snitch_Fashion_Sales_cleaned!$I2287,Table3[Order_Date],Table3[Date_Key])</f>
        <v>359</v>
      </c>
    </row>
    <row r="2288" spans="1:16" x14ac:dyDescent="0.3">
      <c r="A2288" s="27">
        <v>3286</v>
      </c>
      <c r="B2288" s="25" t="s">
        <v>2299</v>
      </c>
      <c r="C2288" s="25" t="s">
        <v>20</v>
      </c>
      <c r="D2288" s="26" t="s">
        <v>84</v>
      </c>
      <c r="E2288" s="27">
        <v>3</v>
      </c>
      <c r="F2288" s="28">
        <v>2537.59</v>
      </c>
      <c r="G2288" s="29">
        <v>0.51</v>
      </c>
      <c r="H2288" s="28">
        <f t="shared" si="72"/>
        <v>7612.77</v>
      </c>
      <c r="I2288" s="30">
        <v>45852</v>
      </c>
      <c r="J2288" s="26" t="s">
        <v>52</v>
      </c>
      <c r="K2288" s="26" t="s">
        <v>23</v>
      </c>
      <c r="L2288" s="31">
        <f t="shared" si="73"/>
        <v>3730.2573000000002</v>
      </c>
      <c r="M2288" s="31">
        <v>2616.2800000000002</v>
      </c>
      <c r="N2288" s="22">
        <f>_xlfn.XLOOKUP(Snitch_Fashion_Sales_cleaned!$J2288,Table2[City],Table2[City_Key],"not found")</f>
        <v>5</v>
      </c>
      <c r="O2288" s="21">
        <f>_xlfn.XLOOKUP(Snitch_Fashion_Sales_cleaned!$D2288,Table4[Product_Name],Table4[Product_Key],"not found")</f>
        <v>19</v>
      </c>
      <c r="P2288" s="25">
        <f>_xlfn.XLOOKUP(Snitch_Fashion_Sales_cleaned!$I2288,Table3[Order_Date],Table3[Date_Key])</f>
        <v>44</v>
      </c>
    </row>
    <row r="2289" spans="1:16" x14ac:dyDescent="0.3">
      <c r="A2289" s="34">
        <v>3287</v>
      </c>
      <c r="B2289" s="32" t="s">
        <v>214</v>
      </c>
      <c r="C2289" s="32" t="s">
        <v>20</v>
      </c>
      <c r="D2289" s="33" t="s">
        <v>118</v>
      </c>
      <c r="E2289" s="34">
        <v>3.5</v>
      </c>
      <c r="F2289" s="35">
        <v>2752.99</v>
      </c>
      <c r="G2289" s="36">
        <v>0.21</v>
      </c>
      <c r="H2289" s="35">
        <f t="shared" si="72"/>
        <v>9635.4650000000001</v>
      </c>
      <c r="I2289" s="37">
        <v>45713</v>
      </c>
      <c r="J2289" s="33" t="s">
        <v>2540</v>
      </c>
      <c r="K2289" s="33" t="s">
        <v>16</v>
      </c>
      <c r="L2289" s="38">
        <f t="shared" si="73"/>
        <v>7612.0173500000001</v>
      </c>
      <c r="M2289" s="38">
        <v>1684.69</v>
      </c>
      <c r="N2289" s="24">
        <f>_xlfn.XLOOKUP(Snitch_Fashion_Sales_cleaned!$J2289,Table2[City],Table2[City_Key],"not found")</f>
        <v>4</v>
      </c>
      <c r="O2289" s="23">
        <f>_xlfn.XLOOKUP(Snitch_Fashion_Sales_cleaned!$D2289,Table4[Product_Name],Table4[Product_Key],"not found")</f>
        <v>23</v>
      </c>
      <c r="P2289" s="32">
        <f>_xlfn.XLOOKUP(Snitch_Fashion_Sales_cleaned!$I2289,Table3[Order_Date],Table3[Date_Key])</f>
        <v>549</v>
      </c>
    </row>
    <row r="2290" spans="1:16" x14ac:dyDescent="0.3">
      <c r="A2290" s="27">
        <v>3288</v>
      </c>
      <c r="B2290" s="25" t="s">
        <v>2300</v>
      </c>
      <c r="C2290" s="25" t="s">
        <v>20</v>
      </c>
      <c r="D2290" s="26" t="s">
        <v>76</v>
      </c>
      <c r="E2290" s="27">
        <v>5</v>
      </c>
      <c r="F2290" s="28">
        <v>2229.4899999999998</v>
      </c>
      <c r="G2290" s="29">
        <v>0.51</v>
      </c>
      <c r="H2290" s="28">
        <f t="shared" si="72"/>
        <v>11147.449999999999</v>
      </c>
      <c r="I2290" s="30">
        <v>45647</v>
      </c>
      <c r="J2290" s="26" t="s">
        <v>2540</v>
      </c>
      <c r="K2290" s="26" t="s">
        <v>16</v>
      </c>
      <c r="L2290" s="31">
        <f t="shared" si="73"/>
        <v>5462.2504999999992</v>
      </c>
      <c r="M2290" s="31">
        <v>1657.65</v>
      </c>
      <c r="N2290" s="22">
        <f>_xlfn.XLOOKUP(Snitch_Fashion_Sales_cleaned!$J2290,Table2[City],Table2[City_Key],"not found")</f>
        <v>4</v>
      </c>
      <c r="O2290" s="21">
        <f>_xlfn.XLOOKUP(Snitch_Fashion_Sales_cleaned!$D2290,Table4[Product_Name],Table4[Product_Key],"not found")</f>
        <v>16</v>
      </c>
      <c r="P2290" s="25">
        <f>_xlfn.XLOOKUP(Snitch_Fashion_Sales_cleaned!$I2290,Table3[Order_Date],Table3[Date_Key])</f>
        <v>5</v>
      </c>
    </row>
    <row r="2291" spans="1:16" x14ac:dyDescent="0.3">
      <c r="A2291" s="34">
        <v>3289</v>
      </c>
      <c r="B2291" s="32" t="s">
        <v>2301</v>
      </c>
      <c r="C2291" s="32" t="s">
        <v>28</v>
      </c>
      <c r="D2291" s="33" t="s">
        <v>39</v>
      </c>
      <c r="E2291" s="34">
        <v>3</v>
      </c>
      <c r="F2291" s="35">
        <v>2577.6350000000002</v>
      </c>
      <c r="G2291" s="36">
        <v>0.51</v>
      </c>
      <c r="H2291" s="35">
        <f t="shared" si="72"/>
        <v>7732.9050000000007</v>
      </c>
      <c r="I2291" s="37">
        <v>45647</v>
      </c>
      <c r="J2291" s="33" t="s">
        <v>18</v>
      </c>
      <c r="K2291" s="33" t="s">
        <v>23</v>
      </c>
      <c r="L2291" s="38">
        <f t="shared" si="73"/>
        <v>3789.12345</v>
      </c>
      <c r="M2291" s="38">
        <v>-272.83999999999997</v>
      </c>
      <c r="N2291" s="24">
        <f>_xlfn.XLOOKUP(Snitch_Fashion_Sales_cleaned!$J2291,Table2[City],Table2[City_Key],"not found")</f>
        <v>2</v>
      </c>
      <c r="O2291" s="23">
        <f>_xlfn.XLOOKUP(Snitch_Fashion_Sales_cleaned!$D2291,Table4[Product_Name],Table4[Product_Key],"not found")</f>
        <v>8</v>
      </c>
      <c r="P2291" s="32">
        <f>_xlfn.XLOOKUP(Snitch_Fashion_Sales_cleaned!$I2291,Table3[Order_Date],Table3[Date_Key])</f>
        <v>5</v>
      </c>
    </row>
    <row r="2292" spans="1:16" x14ac:dyDescent="0.3">
      <c r="A2292" s="27">
        <v>3290</v>
      </c>
      <c r="B2292" s="25" t="s">
        <v>1287</v>
      </c>
      <c r="C2292" s="25" t="s">
        <v>20</v>
      </c>
      <c r="D2292" s="26" t="s">
        <v>21</v>
      </c>
      <c r="E2292" s="27">
        <v>4</v>
      </c>
      <c r="F2292" s="28">
        <v>2579.8000000000002</v>
      </c>
      <c r="G2292" s="29">
        <v>0.51</v>
      </c>
      <c r="H2292" s="28">
        <f t="shared" si="72"/>
        <v>10319.200000000001</v>
      </c>
      <c r="I2292" s="30">
        <v>45828</v>
      </c>
      <c r="J2292" s="26" t="s">
        <v>43</v>
      </c>
      <c r="K2292" s="26" t="s">
        <v>23</v>
      </c>
      <c r="L2292" s="31">
        <f t="shared" si="73"/>
        <v>5056.4080000000004</v>
      </c>
      <c r="M2292" s="31">
        <v>1001.31</v>
      </c>
      <c r="N2292" s="22">
        <f>_xlfn.XLOOKUP(Snitch_Fashion_Sales_cleaned!$J2292,Table2[City],Table2[City_Key],"not found")</f>
        <v>6</v>
      </c>
      <c r="O2292" s="21">
        <f>_xlfn.XLOOKUP(Snitch_Fashion_Sales_cleaned!$D2292,Table4[Product_Name],Table4[Product_Key],"not found")</f>
        <v>2</v>
      </c>
      <c r="P2292" s="25">
        <f>_xlfn.XLOOKUP(Snitch_Fashion_Sales_cleaned!$I2292,Table3[Order_Date],Table3[Date_Key])</f>
        <v>229</v>
      </c>
    </row>
    <row r="2293" spans="1:16" x14ac:dyDescent="0.3">
      <c r="A2293" s="34">
        <v>3291</v>
      </c>
      <c r="B2293" s="32" t="s">
        <v>2302</v>
      </c>
      <c r="C2293" s="32" t="s">
        <v>28</v>
      </c>
      <c r="D2293" s="33" t="s">
        <v>29</v>
      </c>
      <c r="E2293" s="34">
        <v>3</v>
      </c>
      <c r="F2293" s="35">
        <v>2515.415</v>
      </c>
      <c r="G2293" s="36">
        <v>0.27</v>
      </c>
      <c r="H2293" s="35">
        <f t="shared" si="72"/>
        <v>7546.2449999999999</v>
      </c>
      <c r="I2293" s="37">
        <v>45625</v>
      </c>
      <c r="J2293" s="33" t="s">
        <v>15</v>
      </c>
      <c r="K2293" s="33" t="s">
        <v>16</v>
      </c>
      <c r="L2293" s="38">
        <f t="shared" si="73"/>
        <v>5508.7588500000002</v>
      </c>
      <c r="M2293" s="38">
        <v>1907.94</v>
      </c>
      <c r="N2293" s="24">
        <f>_xlfn.XLOOKUP(Snitch_Fashion_Sales_cleaned!$J2293,Table2[City],Table2[City_Key],"not found")</f>
        <v>1</v>
      </c>
      <c r="O2293" s="23">
        <f>_xlfn.XLOOKUP(Snitch_Fashion_Sales_cleaned!$D2293,Table4[Product_Name],Table4[Product_Key],"not found")</f>
        <v>4</v>
      </c>
      <c r="P2293" s="32">
        <f>_xlfn.XLOOKUP(Snitch_Fashion_Sales_cleaned!$I2293,Table3[Order_Date],Table3[Date_Key])</f>
        <v>410</v>
      </c>
    </row>
    <row r="2294" spans="1:16" x14ac:dyDescent="0.3">
      <c r="A2294" s="27">
        <v>3292</v>
      </c>
      <c r="B2294" s="25" t="s">
        <v>2303</v>
      </c>
      <c r="C2294" s="25" t="s">
        <v>31</v>
      </c>
      <c r="D2294" s="26" t="s">
        <v>41</v>
      </c>
      <c r="E2294" s="27">
        <v>3</v>
      </c>
      <c r="F2294" s="28">
        <v>3027.66</v>
      </c>
      <c r="G2294" s="29">
        <v>0.5</v>
      </c>
      <c r="H2294" s="28">
        <f t="shared" si="72"/>
        <v>9082.98</v>
      </c>
      <c r="I2294" s="30">
        <v>45378</v>
      </c>
      <c r="J2294" s="26" t="s">
        <v>52</v>
      </c>
      <c r="K2294" s="26" t="s">
        <v>23</v>
      </c>
      <c r="L2294" s="31">
        <f t="shared" si="73"/>
        <v>4541.49</v>
      </c>
      <c r="M2294" s="31">
        <v>-774.38</v>
      </c>
      <c r="N2294" s="22">
        <f>_xlfn.XLOOKUP(Snitch_Fashion_Sales_cleaned!$J2294,Table2[City],Table2[City_Key],"not found")</f>
        <v>5</v>
      </c>
      <c r="O2294" s="21">
        <f>_xlfn.XLOOKUP(Snitch_Fashion_Sales_cleaned!$D2294,Table4[Product_Name],Table4[Product_Key],"not found")</f>
        <v>9</v>
      </c>
      <c r="P2294" s="25">
        <f>_xlfn.XLOOKUP(Snitch_Fashion_Sales_cleaned!$I2294,Table3[Order_Date],Table3[Date_Key])</f>
        <v>115</v>
      </c>
    </row>
    <row r="2295" spans="1:16" x14ac:dyDescent="0.3">
      <c r="A2295" s="34">
        <v>1045</v>
      </c>
      <c r="B2295" s="32" t="s">
        <v>2304</v>
      </c>
      <c r="C2295" s="32" t="s">
        <v>31</v>
      </c>
      <c r="D2295" s="33" t="s">
        <v>78</v>
      </c>
      <c r="E2295" s="34">
        <v>4</v>
      </c>
      <c r="F2295" s="35">
        <v>2599.75</v>
      </c>
      <c r="G2295" s="36">
        <v>0.98</v>
      </c>
      <c r="H2295" s="35">
        <f t="shared" si="72"/>
        <v>10399</v>
      </c>
      <c r="I2295" s="37">
        <v>45762</v>
      </c>
      <c r="J2295" s="33" t="s">
        <v>43</v>
      </c>
      <c r="K2295" s="33" t="s">
        <v>23</v>
      </c>
      <c r="L2295" s="38">
        <f t="shared" si="73"/>
        <v>207.98000000000019</v>
      </c>
      <c r="M2295" s="38">
        <v>51.995000000000047</v>
      </c>
      <c r="N2295" s="24">
        <f>_xlfn.XLOOKUP(Snitch_Fashion_Sales_cleaned!$J2295,Table2[City],Table2[City_Key],"not found")</f>
        <v>6</v>
      </c>
      <c r="O2295" s="23">
        <f>_xlfn.XLOOKUP(Snitch_Fashion_Sales_cleaned!$D2295,Table4[Product_Name],Table4[Product_Key],"not found")</f>
        <v>17</v>
      </c>
      <c r="P2295" s="32">
        <f>_xlfn.XLOOKUP(Snitch_Fashion_Sales_cleaned!$I2295,Table3[Order_Date],Table3[Date_Key])</f>
        <v>69</v>
      </c>
    </row>
    <row r="2296" spans="1:16" x14ac:dyDescent="0.3">
      <c r="A2296" s="27">
        <v>3294</v>
      </c>
      <c r="B2296" s="25" t="s">
        <v>2305</v>
      </c>
      <c r="C2296" s="25" t="s">
        <v>31</v>
      </c>
      <c r="D2296" s="26" t="s">
        <v>41</v>
      </c>
      <c r="E2296" s="27">
        <v>4</v>
      </c>
      <c r="F2296" s="28">
        <v>1316.9</v>
      </c>
      <c r="G2296" s="29">
        <v>0.11</v>
      </c>
      <c r="H2296" s="28">
        <f t="shared" si="72"/>
        <v>5267.6</v>
      </c>
      <c r="I2296" s="30">
        <v>45550</v>
      </c>
      <c r="J2296" s="26" t="s">
        <v>15</v>
      </c>
      <c r="K2296" s="26" t="s">
        <v>16</v>
      </c>
      <c r="L2296" s="31">
        <f t="shared" si="73"/>
        <v>4688.1640000000007</v>
      </c>
      <c r="M2296" s="31">
        <v>2743.65</v>
      </c>
      <c r="N2296" s="22">
        <f>_xlfn.XLOOKUP(Snitch_Fashion_Sales_cleaned!$J2296,Table2[City],Table2[City_Key],"not found")</f>
        <v>1</v>
      </c>
      <c r="O2296" s="21">
        <f>_xlfn.XLOOKUP(Snitch_Fashion_Sales_cleaned!$D2296,Table4[Product_Name],Table4[Product_Key],"not found")</f>
        <v>9</v>
      </c>
      <c r="P2296" s="25">
        <f>_xlfn.XLOOKUP(Snitch_Fashion_Sales_cleaned!$I2296,Table3[Order_Date],Table3[Date_Key])</f>
        <v>429</v>
      </c>
    </row>
    <row r="2297" spans="1:16" x14ac:dyDescent="0.3">
      <c r="A2297" s="34">
        <v>3295</v>
      </c>
      <c r="B2297" s="32" t="s">
        <v>2306</v>
      </c>
      <c r="C2297" s="32" t="s">
        <v>31</v>
      </c>
      <c r="D2297" s="33" t="s">
        <v>32</v>
      </c>
      <c r="E2297" s="34">
        <v>4</v>
      </c>
      <c r="F2297" s="35">
        <v>2001.5500000000002</v>
      </c>
      <c r="G2297" s="36">
        <v>0.51</v>
      </c>
      <c r="H2297" s="35">
        <f t="shared" si="72"/>
        <v>8006.2000000000007</v>
      </c>
      <c r="I2297" s="37">
        <v>45647</v>
      </c>
      <c r="J2297" s="33" t="s">
        <v>52</v>
      </c>
      <c r="K2297" s="33" t="s">
        <v>23</v>
      </c>
      <c r="L2297" s="38">
        <f t="shared" si="73"/>
        <v>3923.0380000000005</v>
      </c>
      <c r="M2297" s="38">
        <v>-623.54999999999995</v>
      </c>
      <c r="N2297" s="24">
        <f>_xlfn.XLOOKUP(Snitch_Fashion_Sales_cleaned!$J2297,Table2[City],Table2[City_Key],"not found")</f>
        <v>5</v>
      </c>
      <c r="O2297" s="23">
        <f>_xlfn.XLOOKUP(Snitch_Fashion_Sales_cleaned!$D2297,Table4[Product_Name],Table4[Product_Key],"not found")</f>
        <v>5</v>
      </c>
      <c r="P2297" s="32">
        <f>_xlfn.XLOOKUP(Snitch_Fashion_Sales_cleaned!$I2297,Table3[Order_Date],Table3[Date_Key])</f>
        <v>5</v>
      </c>
    </row>
    <row r="2298" spans="1:16" x14ac:dyDescent="0.3">
      <c r="A2298" s="27">
        <v>1022</v>
      </c>
      <c r="B2298" s="25" t="s">
        <v>2307</v>
      </c>
      <c r="C2298" s="25" t="s">
        <v>31</v>
      </c>
      <c r="D2298" s="26" t="s">
        <v>32</v>
      </c>
      <c r="E2298" s="27">
        <v>5</v>
      </c>
      <c r="F2298" s="28">
        <v>2001.5500000000002</v>
      </c>
      <c r="G2298" s="29">
        <v>0.39</v>
      </c>
      <c r="H2298" s="28">
        <f t="shared" si="72"/>
        <v>10007.75</v>
      </c>
      <c r="I2298" s="30">
        <v>45647</v>
      </c>
      <c r="J2298" s="26" t="s">
        <v>18</v>
      </c>
      <c r="K2298" s="26" t="s">
        <v>23</v>
      </c>
      <c r="L2298" s="31">
        <f t="shared" si="73"/>
        <v>6104.7275</v>
      </c>
      <c r="M2298" s="31">
        <v>-63</v>
      </c>
      <c r="N2298" s="22">
        <f>_xlfn.XLOOKUP(Snitch_Fashion_Sales_cleaned!$J2298,Table2[City],Table2[City_Key],"not found")</f>
        <v>2</v>
      </c>
      <c r="O2298" s="21">
        <f>_xlfn.XLOOKUP(Snitch_Fashion_Sales_cleaned!$D2298,Table4[Product_Name],Table4[Product_Key],"not found")</f>
        <v>5</v>
      </c>
      <c r="P2298" s="25">
        <f>_xlfn.XLOOKUP(Snitch_Fashion_Sales_cleaned!$I2298,Table3[Order_Date],Table3[Date_Key])</f>
        <v>5</v>
      </c>
    </row>
    <row r="2299" spans="1:16" x14ac:dyDescent="0.3">
      <c r="A2299" s="34">
        <v>3297</v>
      </c>
      <c r="B2299" s="32" t="s">
        <v>2308</v>
      </c>
      <c r="C2299" s="32" t="s">
        <v>25</v>
      </c>
      <c r="D2299" s="33" t="s">
        <v>62</v>
      </c>
      <c r="E2299" s="34">
        <v>4</v>
      </c>
      <c r="F2299" s="35">
        <v>2538.0450000000001</v>
      </c>
      <c r="G2299" s="36">
        <v>0.51</v>
      </c>
      <c r="H2299" s="35">
        <f t="shared" si="72"/>
        <v>10152.18</v>
      </c>
      <c r="I2299" s="37">
        <v>45678</v>
      </c>
      <c r="J2299" s="33" t="s">
        <v>15</v>
      </c>
      <c r="K2299" s="33" t="s">
        <v>16</v>
      </c>
      <c r="L2299" s="38">
        <f t="shared" si="73"/>
        <v>4974.5681999999997</v>
      </c>
      <c r="M2299" s="38">
        <v>1746.36</v>
      </c>
      <c r="N2299" s="24">
        <f>_xlfn.XLOOKUP(Snitch_Fashion_Sales_cleaned!$J2299,Table2[City],Table2[City_Key],"not found")</f>
        <v>1</v>
      </c>
      <c r="O2299" s="23">
        <f>_xlfn.XLOOKUP(Snitch_Fashion_Sales_cleaned!$D2299,Table4[Product_Name],Table4[Product_Key],"not found")</f>
        <v>14</v>
      </c>
      <c r="P2299" s="32">
        <f>_xlfn.XLOOKUP(Snitch_Fashion_Sales_cleaned!$I2299,Table3[Order_Date],Table3[Date_Key])</f>
        <v>208</v>
      </c>
    </row>
    <row r="2300" spans="1:16" x14ac:dyDescent="0.3">
      <c r="A2300" s="27">
        <v>3298</v>
      </c>
      <c r="B2300" s="25" t="s">
        <v>2309</v>
      </c>
      <c r="C2300" s="25" t="s">
        <v>28</v>
      </c>
      <c r="D2300" s="26" t="s">
        <v>29</v>
      </c>
      <c r="E2300" s="27">
        <v>1</v>
      </c>
      <c r="F2300" s="28">
        <v>2124.13</v>
      </c>
      <c r="G2300" s="29">
        <v>0.85</v>
      </c>
      <c r="H2300" s="28">
        <f t="shared" si="72"/>
        <v>2124.13</v>
      </c>
      <c r="I2300" s="30">
        <v>45507</v>
      </c>
      <c r="J2300" s="26" t="s">
        <v>52</v>
      </c>
      <c r="K2300" s="26" t="s">
        <v>23</v>
      </c>
      <c r="L2300" s="31">
        <f t="shared" si="73"/>
        <v>318.61950000000007</v>
      </c>
      <c r="M2300" s="31">
        <v>79.654875000000018</v>
      </c>
      <c r="N2300" s="22">
        <f>_xlfn.XLOOKUP(Snitch_Fashion_Sales_cleaned!$J2300,Table2[City],Table2[City_Key],"not found")</f>
        <v>5</v>
      </c>
      <c r="O2300" s="21">
        <f>_xlfn.XLOOKUP(Snitch_Fashion_Sales_cleaned!$D2300,Table4[Product_Name],Table4[Product_Key],"not found")</f>
        <v>4</v>
      </c>
      <c r="P2300" s="25">
        <f>_xlfn.XLOOKUP(Snitch_Fashion_Sales_cleaned!$I2300,Table3[Order_Date],Table3[Date_Key])</f>
        <v>222</v>
      </c>
    </row>
    <row r="2301" spans="1:16" x14ac:dyDescent="0.3">
      <c r="A2301" s="34">
        <v>3299</v>
      </c>
      <c r="B2301" s="32" t="s">
        <v>2310</v>
      </c>
      <c r="C2301" s="32" t="s">
        <v>20</v>
      </c>
      <c r="D2301" s="33" t="s">
        <v>118</v>
      </c>
      <c r="E2301" s="34">
        <v>3.5</v>
      </c>
      <c r="F2301" s="35">
        <v>4090.34</v>
      </c>
      <c r="G2301" s="36">
        <v>0.99</v>
      </c>
      <c r="H2301" s="35">
        <f t="shared" si="72"/>
        <v>14316.19</v>
      </c>
      <c r="I2301" s="37">
        <v>45809</v>
      </c>
      <c r="J2301" s="33" t="s">
        <v>22</v>
      </c>
      <c r="K2301" s="33" t="s">
        <v>23</v>
      </c>
      <c r="L2301" s="38">
        <f t="shared" si="73"/>
        <v>143.16190000000014</v>
      </c>
      <c r="M2301" s="38">
        <v>35.790475000000036</v>
      </c>
      <c r="N2301" s="24">
        <f>_xlfn.XLOOKUP(Snitch_Fashion_Sales_cleaned!$J2301,Table2[City],Table2[City_Key],"not found")</f>
        <v>3</v>
      </c>
      <c r="O2301" s="23">
        <f>_xlfn.XLOOKUP(Snitch_Fashion_Sales_cleaned!$D2301,Table4[Product_Name],Table4[Product_Key],"not found")</f>
        <v>23</v>
      </c>
      <c r="P2301" s="32">
        <f>_xlfn.XLOOKUP(Snitch_Fashion_Sales_cleaned!$I2301,Table3[Order_Date],Table3[Date_Key])</f>
        <v>327</v>
      </c>
    </row>
    <row r="2302" spans="1:16" x14ac:dyDescent="0.3">
      <c r="A2302" s="27">
        <v>3300</v>
      </c>
      <c r="B2302" s="25" t="s">
        <v>2311</v>
      </c>
      <c r="C2302" s="25" t="s">
        <v>28</v>
      </c>
      <c r="D2302" s="26" t="s">
        <v>39</v>
      </c>
      <c r="E2302" s="27">
        <v>5</v>
      </c>
      <c r="F2302" s="28">
        <v>2577.6350000000002</v>
      </c>
      <c r="G2302" s="29">
        <v>0.51</v>
      </c>
      <c r="H2302" s="28">
        <f t="shared" si="72"/>
        <v>12888.175000000001</v>
      </c>
      <c r="I2302" s="30">
        <v>45647</v>
      </c>
      <c r="J2302" s="26" t="s">
        <v>2540</v>
      </c>
      <c r="K2302" s="26" t="s">
        <v>16</v>
      </c>
      <c r="L2302" s="31">
        <f t="shared" si="73"/>
        <v>6315.2057500000001</v>
      </c>
      <c r="M2302" s="31">
        <v>525.1</v>
      </c>
      <c r="N2302" s="22">
        <f>_xlfn.XLOOKUP(Snitch_Fashion_Sales_cleaned!$J2302,Table2[City],Table2[City_Key],"not found")</f>
        <v>4</v>
      </c>
      <c r="O2302" s="21">
        <f>_xlfn.XLOOKUP(Snitch_Fashion_Sales_cleaned!$D2302,Table4[Product_Name],Table4[Product_Key],"not found")</f>
        <v>8</v>
      </c>
      <c r="P2302" s="25">
        <f>_xlfn.XLOOKUP(Snitch_Fashion_Sales_cleaned!$I2302,Table3[Order_Date],Table3[Date_Key])</f>
        <v>5</v>
      </c>
    </row>
    <row r="2303" spans="1:16" x14ac:dyDescent="0.3">
      <c r="A2303" s="34">
        <v>3301</v>
      </c>
      <c r="B2303" s="32" t="s">
        <v>2312</v>
      </c>
      <c r="C2303" s="32" t="s">
        <v>31</v>
      </c>
      <c r="D2303" s="33" t="s">
        <v>78</v>
      </c>
      <c r="E2303" s="34">
        <v>5</v>
      </c>
      <c r="F2303" s="35">
        <v>2590.44</v>
      </c>
      <c r="G2303" s="36">
        <v>0.51</v>
      </c>
      <c r="H2303" s="35">
        <f t="shared" si="72"/>
        <v>12952.2</v>
      </c>
      <c r="I2303" s="37">
        <v>45514</v>
      </c>
      <c r="J2303" s="33" t="s">
        <v>52</v>
      </c>
      <c r="K2303" s="33" t="s">
        <v>23</v>
      </c>
      <c r="L2303" s="38">
        <f t="shared" si="73"/>
        <v>6346.5780000000004</v>
      </c>
      <c r="M2303" s="38">
        <v>-613.96</v>
      </c>
      <c r="N2303" s="24">
        <f>_xlfn.XLOOKUP(Snitch_Fashion_Sales_cleaned!$J2303,Table2[City],Table2[City_Key],"not found")</f>
        <v>5</v>
      </c>
      <c r="O2303" s="23">
        <f>_xlfn.XLOOKUP(Snitch_Fashion_Sales_cleaned!$D2303,Table4[Product_Name],Table4[Product_Key],"not found")</f>
        <v>17</v>
      </c>
      <c r="P2303" s="32">
        <f>_xlfn.XLOOKUP(Snitch_Fashion_Sales_cleaned!$I2303,Table3[Order_Date],Table3[Date_Key])</f>
        <v>328</v>
      </c>
    </row>
    <row r="2304" spans="1:16" x14ac:dyDescent="0.3">
      <c r="A2304" s="27">
        <v>3302</v>
      </c>
      <c r="B2304" s="25" t="s">
        <v>2313</v>
      </c>
      <c r="C2304" s="25" t="s">
        <v>13</v>
      </c>
      <c r="D2304" s="26" t="s">
        <v>46</v>
      </c>
      <c r="E2304" s="27">
        <v>3</v>
      </c>
      <c r="F2304" s="28">
        <v>2891.64</v>
      </c>
      <c r="G2304" s="29">
        <v>0.51</v>
      </c>
      <c r="H2304" s="28">
        <f t="shared" si="72"/>
        <v>8674.92</v>
      </c>
      <c r="I2304" s="30">
        <v>45804</v>
      </c>
      <c r="J2304" s="26" t="s">
        <v>15</v>
      </c>
      <c r="K2304" s="26" t="s">
        <v>23</v>
      </c>
      <c r="L2304" s="31">
        <f t="shared" si="73"/>
        <v>4250.7107999999998</v>
      </c>
      <c r="M2304" s="31">
        <v>2938.26</v>
      </c>
      <c r="N2304" s="22">
        <f>_xlfn.XLOOKUP(Snitch_Fashion_Sales_cleaned!$J2304,Table2[City],Table2[City_Key],"not found")</f>
        <v>1</v>
      </c>
      <c r="O2304" s="21">
        <f>_xlfn.XLOOKUP(Snitch_Fashion_Sales_cleaned!$D2304,Table4[Product_Name],Table4[Product_Key],"not found")</f>
        <v>10</v>
      </c>
      <c r="P2304" s="25">
        <f>_xlfn.XLOOKUP(Snitch_Fashion_Sales_cleaned!$I2304,Table3[Order_Date],Table3[Date_Key])</f>
        <v>9</v>
      </c>
    </row>
    <row r="2305" spans="1:16" x14ac:dyDescent="0.3">
      <c r="A2305" s="34">
        <v>3303</v>
      </c>
      <c r="B2305" s="32" t="s">
        <v>2314</v>
      </c>
      <c r="C2305" s="32" t="s">
        <v>25</v>
      </c>
      <c r="D2305" s="33" t="s">
        <v>62</v>
      </c>
      <c r="E2305" s="34">
        <v>4</v>
      </c>
      <c r="F2305" s="35">
        <v>2538.0450000000001</v>
      </c>
      <c r="G2305" s="36">
        <v>0.51</v>
      </c>
      <c r="H2305" s="35">
        <f t="shared" si="72"/>
        <v>10152.18</v>
      </c>
      <c r="I2305" s="37">
        <v>45622</v>
      </c>
      <c r="J2305" s="33" t="s">
        <v>52</v>
      </c>
      <c r="K2305" s="33" t="s">
        <v>23</v>
      </c>
      <c r="L2305" s="38">
        <f t="shared" si="73"/>
        <v>4974.5681999999997</v>
      </c>
      <c r="M2305" s="38">
        <v>295.89</v>
      </c>
      <c r="N2305" s="24">
        <f>_xlfn.XLOOKUP(Snitch_Fashion_Sales_cleaned!$J2305,Table2[City],Table2[City_Key],"not found")</f>
        <v>5</v>
      </c>
      <c r="O2305" s="23">
        <f>_xlfn.XLOOKUP(Snitch_Fashion_Sales_cleaned!$D2305,Table4[Product_Name],Table4[Product_Key],"not found")</f>
        <v>14</v>
      </c>
      <c r="P2305" s="32">
        <f>_xlfn.XLOOKUP(Snitch_Fashion_Sales_cleaned!$I2305,Table3[Order_Date],Table3[Date_Key])</f>
        <v>464</v>
      </c>
    </row>
    <row r="2306" spans="1:16" x14ac:dyDescent="0.3">
      <c r="A2306" s="27">
        <v>3304</v>
      </c>
      <c r="B2306" s="25" t="s">
        <v>2315</v>
      </c>
      <c r="C2306" s="25" t="s">
        <v>28</v>
      </c>
      <c r="D2306" s="26" t="s">
        <v>116</v>
      </c>
      <c r="E2306" s="27">
        <v>4</v>
      </c>
      <c r="F2306" s="28">
        <v>4452.04</v>
      </c>
      <c r="G2306" s="29">
        <v>0.51</v>
      </c>
      <c r="H2306" s="28">
        <f t="shared" si="72"/>
        <v>17808.16</v>
      </c>
      <c r="I2306" s="30">
        <v>45378</v>
      </c>
      <c r="J2306" s="26" t="s">
        <v>2540</v>
      </c>
      <c r="K2306" s="26" t="s">
        <v>16</v>
      </c>
      <c r="L2306" s="31">
        <f t="shared" si="73"/>
        <v>8725.9984000000004</v>
      </c>
      <c r="M2306" s="31">
        <v>2932.37</v>
      </c>
      <c r="N2306" s="22">
        <f>_xlfn.XLOOKUP(Snitch_Fashion_Sales_cleaned!$J2306,Table2[City],Table2[City_Key],"not found")</f>
        <v>4</v>
      </c>
      <c r="O2306" s="21">
        <f>_xlfn.XLOOKUP(Snitch_Fashion_Sales_cleaned!$D2306,Table4[Product_Name],Table4[Product_Key],"not found")</f>
        <v>22</v>
      </c>
      <c r="P2306" s="25">
        <f>_xlfn.XLOOKUP(Snitch_Fashion_Sales_cleaned!$I2306,Table3[Order_Date],Table3[Date_Key])</f>
        <v>115</v>
      </c>
    </row>
    <row r="2307" spans="1:16" x14ac:dyDescent="0.3">
      <c r="A2307" s="34">
        <v>3305</v>
      </c>
      <c r="B2307" s="32" t="s">
        <v>2316</v>
      </c>
      <c r="C2307" s="32" t="s">
        <v>13</v>
      </c>
      <c r="D2307" s="33" t="s">
        <v>34</v>
      </c>
      <c r="E2307" s="34">
        <v>3</v>
      </c>
      <c r="F2307" s="35">
        <v>3008.6549999999997</v>
      </c>
      <c r="G2307" s="36">
        <v>0.51</v>
      </c>
      <c r="H2307" s="35">
        <f t="shared" si="72"/>
        <v>9025.9650000000001</v>
      </c>
      <c r="I2307" s="37">
        <v>45623</v>
      </c>
      <c r="J2307" s="33" t="s">
        <v>22</v>
      </c>
      <c r="K2307" s="33" t="s">
        <v>16</v>
      </c>
      <c r="L2307" s="38">
        <f t="shared" si="73"/>
        <v>4422.7228500000001</v>
      </c>
      <c r="M2307" s="38">
        <v>1362.42</v>
      </c>
      <c r="N2307" s="24">
        <f>_xlfn.XLOOKUP(Snitch_Fashion_Sales_cleaned!$J2307,Table2[City],Table2[City_Key],"not found")</f>
        <v>3</v>
      </c>
      <c r="O2307" s="23">
        <f>_xlfn.XLOOKUP(Snitch_Fashion_Sales_cleaned!$D2307,Table4[Product_Name],Table4[Product_Key],"not found")</f>
        <v>6</v>
      </c>
      <c r="P2307" s="32">
        <f>_xlfn.XLOOKUP(Snitch_Fashion_Sales_cleaned!$I2307,Table3[Order_Date],Table3[Date_Key])</f>
        <v>373</v>
      </c>
    </row>
    <row r="2308" spans="1:16" x14ac:dyDescent="0.3">
      <c r="A2308" s="27">
        <v>3306</v>
      </c>
      <c r="B2308" s="25" t="s">
        <v>2317</v>
      </c>
      <c r="C2308" s="25" t="s">
        <v>31</v>
      </c>
      <c r="D2308" s="26" t="s">
        <v>41</v>
      </c>
      <c r="E2308" s="27">
        <v>3</v>
      </c>
      <c r="F2308" s="28">
        <v>4536.09</v>
      </c>
      <c r="G2308" s="29">
        <v>0.51</v>
      </c>
      <c r="H2308" s="28">
        <f t="shared" si="72"/>
        <v>13608.27</v>
      </c>
      <c r="I2308" s="30">
        <v>45647</v>
      </c>
      <c r="J2308" s="26" t="s">
        <v>52</v>
      </c>
      <c r="K2308" s="26" t="s">
        <v>23</v>
      </c>
      <c r="L2308" s="31">
        <f t="shared" si="73"/>
        <v>6668.0523000000003</v>
      </c>
      <c r="M2308" s="31">
        <v>1015.71</v>
      </c>
      <c r="N2308" s="22">
        <f>_xlfn.XLOOKUP(Snitch_Fashion_Sales_cleaned!$J2308,Table2[City],Table2[City_Key],"not found")</f>
        <v>5</v>
      </c>
      <c r="O2308" s="21">
        <f>_xlfn.XLOOKUP(Snitch_Fashion_Sales_cleaned!$D2308,Table4[Product_Name],Table4[Product_Key],"not found")</f>
        <v>9</v>
      </c>
      <c r="P2308" s="25">
        <f>_xlfn.XLOOKUP(Snitch_Fashion_Sales_cleaned!$I2308,Table3[Order_Date],Table3[Date_Key])</f>
        <v>5</v>
      </c>
    </row>
    <row r="2309" spans="1:16" x14ac:dyDescent="0.3">
      <c r="A2309" s="34">
        <v>3307</v>
      </c>
      <c r="B2309" s="32" t="s">
        <v>2318</v>
      </c>
      <c r="C2309" s="32" t="s">
        <v>28</v>
      </c>
      <c r="D2309" s="33" t="s">
        <v>39</v>
      </c>
      <c r="E2309" s="34">
        <v>3</v>
      </c>
      <c r="F2309" s="35">
        <v>3896.07</v>
      </c>
      <c r="G2309" s="36">
        <v>0.51</v>
      </c>
      <c r="H2309" s="35">
        <f t="shared" si="72"/>
        <v>11688.210000000001</v>
      </c>
      <c r="I2309" s="37">
        <v>45745</v>
      </c>
      <c r="J2309" s="33" t="s">
        <v>43</v>
      </c>
      <c r="K2309" s="33" t="s">
        <v>16</v>
      </c>
      <c r="L2309" s="38">
        <f t="shared" si="73"/>
        <v>5727.2229000000007</v>
      </c>
      <c r="M2309" s="38">
        <v>409.14</v>
      </c>
      <c r="N2309" s="24">
        <f>_xlfn.XLOOKUP(Snitch_Fashion_Sales_cleaned!$J2309,Table2[City],Table2[City_Key],"not found")</f>
        <v>6</v>
      </c>
      <c r="O2309" s="23">
        <f>_xlfn.XLOOKUP(Snitch_Fashion_Sales_cleaned!$D2309,Table4[Product_Name],Table4[Product_Key],"not found")</f>
        <v>8</v>
      </c>
      <c r="P2309" s="32">
        <f>_xlfn.XLOOKUP(Snitch_Fashion_Sales_cleaned!$I2309,Table3[Order_Date],Table3[Date_Key])</f>
        <v>293</v>
      </c>
    </row>
    <row r="2310" spans="1:16" x14ac:dyDescent="0.3">
      <c r="A2310" s="27">
        <v>3308</v>
      </c>
      <c r="B2310" s="25" t="s">
        <v>2319</v>
      </c>
      <c r="C2310" s="25" t="s">
        <v>20</v>
      </c>
      <c r="D2310" s="26" t="s">
        <v>84</v>
      </c>
      <c r="E2310" s="27">
        <v>3</v>
      </c>
      <c r="F2310" s="28">
        <v>2537.59</v>
      </c>
      <c r="G2310" s="29">
        <v>0.51</v>
      </c>
      <c r="H2310" s="28">
        <f t="shared" ref="H2310:H2373" si="74">E2310*F2310</f>
        <v>7612.77</v>
      </c>
      <c r="I2310" s="30">
        <v>45304</v>
      </c>
      <c r="J2310" s="26" t="s">
        <v>18</v>
      </c>
      <c r="K2310" s="26" t="s">
        <v>16</v>
      </c>
      <c r="L2310" s="31">
        <f t="shared" ref="L2310:L2373" si="75">H2310*(1-G2310)</f>
        <v>3730.2573000000002</v>
      </c>
      <c r="M2310" s="31">
        <v>1711.84</v>
      </c>
      <c r="N2310" s="22">
        <f>_xlfn.XLOOKUP(Snitch_Fashion_Sales_cleaned!$J2310,Table2[City],Table2[City_Key],"not found")</f>
        <v>2</v>
      </c>
      <c r="O2310" s="21">
        <f>_xlfn.XLOOKUP(Snitch_Fashion_Sales_cleaned!$D2310,Table4[Product_Name],Table4[Product_Key],"not found")</f>
        <v>19</v>
      </c>
      <c r="P2310" s="25">
        <f>_xlfn.XLOOKUP(Snitch_Fashion_Sales_cleaned!$I2310,Table3[Order_Date],Table3[Date_Key])</f>
        <v>353</v>
      </c>
    </row>
    <row r="2311" spans="1:16" x14ac:dyDescent="0.3">
      <c r="A2311" s="34">
        <v>3309</v>
      </c>
      <c r="B2311" s="32" t="s">
        <v>2320</v>
      </c>
      <c r="C2311" s="32" t="s">
        <v>36</v>
      </c>
      <c r="D2311" s="33" t="s">
        <v>37</v>
      </c>
      <c r="E2311" s="34">
        <v>4</v>
      </c>
      <c r="F2311" s="35">
        <v>3944.46</v>
      </c>
      <c r="G2311" s="36">
        <v>0.51</v>
      </c>
      <c r="H2311" s="35">
        <f t="shared" si="74"/>
        <v>15777.84</v>
      </c>
      <c r="I2311" s="37">
        <v>45201</v>
      </c>
      <c r="J2311" s="33" t="s">
        <v>18</v>
      </c>
      <c r="K2311" s="33" t="s">
        <v>16</v>
      </c>
      <c r="L2311" s="38">
        <f t="shared" si="75"/>
        <v>7731.1415999999999</v>
      </c>
      <c r="M2311" s="38">
        <v>1392.37</v>
      </c>
      <c r="N2311" s="24">
        <f>_xlfn.XLOOKUP(Snitch_Fashion_Sales_cleaned!$J2311,Table2[City],Table2[City_Key],"not found")</f>
        <v>2</v>
      </c>
      <c r="O2311" s="23">
        <f>_xlfn.XLOOKUP(Snitch_Fashion_Sales_cleaned!$D2311,Table4[Product_Name],Table4[Product_Key],"not found")</f>
        <v>7</v>
      </c>
      <c r="P2311" s="32">
        <f>_xlfn.XLOOKUP(Snitch_Fashion_Sales_cleaned!$I2311,Table3[Order_Date],Table3[Date_Key])</f>
        <v>550</v>
      </c>
    </row>
    <row r="2312" spans="1:16" x14ac:dyDescent="0.3">
      <c r="A2312" s="27">
        <v>3310</v>
      </c>
      <c r="B2312" s="25" t="s">
        <v>2321</v>
      </c>
      <c r="C2312" s="25" t="s">
        <v>36</v>
      </c>
      <c r="D2312" s="26" t="s">
        <v>59</v>
      </c>
      <c r="E2312" s="27">
        <v>3</v>
      </c>
      <c r="F2312" s="28">
        <v>2765.26</v>
      </c>
      <c r="G2312" s="29">
        <v>0.51</v>
      </c>
      <c r="H2312" s="28">
        <f t="shared" si="74"/>
        <v>8295.7800000000007</v>
      </c>
      <c r="I2312" s="30">
        <v>45163</v>
      </c>
      <c r="J2312" s="26" t="s">
        <v>43</v>
      </c>
      <c r="K2312" s="26" t="s">
        <v>16</v>
      </c>
      <c r="L2312" s="31">
        <f t="shared" si="75"/>
        <v>4064.9322000000002</v>
      </c>
      <c r="M2312" s="31">
        <v>463.6</v>
      </c>
      <c r="N2312" s="22">
        <f>_xlfn.XLOOKUP(Snitch_Fashion_Sales_cleaned!$J2312,Table2[City],Table2[City_Key],"not found")</f>
        <v>6</v>
      </c>
      <c r="O2312" s="21">
        <f>_xlfn.XLOOKUP(Snitch_Fashion_Sales_cleaned!$D2312,Table4[Product_Name],Table4[Product_Key],"not found")</f>
        <v>13</v>
      </c>
      <c r="P2312" s="25">
        <f>_xlfn.XLOOKUP(Snitch_Fashion_Sales_cleaned!$I2312,Table3[Order_Date],Table3[Date_Key])</f>
        <v>551</v>
      </c>
    </row>
    <row r="2313" spans="1:16" x14ac:dyDescent="0.3">
      <c r="A2313" s="34">
        <v>3311</v>
      </c>
      <c r="B2313" s="32" t="s">
        <v>2322</v>
      </c>
      <c r="C2313" s="32" t="s">
        <v>36</v>
      </c>
      <c r="D2313" s="33" t="s">
        <v>55</v>
      </c>
      <c r="E2313" s="34">
        <v>3</v>
      </c>
      <c r="F2313" s="35">
        <v>3108.69</v>
      </c>
      <c r="G2313" s="36">
        <v>0.51</v>
      </c>
      <c r="H2313" s="35">
        <f t="shared" si="74"/>
        <v>9326.07</v>
      </c>
      <c r="I2313" s="37">
        <v>45388</v>
      </c>
      <c r="J2313" s="33" t="s">
        <v>15</v>
      </c>
      <c r="K2313" s="33" t="s">
        <v>23</v>
      </c>
      <c r="L2313" s="38">
        <f t="shared" si="75"/>
        <v>4569.7743</v>
      </c>
      <c r="M2313" s="38">
        <v>2986.53</v>
      </c>
      <c r="N2313" s="24">
        <f>_xlfn.XLOOKUP(Snitch_Fashion_Sales_cleaned!$J2313,Table2[City],Table2[City_Key],"not found")</f>
        <v>1</v>
      </c>
      <c r="O2313" s="23">
        <f>_xlfn.XLOOKUP(Snitch_Fashion_Sales_cleaned!$D2313,Table4[Product_Name],Table4[Product_Key],"not found")</f>
        <v>12</v>
      </c>
      <c r="P2313" s="32">
        <f>_xlfn.XLOOKUP(Snitch_Fashion_Sales_cleaned!$I2313,Table3[Order_Date],Table3[Date_Key])</f>
        <v>24</v>
      </c>
    </row>
    <row r="2314" spans="1:16" x14ac:dyDescent="0.3">
      <c r="A2314" s="27">
        <v>3312</v>
      </c>
      <c r="B2314" s="25" t="s">
        <v>2323</v>
      </c>
      <c r="C2314" s="25" t="s">
        <v>31</v>
      </c>
      <c r="D2314" s="26" t="s">
        <v>68</v>
      </c>
      <c r="E2314" s="27">
        <v>2</v>
      </c>
      <c r="F2314" s="28">
        <v>4878.8100000000004</v>
      </c>
      <c r="G2314" s="29">
        <v>0.51</v>
      </c>
      <c r="H2314" s="28">
        <f t="shared" si="74"/>
        <v>9757.6200000000008</v>
      </c>
      <c r="I2314" s="30">
        <v>45537</v>
      </c>
      <c r="J2314" s="26" t="s">
        <v>2540</v>
      </c>
      <c r="K2314" s="26" t="s">
        <v>23</v>
      </c>
      <c r="L2314" s="31">
        <f t="shared" si="75"/>
        <v>4781.2338</v>
      </c>
      <c r="M2314" s="31">
        <v>327.38</v>
      </c>
      <c r="N2314" s="22">
        <f>_xlfn.XLOOKUP(Snitch_Fashion_Sales_cleaned!$J2314,Table2[City],Table2[City_Key],"not found")</f>
        <v>4</v>
      </c>
      <c r="O2314" s="21">
        <f>_xlfn.XLOOKUP(Snitch_Fashion_Sales_cleaned!$D2314,Table4[Product_Name],Table4[Product_Key],"not found")</f>
        <v>15</v>
      </c>
      <c r="P2314" s="25">
        <f>_xlfn.XLOOKUP(Snitch_Fashion_Sales_cleaned!$I2314,Table3[Order_Date],Table3[Date_Key])</f>
        <v>499</v>
      </c>
    </row>
    <row r="2315" spans="1:16" x14ac:dyDescent="0.3">
      <c r="A2315" s="34">
        <v>3313</v>
      </c>
      <c r="B2315" s="32" t="s">
        <v>2324</v>
      </c>
      <c r="C2315" s="32" t="s">
        <v>36</v>
      </c>
      <c r="D2315" s="33" t="s">
        <v>87</v>
      </c>
      <c r="E2315" s="34">
        <v>5</v>
      </c>
      <c r="F2315" s="35">
        <v>2889.5349999999999</v>
      </c>
      <c r="G2315" s="36">
        <v>0.51</v>
      </c>
      <c r="H2315" s="35">
        <f t="shared" si="74"/>
        <v>14447.674999999999</v>
      </c>
      <c r="I2315" s="37">
        <v>45566</v>
      </c>
      <c r="J2315" s="33" t="s">
        <v>2540</v>
      </c>
      <c r="K2315" s="33" t="s">
        <v>23</v>
      </c>
      <c r="L2315" s="38">
        <f t="shared" si="75"/>
        <v>7079.3607499999998</v>
      </c>
      <c r="M2315" s="38">
        <v>2022.75</v>
      </c>
      <c r="N2315" s="24">
        <f>_xlfn.XLOOKUP(Snitch_Fashion_Sales_cleaned!$J2315,Table2[City],Table2[City_Key],"not found")</f>
        <v>4</v>
      </c>
      <c r="O2315" s="23">
        <f>_xlfn.XLOOKUP(Snitch_Fashion_Sales_cleaned!$D2315,Table4[Product_Name],Table4[Product_Key],"not found")</f>
        <v>20</v>
      </c>
      <c r="P2315" s="32">
        <f>_xlfn.XLOOKUP(Snitch_Fashion_Sales_cleaned!$I2315,Table3[Order_Date],Table3[Date_Key])</f>
        <v>111</v>
      </c>
    </row>
    <row r="2316" spans="1:16" x14ac:dyDescent="0.3">
      <c r="A2316" s="27">
        <v>3314</v>
      </c>
      <c r="B2316" s="25" t="s">
        <v>2325</v>
      </c>
      <c r="C2316" s="25" t="s">
        <v>20</v>
      </c>
      <c r="D2316" s="26" t="s">
        <v>84</v>
      </c>
      <c r="E2316" s="27">
        <v>3</v>
      </c>
      <c r="F2316" s="28">
        <v>2537.59</v>
      </c>
      <c r="G2316" s="29">
        <v>0.51</v>
      </c>
      <c r="H2316" s="28">
        <f t="shared" si="74"/>
        <v>7612.77</v>
      </c>
      <c r="I2316" s="30">
        <v>45561</v>
      </c>
      <c r="J2316" s="26" t="s">
        <v>43</v>
      </c>
      <c r="K2316" s="26" t="s">
        <v>23</v>
      </c>
      <c r="L2316" s="31">
        <f t="shared" si="75"/>
        <v>3730.2573000000002</v>
      </c>
      <c r="M2316" s="31">
        <v>2708.81</v>
      </c>
      <c r="N2316" s="22">
        <f>_xlfn.XLOOKUP(Snitch_Fashion_Sales_cleaned!$J2316,Table2[City],Table2[City_Key],"not found")</f>
        <v>6</v>
      </c>
      <c r="O2316" s="21">
        <f>_xlfn.XLOOKUP(Snitch_Fashion_Sales_cleaned!$D2316,Table4[Product_Name],Table4[Product_Key],"not found")</f>
        <v>19</v>
      </c>
      <c r="P2316" s="25">
        <f>_xlfn.XLOOKUP(Snitch_Fashion_Sales_cleaned!$I2316,Table3[Order_Date],Table3[Date_Key])</f>
        <v>190</v>
      </c>
    </row>
    <row r="2317" spans="1:16" x14ac:dyDescent="0.3">
      <c r="A2317" s="34">
        <v>3315</v>
      </c>
      <c r="B2317" s="32" t="s">
        <v>2326</v>
      </c>
      <c r="C2317" s="32" t="s">
        <v>36</v>
      </c>
      <c r="D2317" s="33" t="s">
        <v>87</v>
      </c>
      <c r="E2317" s="34">
        <v>4</v>
      </c>
      <c r="F2317" s="35">
        <v>2889.5349999999999</v>
      </c>
      <c r="G2317" s="36">
        <v>0.51</v>
      </c>
      <c r="H2317" s="35">
        <f t="shared" si="74"/>
        <v>11558.14</v>
      </c>
      <c r="I2317" s="37">
        <v>45647</v>
      </c>
      <c r="J2317" s="33" t="s">
        <v>52</v>
      </c>
      <c r="K2317" s="33" t="s">
        <v>16</v>
      </c>
      <c r="L2317" s="38">
        <f t="shared" si="75"/>
        <v>5663.4885999999997</v>
      </c>
      <c r="M2317" s="38">
        <v>2293.04</v>
      </c>
      <c r="N2317" s="24">
        <f>_xlfn.XLOOKUP(Snitch_Fashion_Sales_cleaned!$J2317,Table2[City],Table2[City_Key],"not found")</f>
        <v>5</v>
      </c>
      <c r="O2317" s="23">
        <f>_xlfn.XLOOKUP(Snitch_Fashion_Sales_cleaned!$D2317,Table4[Product_Name],Table4[Product_Key],"not found")</f>
        <v>20</v>
      </c>
      <c r="P2317" s="32">
        <f>_xlfn.XLOOKUP(Snitch_Fashion_Sales_cleaned!$I2317,Table3[Order_Date],Table3[Date_Key])</f>
        <v>5</v>
      </c>
    </row>
    <row r="2318" spans="1:16" x14ac:dyDescent="0.3">
      <c r="A2318" s="27">
        <v>3316</v>
      </c>
      <c r="B2318" s="25" t="s">
        <v>2327</v>
      </c>
      <c r="C2318" s="25" t="s">
        <v>13</v>
      </c>
      <c r="D2318" s="26" t="s">
        <v>14</v>
      </c>
      <c r="E2318" s="27">
        <v>4</v>
      </c>
      <c r="F2318" s="28">
        <v>2366.6149999999998</v>
      </c>
      <c r="G2318" s="29">
        <v>0.51</v>
      </c>
      <c r="H2318" s="28">
        <f t="shared" si="74"/>
        <v>9466.4599999999991</v>
      </c>
      <c r="I2318" s="30">
        <v>45808</v>
      </c>
      <c r="J2318" s="26" t="s">
        <v>22</v>
      </c>
      <c r="K2318" s="26" t="s">
        <v>16</v>
      </c>
      <c r="L2318" s="31">
        <f t="shared" si="75"/>
        <v>4638.5653999999995</v>
      </c>
      <c r="M2318" s="31">
        <v>1628.03</v>
      </c>
      <c r="N2318" s="22">
        <f>_xlfn.XLOOKUP(Snitch_Fashion_Sales_cleaned!$J2318,Table2[City],Table2[City_Key],"not found")</f>
        <v>3</v>
      </c>
      <c r="O2318" s="21">
        <f>_xlfn.XLOOKUP(Snitch_Fashion_Sales_cleaned!$D2318,Table4[Product_Name],Table4[Product_Key],"not found")</f>
        <v>1</v>
      </c>
      <c r="P2318" s="25">
        <f>_xlfn.XLOOKUP(Snitch_Fashion_Sales_cleaned!$I2318,Table3[Order_Date],Table3[Date_Key])</f>
        <v>306</v>
      </c>
    </row>
    <row r="2319" spans="1:16" x14ac:dyDescent="0.3">
      <c r="A2319" s="34">
        <v>3317</v>
      </c>
      <c r="B2319" s="32" t="s">
        <v>2328</v>
      </c>
      <c r="C2319" s="32" t="s">
        <v>20</v>
      </c>
      <c r="D2319" s="33" t="s">
        <v>118</v>
      </c>
      <c r="E2319" s="34">
        <v>3.5</v>
      </c>
      <c r="F2319" s="35">
        <v>2140.2199999999998</v>
      </c>
      <c r="G2319" s="36">
        <v>0.51</v>
      </c>
      <c r="H2319" s="35">
        <f t="shared" si="74"/>
        <v>7490.7699999999995</v>
      </c>
      <c r="I2319" s="37">
        <v>45598</v>
      </c>
      <c r="J2319" s="33" t="s">
        <v>18</v>
      </c>
      <c r="K2319" s="33" t="s">
        <v>23</v>
      </c>
      <c r="L2319" s="38">
        <f t="shared" si="75"/>
        <v>3670.4772999999996</v>
      </c>
      <c r="M2319" s="38">
        <v>-415.92</v>
      </c>
      <c r="N2319" s="24">
        <f>_xlfn.XLOOKUP(Snitch_Fashion_Sales_cleaned!$J2319,Table2[City],Table2[City_Key],"not found")</f>
        <v>2</v>
      </c>
      <c r="O2319" s="23">
        <f>_xlfn.XLOOKUP(Snitch_Fashion_Sales_cleaned!$D2319,Table4[Product_Name],Table4[Product_Key],"not found")</f>
        <v>23</v>
      </c>
      <c r="P2319" s="32">
        <f>_xlfn.XLOOKUP(Snitch_Fashion_Sales_cleaned!$I2319,Table3[Order_Date],Table3[Date_Key])</f>
        <v>158</v>
      </c>
    </row>
    <row r="2320" spans="1:16" x14ac:dyDescent="0.3">
      <c r="A2320" s="27">
        <v>3318</v>
      </c>
      <c r="B2320" s="25" t="s">
        <v>2329</v>
      </c>
      <c r="C2320" s="25" t="s">
        <v>28</v>
      </c>
      <c r="D2320" s="26" t="s">
        <v>116</v>
      </c>
      <c r="E2320" s="27">
        <v>4</v>
      </c>
      <c r="F2320" s="28">
        <v>2912.6</v>
      </c>
      <c r="G2320" s="29">
        <v>0.51</v>
      </c>
      <c r="H2320" s="28">
        <f t="shared" si="74"/>
        <v>11650.4</v>
      </c>
      <c r="I2320" s="30">
        <v>45745</v>
      </c>
      <c r="J2320" s="26" t="s">
        <v>15</v>
      </c>
      <c r="K2320" s="26" t="s">
        <v>23</v>
      </c>
      <c r="L2320" s="31">
        <f t="shared" si="75"/>
        <v>5708.6959999999999</v>
      </c>
      <c r="M2320" s="31">
        <v>1847.45</v>
      </c>
      <c r="N2320" s="22">
        <f>_xlfn.XLOOKUP(Snitch_Fashion_Sales_cleaned!$J2320,Table2[City],Table2[City_Key],"not found")</f>
        <v>1</v>
      </c>
      <c r="O2320" s="21">
        <f>_xlfn.XLOOKUP(Snitch_Fashion_Sales_cleaned!$D2320,Table4[Product_Name],Table4[Product_Key],"not found")</f>
        <v>22</v>
      </c>
      <c r="P2320" s="25">
        <f>_xlfn.XLOOKUP(Snitch_Fashion_Sales_cleaned!$I2320,Table3[Order_Date],Table3[Date_Key])</f>
        <v>293</v>
      </c>
    </row>
    <row r="2321" spans="1:16" x14ac:dyDescent="0.3">
      <c r="A2321" s="34">
        <v>3319</v>
      </c>
      <c r="B2321" s="32" t="s">
        <v>2330</v>
      </c>
      <c r="C2321" s="32" t="s">
        <v>25</v>
      </c>
      <c r="D2321" s="33" t="s">
        <v>26</v>
      </c>
      <c r="E2321" s="34">
        <v>4</v>
      </c>
      <c r="F2321" s="35">
        <v>2933.45</v>
      </c>
      <c r="G2321" s="36">
        <v>0.51</v>
      </c>
      <c r="H2321" s="35">
        <f t="shared" si="74"/>
        <v>11733.8</v>
      </c>
      <c r="I2321" s="37">
        <v>45284</v>
      </c>
      <c r="J2321" s="33" t="s">
        <v>18</v>
      </c>
      <c r="K2321" s="33" t="s">
        <v>23</v>
      </c>
      <c r="L2321" s="38">
        <f t="shared" si="75"/>
        <v>5749.5619999999999</v>
      </c>
      <c r="M2321" s="38">
        <v>1419.51</v>
      </c>
      <c r="N2321" s="24">
        <f>_xlfn.XLOOKUP(Snitch_Fashion_Sales_cleaned!$J2321,Table2[City],Table2[City_Key],"not found")</f>
        <v>2</v>
      </c>
      <c r="O2321" s="23">
        <f>_xlfn.XLOOKUP(Snitch_Fashion_Sales_cleaned!$D2321,Table4[Product_Name],Table4[Product_Key],"not found")</f>
        <v>3</v>
      </c>
      <c r="P2321" s="32">
        <f>_xlfn.XLOOKUP(Snitch_Fashion_Sales_cleaned!$I2321,Table3[Order_Date],Table3[Date_Key])</f>
        <v>184</v>
      </c>
    </row>
    <row r="2322" spans="1:16" x14ac:dyDescent="0.3">
      <c r="A2322" s="27">
        <v>3320</v>
      </c>
      <c r="B2322" s="25" t="s">
        <v>2331</v>
      </c>
      <c r="C2322" s="25" t="s">
        <v>25</v>
      </c>
      <c r="D2322" s="26" t="s">
        <v>62</v>
      </c>
      <c r="E2322" s="27">
        <v>4</v>
      </c>
      <c r="F2322" s="28">
        <v>2538.0450000000001</v>
      </c>
      <c r="G2322" s="29">
        <v>0.51</v>
      </c>
      <c r="H2322" s="28">
        <f t="shared" si="74"/>
        <v>10152.18</v>
      </c>
      <c r="I2322" s="30">
        <v>45579</v>
      </c>
      <c r="J2322" s="26" t="s">
        <v>43</v>
      </c>
      <c r="K2322" s="26" t="s">
        <v>23</v>
      </c>
      <c r="L2322" s="31">
        <f t="shared" si="75"/>
        <v>4974.5681999999997</v>
      </c>
      <c r="M2322" s="31">
        <v>-251.71</v>
      </c>
      <c r="N2322" s="22">
        <f>_xlfn.XLOOKUP(Snitch_Fashion_Sales_cleaned!$J2322,Table2[City],Table2[City_Key],"not found")</f>
        <v>6</v>
      </c>
      <c r="O2322" s="21">
        <f>_xlfn.XLOOKUP(Snitch_Fashion_Sales_cleaned!$D2322,Table4[Product_Name],Table4[Product_Key],"not found")</f>
        <v>14</v>
      </c>
      <c r="P2322" s="25">
        <f>_xlfn.XLOOKUP(Snitch_Fashion_Sales_cleaned!$I2322,Table3[Order_Date],Table3[Date_Key])</f>
        <v>552</v>
      </c>
    </row>
    <row r="2323" spans="1:16" x14ac:dyDescent="0.3">
      <c r="A2323" s="34">
        <v>3321</v>
      </c>
      <c r="B2323" s="32" t="s">
        <v>2332</v>
      </c>
      <c r="C2323" s="32" t="s">
        <v>20</v>
      </c>
      <c r="D2323" s="33" t="s">
        <v>76</v>
      </c>
      <c r="E2323" s="34">
        <v>5</v>
      </c>
      <c r="F2323" s="35">
        <v>1804.56</v>
      </c>
      <c r="G2323" s="36">
        <v>0.51</v>
      </c>
      <c r="H2323" s="35">
        <f t="shared" si="74"/>
        <v>9022.7999999999993</v>
      </c>
      <c r="I2323" s="37">
        <v>45254</v>
      </c>
      <c r="J2323" s="33" t="s">
        <v>52</v>
      </c>
      <c r="K2323" s="33" t="s">
        <v>23</v>
      </c>
      <c r="L2323" s="38">
        <f t="shared" si="75"/>
        <v>4421.1719999999996</v>
      </c>
      <c r="M2323" s="38">
        <v>2534.37</v>
      </c>
      <c r="N2323" s="24">
        <f>_xlfn.XLOOKUP(Snitch_Fashion_Sales_cleaned!$J2323,Table2[City],Table2[City_Key],"not found")</f>
        <v>5</v>
      </c>
      <c r="O2323" s="23">
        <f>_xlfn.XLOOKUP(Snitch_Fashion_Sales_cleaned!$D2323,Table4[Product_Name],Table4[Product_Key],"not found")</f>
        <v>16</v>
      </c>
      <c r="P2323" s="32">
        <f>_xlfn.XLOOKUP(Snitch_Fashion_Sales_cleaned!$I2323,Table3[Order_Date],Table3[Date_Key])</f>
        <v>553</v>
      </c>
    </row>
    <row r="2324" spans="1:16" x14ac:dyDescent="0.3">
      <c r="A2324" s="27">
        <v>3322</v>
      </c>
      <c r="B2324" s="25" t="s">
        <v>2333</v>
      </c>
      <c r="C2324" s="25" t="s">
        <v>31</v>
      </c>
      <c r="D2324" s="26" t="s">
        <v>41</v>
      </c>
      <c r="E2324" s="27">
        <v>3</v>
      </c>
      <c r="F2324" s="28">
        <v>4480.24</v>
      </c>
      <c r="G2324" s="29">
        <v>0.51</v>
      </c>
      <c r="H2324" s="28">
        <f t="shared" si="74"/>
        <v>13440.72</v>
      </c>
      <c r="I2324" s="30">
        <v>45544</v>
      </c>
      <c r="J2324" s="26" t="s">
        <v>15</v>
      </c>
      <c r="K2324" s="26" t="s">
        <v>16</v>
      </c>
      <c r="L2324" s="31">
        <f t="shared" si="75"/>
        <v>6585.9527999999991</v>
      </c>
      <c r="M2324" s="31">
        <v>397.15</v>
      </c>
      <c r="N2324" s="22">
        <f>_xlfn.XLOOKUP(Snitch_Fashion_Sales_cleaned!$J2324,Table2[City],Table2[City_Key],"not found")</f>
        <v>1</v>
      </c>
      <c r="O2324" s="21">
        <f>_xlfn.XLOOKUP(Snitch_Fashion_Sales_cleaned!$D2324,Table4[Product_Name],Table4[Product_Key],"not found")</f>
        <v>9</v>
      </c>
      <c r="P2324" s="25">
        <f>_xlfn.XLOOKUP(Snitch_Fashion_Sales_cleaned!$I2324,Table3[Order_Date],Table3[Date_Key])</f>
        <v>446</v>
      </c>
    </row>
    <row r="2325" spans="1:16" x14ac:dyDescent="0.3">
      <c r="A2325" s="34">
        <v>3323</v>
      </c>
      <c r="B2325" s="32" t="s">
        <v>2334</v>
      </c>
      <c r="C2325" s="32" t="s">
        <v>25</v>
      </c>
      <c r="D2325" s="33" t="s">
        <v>82</v>
      </c>
      <c r="E2325" s="34">
        <v>3</v>
      </c>
      <c r="F2325" s="35">
        <v>4009.45</v>
      </c>
      <c r="G2325" s="36">
        <v>0.51</v>
      </c>
      <c r="H2325" s="35">
        <f t="shared" si="74"/>
        <v>12028.349999999999</v>
      </c>
      <c r="I2325" s="37">
        <v>45647</v>
      </c>
      <c r="J2325" s="33" t="s">
        <v>52</v>
      </c>
      <c r="K2325" s="33" t="s">
        <v>23</v>
      </c>
      <c r="L2325" s="38">
        <f t="shared" si="75"/>
        <v>5893.8914999999988</v>
      </c>
      <c r="M2325" s="38">
        <v>-495.81</v>
      </c>
      <c r="N2325" s="24">
        <f>_xlfn.XLOOKUP(Snitch_Fashion_Sales_cleaned!$J2325,Table2[City],Table2[City_Key],"not found")</f>
        <v>5</v>
      </c>
      <c r="O2325" s="23">
        <f>_xlfn.XLOOKUP(Snitch_Fashion_Sales_cleaned!$D2325,Table4[Product_Name],Table4[Product_Key],"not found")</f>
        <v>18</v>
      </c>
      <c r="P2325" s="32">
        <f>_xlfn.XLOOKUP(Snitch_Fashion_Sales_cleaned!$I2325,Table3[Order_Date],Table3[Date_Key])</f>
        <v>5</v>
      </c>
    </row>
    <row r="2326" spans="1:16" x14ac:dyDescent="0.3">
      <c r="A2326" s="27">
        <v>3324</v>
      </c>
      <c r="B2326" s="25" t="s">
        <v>2335</v>
      </c>
      <c r="C2326" s="25" t="s">
        <v>36</v>
      </c>
      <c r="D2326" s="26" t="s">
        <v>37</v>
      </c>
      <c r="E2326" s="27">
        <v>4</v>
      </c>
      <c r="F2326" s="28">
        <v>2975.64</v>
      </c>
      <c r="G2326" s="29">
        <v>0.51</v>
      </c>
      <c r="H2326" s="28">
        <f t="shared" si="74"/>
        <v>11902.56</v>
      </c>
      <c r="I2326" s="30">
        <v>45647</v>
      </c>
      <c r="J2326" s="26" t="s">
        <v>18</v>
      </c>
      <c r="K2326" s="26" t="s">
        <v>16</v>
      </c>
      <c r="L2326" s="31">
        <f t="shared" si="75"/>
        <v>5832.2543999999998</v>
      </c>
      <c r="M2326" s="31">
        <v>-214.24</v>
      </c>
      <c r="N2326" s="22">
        <f>_xlfn.XLOOKUP(Snitch_Fashion_Sales_cleaned!$J2326,Table2[City],Table2[City_Key],"not found")</f>
        <v>2</v>
      </c>
      <c r="O2326" s="21">
        <f>_xlfn.XLOOKUP(Snitch_Fashion_Sales_cleaned!$D2326,Table4[Product_Name],Table4[Product_Key],"not found")</f>
        <v>7</v>
      </c>
      <c r="P2326" s="25">
        <f>_xlfn.XLOOKUP(Snitch_Fashion_Sales_cleaned!$I2326,Table3[Order_Date],Table3[Date_Key])</f>
        <v>5</v>
      </c>
    </row>
    <row r="2327" spans="1:16" x14ac:dyDescent="0.3">
      <c r="A2327" s="34">
        <v>3325</v>
      </c>
      <c r="B2327" s="32" t="s">
        <v>2336</v>
      </c>
      <c r="C2327" s="32" t="s">
        <v>36</v>
      </c>
      <c r="D2327" s="33" t="s">
        <v>55</v>
      </c>
      <c r="E2327" s="34">
        <v>6</v>
      </c>
      <c r="F2327" s="35">
        <v>2731.6350000000002</v>
      </c>
      <c r="G2327" s="36">
        <v>0.61</v>
      </c>
      <c r="H2327" s="35">
        <f t="shared" si="74"/>
        <v>16389.810000000001</v>
      </c>
      <c r="I2327" s="37">
        <v>45833</v>
      </c>
      <c r="J2327" s="33" t="s">
        <v>2540</v>
      </c>
      <c r="K2327" s="33" t="s">
        <v>23</v>
      </c>
      <c r="L2327" s="38">
        <f t="shared" si="75"/>
        <v>6392.0259000000005</v>
      </c>
      <c r="M2327" s="38">
        <v>686.84</v>
      </c>
      <c r="N2327" s="24">
        <f>_xlfn.XLOOKUP(Snitch_Fashion_Sales_cleaned!$J2327,Table2[City],Table2[City_Key],"not found")</f>
        <v>4</v>
      </c>
      <c r="O2327" s="23">
        <f>_xlfn.XLOOKUP(Snitch_Fashion_Sales_cleaned!$D2327,Table4[Product_Name],Table4[Product_Key],"not found")</f>
        <v>12</v>
      </c>
      <c r="P2327" s="32">
        <f>_xlfn.XLOOKUP(Snitch_Fashion_Sales_cleaned!$I2327,Table3[Order_Date],Table3[Date_Key])</f>
        <v>102</v>
      </c>
    </row>
    <row r="2328" spans="1:16" x14ac:dyDescent="0.3">
      <c r="A2328" s="27">
        <v>3326</v>
      </c>
      <c r="B2328" s="25" t="s">
        <v>2337</v>
      </c>
      <c r="C2328" s="25" t="s">
        <v>25</v>
      </c>
      <c r="D2328" s="26" t="s">
        <v>82</v>
      </c>
      <c r="E2328" s="27">
        <v>3</v>
      </c>
      <c r="F2328" s="28">
        <v>3047.68</v>
      </c>
      <c r="G2328" s="29">
        <v>0.51</v>
      </c>
      <c r="H2328" s="28">
        <f t="shared" si="74"/>
        <v>9143.0399999999991</v>
      </c>
      <c r="I2328" s="30">
        <v>45526</v>
      </c>
      <c r="J2328" s="26" t="s">
        <v>2540</v>
      </c>
      <c r="K2328" s="26" t="s">
        <v>16</v>
      </c>
      <c r="L2328" s="31">
        <f t="shared" si="75"/>
        <v>4480.0895999999993</v>
      </c>
      <c r="M2328" s="31">
        <v>827.95</v>
      </c>
      <c r="N2328" s="22">
        <f>_xlfn.XLOOKUP(Snitch_Fashion_Sales_cleaned!$J2328,Table2[City],Table2[City_Key],"not found")</f>
        <v>4</v>
      </c>
      <c r="O2328" s="21">
        <f>_xlfn.XLOOKUP(Snitch_Fashion_Sales_cleaned!$D2328,Table4[Product_Name],Table4[Product_Key],"not found")</f>
        <v>18</v>
      </c>
      <c r="P2328" s="25">
        <f>_xlfn.XLOOKUP(Snitch_Fashion_Sales_cleaned!$I2328,Table3[Order_Date],Table3[Date_Key])</f>
        <v>10</v>
      </c>
    </row>
    <row r="2329" spans="1:16" x14ac:dyDescent="0.3">
      <c r="A2329" s="34">
        <v>3327</v>
      </c>
      <c r="B2329" s="32" t="s">
        <v>2338</v>
      </c>
      <c r="C2329" s="32" t="s">
        <v>13</v>
      </c>
      <c r="D2329" s="33" t="s">
        <v>46</v>
      </c>
      <c r="E2329" s="34">
        <v>4</v>
      </c>
      <c r="F2329" s="35">
        <v>2891.64</v>
      </c>
      <c r="G2329" s="36">
        <v>0.96</v>
      </c>
      <c r="H2329" s="35">
        <f t="shared" si="74"/>
        <v>11566.56</v>
      </c>
      <c r="I2329" s="37">
        <v>45647</v>
      </c>
      <c r="J2329" s="33" t="s">
        <v>2540</v>
      </c>
      <c r="K2329" s="33" t="s">
        <v>23</v>
      </c>
      <c r="L2329" s="38">
        <f t="shared" si="75"/>
        <v>462.66240000000039</v>
      </c>
      <c r="M2329" s="38">
        <v>-361.79</v>
      </c>
      <c r="N2329" s="24">
        <f>_xlfn.XLOOKUP(Snitch_Fashion_Sales_cleaned!$J2329,Table2[City],Table2[City_Key],"not found")</f>
        <v>4</v>
      </c>
      <c r="O2329" s="23">
        <f>_xlfn.XLOOKUP(Snitch_Fashion_Sales_cleaned!$D2329,Table4[Product_Name],Table4[Product_Key],"not found")</f>
        <v>10</v>
      </c>
      <c r="P2329" s="32">
        <f>_xlfn.XLOOKUP(Snitch_Fashion_Sales_cleaned!$I2329,Table3[Order_Date],Table3[Date_Key])</f>
        <v>5</v>
      </c>
    </row>
    <row r="2330" spans="1:16" x14ac:dyDescent="0.3">
      <c r="A2330" s="27">
        <v>3328</v>
      </c>
      <c r="B2330" s="25" t="s">
        <v>2339</v>
      </c>
      <c r="C2330" s="25" t="s">
        <v>13</v>
      </c>
      <c r="D2330" s="26" t="s">
        <v>34</v>
      </c>
      <c r="E2330" s="27">
        <v>1</v>
      </c>
      <c r="F2330" s="28">
        <v>4390.32</v>
      </c>
      <c r="G2330" s="29">
        <v>0.51</v>
      </c>
      <c r="H2330" s="28">
        <f t="shared" si="74"/>
        <v>4390.32</v>
      </c>
      <c r="I2330" s="30">
        <v>45733</v>
      </c>
      <c r="J2330" s="26" t="s">
        <v>2540</v>
      </c>
      <c r="K2330" s="26" t="s">
        <v>23</v>
      </c>
      <c r="L2330" s="31">
        <f t="shared" si="75"/>
        <v>2151.2567999999997</v>
      </c>
      <c r="M2330" s="31">
        <v>537.81419999999991</v>
      </c>
      <c r="N2330" s="22">
        <f>_xlfn.XLOOKUP(Snitch_Fashion_Sales_cleaned!$J2330,Table2[City],Table2[City_Key],"not found")</f>
        <v>4</v>
      </c>
      <c r="O2330" s="21">
        <f>_xlfn.XLOOKUP(Snitch_Fashion_Sales_cleaned!$D2330,Table4[Product_Name],Table4[Product_Key],"not found")</f>
        <v>6</v>
      </c>
      <c r="P2330" s="25">
        <f>_xlfn.XLOOKUP(Snitch_Fashion_Sales_cleaned!$I2330,Table3[Order_Date],Table3[Date_Key])</f>
        <v>436</v>
      </c>
    </row>
    <row r="2331" spans="1:16" x14ac:dyDescent="0.3">
      <c r="A2331" s="34">
        <v>3329</v>
      </c>
      <c r="B2331" s="32" t="s">
        <v>2340</v>
      </c>
      <c r="C2331" s="32" t="s">
        <v>20</v>
      </c>
      <c r="D2331" s="33" t="s">
        <v>21</v>
      </c>
      <c r="E2331" s="34">
        <v>4</v>
      </c>
      <c r="F2331" s="35">
        <v>2579.8000000000002</v>
      </c>
      <c r="G2331" s="36">
        <v>0.51</v>
      </c>
      <c r="H2331" s="35">
        <f t="shared" si="74"/>
        <v>10319.200000000001</v>
      </c>
      <c r="I2331" s="37">
        <v>45440</v>
      </c>
      <c r="J2331" s="33" t="s">
        <v>15</v>
      </c>
      <c r="K2331" s="33" t="s">
        <v>16</v>
      </c>
      <c r="L2331" s="38">
        <f t="shared" si="75"/>
        <v>5056.4080000000004</v>
      </c>
      <c r="M2331" s="38">
        <v>1954.02</v>
      </c>
      <c r="N2331" s="24">
        <f>_xlfn.XLOOKUP(Snitch_Fashion_Sales_cleaned!$J2331,Table2[City],Table2[City_Key],"not found")</f>
        <v>1</v>
      </c>
      <c r="O2331" s="23">
        <f>_xlfn.XLOOKUP(Snitch_Fashion_Sales_cleaned!$D2331,Table4[Product_Name],Table4[Product_Key],"not found")</f>
        <v>2</v>
      </c>
      <c r="P2331" s="32">
        <f>_xlfn.XLOOKUP(Snitch_Fashion_Sales_cleaned!$I2331,Table3[Order_Date],Table3[Date_Key])</f>
        <v>47</v>
      </c>
    </row>
    <row r="2332" spans="1:16" x14ac:dyDescent="0.3">
      <c r="A2332" s="27">
        <v>3330</v>
      </c>
      <c r="B2332" s="25" t="s">
        <v>2341</v>
      </c>
      <c r="C2332" s="25" t="s">
        <v>25</v>
      </c>
      <c r="D2332" s="26" t="s">
        <v>26</v>
      </c>
      <c r="E2332" s="27">
        <v>6</v>
      </c>
      <c r="F2332" s="28">
        <v>2217.9499999999998</v>
      </c>
      <c r="G2332" s="29">
        <v>0.51</v>
      </c>
      <c r="H2332" s="28">
        <f t="shared" si="74"/>
        <v>13307.699999999999</v>
      </c>
      <c r="I2332" s="30">
        <v>45826</v>
      </c>
      <c r="J2332" s="26" t="s">
        <v>52</v>
      </c>
      <c r="K2332" s="26" t="s">
        <v>23</v>
      </c>
      <c r="L2332" s="31">
        <f t="shared" si="75"/>
        <v>6520.7729999999992</v>
      </c>
      <c r="M2332" s="31">
        <v>146.52000000000001</v>
      </c>
      <c r="N2332" s="22">
        <f>_xlfn.XLOOKUP(Snitch_Fashion_Sales_cleaned!$J2332,Table2[City],Table2[City_Key],"not found")</f>
        <v>5</v>
      </c>
      <c r="O2332" s="21">
        <f>_xlfn.XLOOKUP(Snitch_Fashion_Sales_cleaned!$D2332,Table4[Product_Name],Table4[Product_Key],"not found")</f>
        <v>3</v>
      </c>
      <c r="P2332" s="25">
        <f>_xlfn.XLOOKUP(Snitch_Fashion_Sales_cleaned!$I2332,Table3[Order_Date],Table3[Date_Key])</f>
        <v>4</v>
      </c>
    </row>
    <row r="2333" spans="1:16" x14ac:dyDescent="0.3">
      <c r="A2333" s="34">
        <v>1012</v>
      </c>
      <c r="B2333" s="32" t="s">
        <v>2342</v>
      </c>
      <c r="C2333" s="32" t="s">
        <v>20</v>
      </c>
      <c r="D2333" s="33" t="s">
        <v>84</v>
      </c>
      <c r="E2333" s="34">
        <v>3</v>
      </c>
      <c r="F2333" s="35">
        <v>1364.73</v>
      </c>
      <c r="G2333" s="36">
        <v>0.71</v>
      </c>
      <c r="H2333" s="35">
        <f t="shared" si="74"/>
        <v>4094.19</v>
      </c>
      <c r="I2333" s="37">
        <v>45726</v>
      </c>
      <c r="J2333" s="33" t="s">
        <v>22</v>
      </c>
      <c r="K2333" s="33" t="s">
        <v>23</v>
      </c>
      <c r="L2333" s="38">
        <f t="shared" si="75"/>
        <v>1187.3151000000003</v>
      </c>
      <c r="M2333" s="38">
        <v>-909.85</v>
      </c>
      <c r="N2333" s="24">
        <f>_xlfn.XLOOKUP(Snitch_Fashion_Sales_cleaned!$J2333,Table2[City],Table2[City_Key],"not found")</f>
        <v>3</v>
      </c>
      <c r="O2333" s="23">
        <f>_xlfn.XLOOKUP(Snitch_Fashion_Sales_cleaned!$D2333,Table4[Product_Name],Table4[Product_Key],"not found")</f>
        <v>19</v>
      </c>
      <c r="P2333" s="32">
        <f>_xlfn.XLOOKUP(Snitch_Fashion_Sales_cleaned!$I2333,Table3[Order_Date],Table3[Date_Key])</f>
        <v>237</v>
      </c>
    </row>
    <row r="2334" spans="1:16" x14ac:dyDescent="0.3">
      <c r="A2334" s="27">
        <v>3332</v>
      </c>
      <c r="B2334" s="25" t="s">
        <v>2343</v>
      </c>
      <c r="C2334" s="25" t="s">
        <v>25</v>
      </c>
      <c r="D2334" s="26" t="s">
        <v>26</v>
      </c>
      <c r="E2334" s="27">
        <v>5</v>
      </c>
      <c r="F2334" s="28">
        <v>1297.04</v>
      </c>
      <c r="G2334" s="29">
        <v>0.3</v>
      </c>
      <c r="H2334" s="28">
        <f t="shared" si="74"/>
        <v>6485.2</v>
      </c>
      <c r="I2334" s="30">
        <v>45647</v>
      </c>
      <c r="J2334" s="26" t="s">
        <v>52</v>
      </c>
      <c r="K2334" s="26" t="s">
        <v>23</v>
      </c>
      <c r="L2334" s="31">
        <f t="shared" si="75"/>
        <v>4539.6399999999994</v>
      </c>
      <c r="M2334" s="31">
        <v>2887.23</v>
      </c>
      <c r="N2334" s="22">
        <f>_xlfn.XLOOKUP(Snitch_Fashion_Sales_cleaned!$J2334,Table2[City],Table2[City_Key],"not found")</f>
        <v>5</v>
      </c>
      <c r="O2334" s="21">
        <f>_xlfn.XLOOKUP(Snitch_Fashion_Sales_cleaned!$D2334,Table4[Product_Name],Table4[Product_Key],"not found")</f>
        <v>3</v>
      </c>
      <c r="P2334" s="25">
        <f>_xlfn.XLOOKUP(Snitch_Fashion_Sales_cleaned!$I2334,Table3[Order_Date],Table3[Date_Key])</f>
        <v>5</v>
      </c>
    </row>
    <row r="2335" spans="1:16" x14ac:dyDescent="0.3">
      <c r="A2335" s="34">
        <v>3333</v>
      </c>
      <c r="B2335" s="32" t="s">
        <v>2344</v>
      </c>
      <c r="C2335" s="32" t="s">
        <v>20</v>
      </c>
      <c r="D2335" s="33" t="s">
        <v>118</v>
      </c>
      <c r="E2335" s="34">
        <v>3.5</v>
      </c>
      <c r="F2335" s="35">
        <v>2752.99</v>
      </c>
      <c r="G2335" s="36">
        <v>0.51</v>
      </c>
      <c r="H2335" s="35">
        <f t="shared" si="74"/>
        <v>9635.4650000000001</v>
      </c>
      <c r="I2335" s="37">
        <v>45150</v>
      </c>
      <c r="J2335" s="33" t="s">
        <v>22</v>
      </c>
      <c r="K2335" s="33" t="s">
        <v>16</v>
      </c>
      <c r="L2335" s="38">
        <f t="shared" si="75"/>
        <v>4721.3778499999999</v>
      </c>
      <c r="M2335" s="38">
        <v>617.99</v>
      </c>
      <c r="N2335" s="24">
        <f>_xlfn.XLOOKUP(Snitch_Fashion_Sales_cleaned!$J2335,Table2[City],Table2[City_Key],"not found")</f>
        <v>3</v>
      </c>
      <c r="O2335" s="23">
        <f>_xlfn.XLOOKUP(Snitch_Fashion_Sales_cleaned!$D2335,Table4[Product_Name],Table4[Product_Key],"not found")</f>
        <v>23</v>
      </c>
      <c r="P2335" s="32">
        <f>_xlfn.XLOOKUP(Snitch_Fashion_Sales_cleaned!$I2335,Table3[Order_Date],Table3[Date_Key])</f>
        <v>554</v>
      </c>
    </row>
    <row r="2336" spans="1:16" x14ac:dyDescent="0.3">
      <c r="A2336" s="27">
        <v>3334</v>
      </c>
      <c r="B2336" s="25" t="s">
        <v>2345</v>
      </c>
      <c r="C2336" s="25" t="s">
        <v>13</v>
      </c>
      <c r="D2336" s="26" t="s">
        <v>34</v>
      </c>
      <c r="E2336" s="27">
        <v>3</v>
      </c>
      <c r="F2336" s="28">
        <v>3008.6549999999997</v>
      </c>
      <c r="G2336" s="29">
        <v>0.51</v>
      </c>
      <c r="H2336" s="28">
        <f t="shared" si="74"/>
        <v>9025.9650000000001</v>
      </c>
      <c r="I2336" s="30">
        <v>45822</v>
      </c>
      <c r="J2336" s="26" t="s">
        <v>52</v>
      </c>
      <c r="K2336" s="26" t="s">
        <v>23</v>
      </c>
      <c r="L2336" s="31">
        <f t="shared" si="75"/>
        <v>4422.7228500000001</v>
      </c>
      <c r="M2336" s="31">
        <v>-933.34</v>
      </c>
      <c r="N2336" s="22">
        <f>_xlfn.XLOOKUP(Snitch_Fashion_Sales_cleaned!$J2336,Table2[City],Table2[City_Key],"not found")</f>
        <v>5</v>
      </c>
      <c r="O2336" s="21">
        <f>_xlfn.XLOOKUP(Snitch_Fashion_Sales_cleaned!$D2336,Table4[Product_Name],Table4[Product_Key],"not found")</f>
        <v>6</v>
      </c>
      <c r="P2336" s="25">
        <f>_xlfn.XLOOKUP(Snitch_Fashion_Sales_cleaned!$I2336,Table3[Order_Date],Table3[Date_Key])</f>
        <v>325</v>
      </c>
    </row>
    <row r="2337" spans="1:16" x14ac:dyDescent="0.3">
      <c r="A2337" s="34">
        <v>3335</v>
      </c>
      <c r="B2337" s="32" t="s">
        <v>2346</v>
      </c>
      <c r="C2337" s="32" t="s">
        <v>20</v>
      </c>
      <c r="D2337" s="33" t="s">
        <v>76</v>
      </c>
      <c r="E2337" s="34">
        <v>5</v>
      </c>
      <c r="F2337" s="35">
        <v>4289.91</v>
      </c>
      <c r="G2337" s="36">
        <v>0.51</v>
      </c>
      <c r="H2337" s="35">
        <f t="shared" si="74"/>
        <v>21449.55</v>
      </c>
      <c r="I2337" s="37">
        <v>45584</v>
      </c>
      <c r="J2337" s="33" t="s">
        <v>43</v>
      </c>
      <c r="K2337" s="33" t="s">
        <v>23</v>
      </c>
      <c r="L2337" s="38">
        <f t="shared" si="75"/>
        <v>10510.279499999999</v>
      </c>
      <c r="M2337" s="38">
        <v>533.83000000000004</v>
      </c>
      <c r="N2337" s="24">
        <f>_xlfn.XLOOKUP(Snitch_Fashion_Sales_cleaned!$J2337,Table2[City],Table2[City_Key],"not found")</f>
        <v>6</v>
      </c>
      <c r="O2337" s="23">
        <f>_xlfn.XLOOKUP(Snitch_Fashion_Sales_cleaned!$D2337,Table4[Product_Name],Table4[Product_Key],"not found")</f>
        <v>16</v>
      </c>
      <c r="P2337" s="32">
        <f>_xlfn.XLOOKUP(Snitch_Fashion_Sales_cleaned!$I2337,Table3[Order_Date],Table3[Date_Key])</f>
        <v>276</v>
      </c>
    </row>
    <row r="2338" spans="1:16" x14ac:dyDescent="0.3">
      <c r="A2338" s="27">
        <v>3336</v>
      </c>
      <c r="B2338" s="25" t="s">
        <v>2347</v>
      </c>
      <c r="C2338" s="25" t="s">
        <v>20</v>
      </c>
      <c r="D2338" s="26" t="s">
        <v>84</v>
      </c>
      <c r="E2338" s="27">
        <v>2</v>
      </c>
      <c r="F2338" s="28">
        <v>2537.59</v>
      </c>
      <c r="G2338" s="29">
        <v>0.51</v>
      </c>
      <c r="H2338" s="28">
        <f t="shared" si="74"/>
        <v>5075.18</v>
      </c>
      <c r="I2338" s="30">
        <v>45826</v>
      </c>
      <c r="J2338" s="26" t="s">
        <v>18</v>
      </c>
      <c r="K2338" s="26" t="s">
        <v>23</v>
      </c>
      <c r="L2338" s="31">
        <f t="shared" si="75"/>
        <v>2486.8382000000001</v>
      </c>
      <c r="M2338" s="31">
        <v>1872.26</v>
      </c>
      <c r="N2338" s="22">
        <f>_xlfn.XLOOKUP(Snitch_Fashion_Sales_cleaned!$J2338,Table2[City],Table2[City_Key],"not found")</f>
        <v>2</v>
      </c>
      <c r="O2338" s="21">
        <f>_xlfn.XLOOKUP(Snitch_Fashion_Sales_cleaned!$D2338,Table4[Product_Name],Table4[Product_Key],"not found")</f>
        <v>19</v>
      </c>
      <c r="P2338" s="25">
        <f>_xlfn.XLOOKUP(Snitch_Fashion_Sales_cleaned!$I2338,Table3[Order_Date],Table3[Date_Key])</f>
        <v>4</v>
      </c>
    </row>
    <row r="2339" spans="1:16" x14ac:dyDescent="0.3">
      <c r="A2339" s="34">
        <v>1018</v>
      </c>
      <c r="B2339" s="32" t="s">
        <v>2348</v>
      </c>
      <c r="C2339" s="32" t="s">
        <v>36</v>
      </c>
      <c r="D2339" s="33" t="s">
        <v>55</v>
      </c>
      <c r="E2339" s="34">
        <v>1</v>
      </c>
      <c r="F2339" s="35">
        <v>2847.86</v>
      </c>
      <c r="G2339" s="36">
        <v>0.7</v>
      </c>
      <c r="H2339" s="35">
        <f t="shared" si="74"/>
        <v>2847.86</v>
      </c>
      <c r="I2339" s="37">
        <v>45360</v>
      </c>
      <c r="J2339" s="33" t="s">
        <v>15</v>
      </c>
      <c r="K2339" s="33" t="s">
        <v>16</v>
      </c>
      <c r="L2339" s="38">
        <f t="shared" si="75"/>
        <v>854.35800000000017</v>
      </c>
      <c r="M2339" s="38">
        <v>213.58950000000004</v>
      </c>
      <c r="N2339" s="24">
        <f>_xlfn.XLOOKUP(Snitch_Fashion_Sales_cleaned!$J2339,Table2[City],Table2[City_Key],"not found")</f>
        <v>1</v>
      </c>
      <c r="O2339" s="23">
        <f>_xlfn.XLOOKUP(Snitch_Fashion_Sales_cleaned!$D2339,Table4[Product_Name],Table4[Product_Key],"not found")</f>
        <v>12</v>
      </c>
      <c r="P2339" s="32">
        <f>_xlfn.XLOOKUP(Snitch_Fashion_Sales_cleaned!$I2339,Table3[Order_Date],Table3[Date_Key])</f>
        <v>555</v>
      </c>
    </row>
    <row r="2340" spans="1:16" x14ac:dyDescent="0.3">
      <c r="A2340" s="27">
        <v>3338</v>
      </c>
      <c r="B2340" s="25" t="s">
        <v>2349</v>
      </c>
      <c r="C2340" s="25" t="s">
        <v>36</v>
      </c>
      <c r="D2340" s="26" t="s">
        <v>59</v>
      </c>
      <c r="E2340" s="27">
        <v>3</v>
      </c>
      <c r="F2340" s="28">
        <v>2765.26</v>
      </c>
      <c r="G2340" s="29">
        <v>0.06</v>
      </c>
      <c r="H2340" s="28">
        <f t="shared" si="74"/>
        <v>8295.7800000000007</v>
      </c>
      <c r="I2340" s="30">
        <v>45856</v>
      </c>
      <c r="J2340" s="26" t="s">
        <v>43</v>
      </c>
      <c r="K2340" s="26" t="s">
        <v>16</v>
      </c>
      <c r="L2340" s="31">
        <f t="shared" si="75"/>
        <v>7798.0331999999999</v>
      </c>
      <c r="M2340" s="31">
        <v>1067.6600000000001</v>
      </c>
      <c r="N2340" s="22">
        <f>_xlfn.XLOOKUP(Snitch_Fashion_Sales_cleaned!$J2340,Table2[City],Table2[City_Key],"not found")</f>
        <v>6</v>
      </c>
      <c r="O2340" s="21">
        <f>_xlfn.XLOOKUP(Snitch_Fashion_Sales_cleaned!$D2340,Table4[Product_Name],Table4[Product_Key],"not found")</f>
        <v>13</v>
      </c>
      <c r="P2340" s="25">
        <f>_xlfn.XLOOKUP(Snitch_Fashion_Sales_cleaned!$I2340,Table3[Order_Date],Table3[Date_Key])</f>
        <v>18</v>
      </c>
    </row>
    <row r="2341" spans="1:16" x14ac:dyDescent="0.3">
      <c r="A2341" s="34">
        <v>3339</v>
      </c>
      <c r="B2341" s="32" t="s">
        <v>2350</v>
      </c>
      <c r="C2341" s="32" t="s">
        <v>28</v>
      </c>
      <c r="D2341" s="33" t="s">
        <v>116</v>
      </c>
      <c r="E2341" s="34">
        <v>4</v>
      </c>
      <c r="F2341" s="35">
        <v>2785.79</v>
      </c>
      <c r="G2341" s="36">
        <v>0.51</v>
      </c>
      <c r="H2341" s="35">
        <f t="shared" si="74"/>
        <v>11143.16</v>
      </c>
      <c r="I2341" s="37">
        <v>45367</v>
      </c>
      <c r="J2341" s="33" t="s">
        <v>15</v>
      </c>
      <c r="K2341" s="33" t="s">
        <v>16</v>
      </c>
      <c r="L2341" s="38">
        <f t="shared" si="75"/>
        <v>5460.1484</v>
      </c>
      <c r="M2341" s="38">
        <v>-735.83</v>
      </c>
      <c r="N2341" s="24">
        <f>_xlfn.XLOOKUP(Snitch_Fashion_Sales_cleaned!$J2341,Table2[City],Table2[City_Key],"not found")</f>
        <v>1</v>
      </c>
      <c r="O2341" s="23">
        <f>_xlfn.XLOOKUP(Snitch_Fashion_Sales_cleaned!$D2341,Table4[Product_Name],Table4[Product_Key],"not found")</f>
        <v>22</v>
      </c>
      <c r="P2341" s="32">
        <f>_xlfn.XLOOKUP(Snitch_Fashion_Sales_cleaned!$I2341,Table3[Order_Date],Table3[Date_Key])</f>
        <v>392</v>
      </c>
    </row>
    <row r="2342" spans="1:16" x14ac:dyDescent="0.3">
      <c r="A2342" s="27">
        <v>3340</v>
      </c>
      <c r="B2342" s="25" t="s">
        <v>2351</v>
      </c>
      <c r="C2342" s="25" t="s">
        <v>25</v>
      </c>
      <c r="D2342" s="26" t="s">
        <v>50</v>
      </c>
      <c r="E2342" s="27">
        <v>6</v>
      </c>
      <c r="F2342" s="28">
        <v>3924.28</v>
      </c>
      <c r="G2342" s="29">
        <v>0.15</v>
      </c>
      <c r="H2342" s="28">
        <f t="shared" si="74"/>
        <v>23545.68</v>
      </c>
      <c r="I2342" s="30">
        <v>45532</v>
      </c>
      <c r="J2342" s="26" t="s">
        <v>2540</v>
      </c>
      <c r="K2342" s="26" t="s">
        <v>23</v>
      </c>
      <c r="L2342" s="31">
        <f t="shared" si="75"/>
        <v>20013.828000000001</v>
      </c>
      <c r="M2342" s="31">
        <v>-831.93</v>
      </c>
      <c r="N2342" s="22">
        <f>_xlfn.XLOOKUP(Snitch_Fashion_Sales_cleaned!$J2342,Table2[City],Table2[City_Key],"not found")</f>
        <v>4</v>
      </c>
      <c r="O2342" s="21">
        <f>_xlfn.XLOOKUP(Snitch_Fashion_Sales_cleaned!$D2342,Table4[Product_Name],Table4[Product_Key],"not found")</f>
        <v>11</v>
      </c>
      <c r="P2342" s="25">
        <f>_xlfn.XLOOKUP(Snitch_Fashion_Sales_cleaned!$I2342,Table3[Order_Date],Table3[Date_Key])</f>
        <v>349</v>
      </c>
    </row>
    <row r="2343" spans="1:16" x14ac:dyDescent="0.3">
      <c r="A2343" s="34">
        <v>3341</v>
      </c>
      <c r="B2343" s="32" t="s">
        <v>2352</v>
      </c>
      <c r="C2343" s="32" t="s">
        <v>28</v>
      </c>
      <c r="D2343" s="33" t="s">
        <v>116</v>
      </c>
      <c r="E2343" s="34">
        <v>2</v>
      </c>
      <c r="F2343" s="35">
        <v>2080.09</v>
      </c>
      <c r="G2343" s="36">
        <v>0.51</v>
      </c>
      <c r="H2343" s="35">
        <f t="shared" si="74"/>
        <v>4160.18</v>
      </c>
      <c r="I2343" s="37">
        <v>45647</v>
      </c>
      <c r="J2343" s="33" t="s">
        <v>52</v>
      </c>
      <c r="K2343" s="33" t="s">
        <v>23</v>
      </c>
      <c r="L2343" s="38">
        <f t="shared" si="75"/>
        <v>2038.4882</v>
      </c>
      <c r="M2343" s="38">
        <v>1818.51</v>
      </c>
      <c r="N2343" s="24">
        <f>_xlfn.XLOOKUP(Snitch_Fashion_Sales_cleaned!$J2343,Table2[City],Table2[City_Key],"not found")</f>
        <v>5</v>
      </c>
      <c r="O2343" s="23">
        <f>_xlfn.XLOOKUP(Snitch_Fashion_Sales_cleaned!$D2343,Table4[Product_Name],Table4[Product_Key],"not found")</f>
        <v>22</v>
      </c>
      <c r="P2343" s="32">
        <f>_xlfn.XLOOKUP(Snitch_Fashion_Sales_cleaned!$I2343,Table3[Order_Date],Table3[Date_Key])</f>
        <v>5</v>
      </c>
    </row>
    <row r="2344" spans="1:16" x14ac:dyDescent="0.3">
      <c r="A2344" s="27">
        <v>3342</v>
      </c>
      <c r="B2344" s="25" t="s">
        <v>2353</v>
      </c>
      <c r="C2344" s="25" t="s">
        <v>25</v>
      </c>
      <c r="D2344" s="26" t="s">
        <v>26</v>
      </c>
      <c r="E2344" s="27">
        <v>2</v>
      </c>
      <c r="F2344" s="28">
        <v>2109.83</v>
      </c>
      <c r="G2344" s="29">
        <v>0.51</v>
      </c>
      <c r="H2344" s="28">
        <f t="shared" si="74"/>
        <v>4219.66</v>
      </c>
      <c r="I2344" s="30">
        <v>45647</v>
      </c>
      <c r="J2344" s="26" t="s">
        <v>43</v>
      </c>
      <c r="K2344" s="26" t="s">
        <v>23</v>
      </c>
      <c r="L2344" s="31">
        <f t="shared" si="75"/>
        <v>2067.6333999999997</v>
      </c>
      <c r="M2344" s="31">
        <v>546.26</v>
      </c>
      <c r="N2344" s="22">
        <f>_xlfn.XLOOKUP(Snitch_Fashion_Sales_cleaned!$J2344,Table2[City],Table2[City_Key],"not found")</f>
        <v>6</v>
      </c>
      <c r="O2344" s="21">
        <f>_xlfn.XLOOKUP(Snitch_Fashion_Sales_cleaned!$D2344,Table4[Product_Name],Table4[Product_Key],"not found")</f>
        <v>3</v>
      </c>
      <c r="P2344" s="25">
        <f>_xlfn.XLOOKUP(Snitch_Fashion_Sales_cleaned!$I2344,Table3[Order_Date],Table3[Date_Key])</f>
        <v>5</v>
      </c>
    </row>
    <row r="2345" spans="1:16" x14ac:dyDescent="0.3">
      <c r="A2345" s="34">
        <v>3343</v>
      </c>
      <c r="B2345" s="32" t="s">
        <v>2354</v>
      </c>
      <c r="C2345" s="32" t="s">
        <v>31</v>
      </c>
      <c r="D2345" s="33" t="s">
        <v>78</v>
      </c>
      <c r="E2345" s="34">
        <v>4</v>
      </c>
      <c r="F2345" s="35">
        <v>3677.95</v>
      </c>
      <c r="G2345" s="36">
        <v>0.42</v>
      </c>
      <c r="H2345" s="35">
        <f t="shared" si="74"/>
        <v>14711.8</v>
      </c>
      <c r="I2345" s="37">
        <v>45713</v>
      </c>
      <c r="J2345" s="33" t="s">
        <v>22</v>
      </c>
      <c r="K2345" s="33" t="s">
        <v>16</v>
      </c>
      <c r="L2345" s="38">
        <f t="shared" si="75"/>
        <v>8532.844000000001</v>
      </c>
      <c r="M2345" s="38">
        <v>958.93</v>
      </c>
      <c r="N2345" s="24">
        <f>_xlfn.XLOOKUP(Snitch_Fashion_Sales_cleaned!$J2345,Table2[City],Table2[City_Key],"not found")</f>
        <v>3</v>
      </c>
      <c r="O2345" s="23">
        <f>_xlfn.XLOOKUP(Snitch_Fashion_Sales_cleaned!$D2345,Table4[Product_Name],Table4[Product_Key],"not found")</f>
        <v>17</v>
      </c>
      <c r="P2345" s="32">
        <f>_xlfn.XLOOKUP(Snitch_Fashion_Sales_cleaned!$I2345,Table3[Order_Date],Table3[Date_Key])</f>
        <v>549</v>
      </c>
    </row>
    <row r="2346" spans="1:16" x14ac:dyDescent="0.3">
      <c r="A2346" s="27">
        <v>3344</v>
      </c>
      <c r="B2346" s="25" t="s">
        <v>2355</v>
      </c>
      <c r="C2346" s="25" t="s">
        <v>20</v>
      </c>
      <c r="D2346" s="26" t="s">
        <v>21</v>
      </c>
      <c r="E2346" s="27">
        <v>4</v>
      </c>
      <c r="F2346" s="28">
        <v>2579.8000000000002</v>
      </c>
      <c r="G2346" s="29">
        <v>0.51</v>
      </c>
      <c r="H2346" s="28">
        <f t="shared" si="74"/>
        <v>10319.200000000001</v>
      </c>
      <c r="I2346" s="30">
        <v>45811</v>
      </c>
      <c r="J2346" s="26" t="s">
        <v>18</v>
      </c>
      <c r="K2346" s="26" t="s">
        <v>23</v>
      </c>
      <c r="L2346" s="31">
        <f t="shared" si="75"/>
        <v>5056.4080000000004</v>
      </c>
      <c r="M2346" s="31">
        <v>1933.51</v>
      </c>
      <c r="N2346" s="22">
        <f>_xlfn.XLOOKUP(Snitch_Fashion_Sales_cleaned!$J2346,Table2[City],Table2[City_Key],"not found")</f>
        <v>2</v>
      </c>
      <c r="O2346" s="21">
        <f>_xlfn.XLOOKUP(Snitch_Fashion_Sales_cleaned!$D2346,Table4[Product_Name],Table4[Product_Key],"not found")</f>
        <v>2</v>
      </c>
      <c r="P2346" s="25">
        <f>_xlfn.XLOOKUP(Snitch_Fashion_Sales_cleaned!$I2346,Table3[Order_Date],Table3[Date_Key])</f>
        <v>368</v>
      </c>
    </row>
    <row r="2347" spans="1:16" x14ac:dyDescent="0.3">
      <c r="A2347" s="34">
        <v>3345</v>
      </c>
      <c r="B2347" s="32" t="s">
        <v>2356</v>
      </c>
      <c r="C2347" s="32" t="s">
        <v>36</v>
      </c>
      <c r="D2347" s="33" t="s">
        <v>59</v>
      </c>
      <c r="E2347" s="34">
        <v>3</v>
      </c>
      <c r="F2347" s="35">
        <v>2765.26</v>
      </c>
      <c r="G2347" s="36">
        <v>0.51</v>
      </c>
      <c r="H2347" s="35">
        <f t="shared" si="74"/>
        <v>8295.7800000000007</v>
      </c>
      <c r="I2347" s="37">
        <v>45679</v>
      </c>
      <c r="J2347" s="33" t="s">
        <v>2540</v>
      </c>
      <c r="K2347" s="33" t="s">
        <v>23</v>
      </c>
      <c r="L2347" s="38">
        <f t="shared" si="75"/>
        <v>4064.9322000000002</v>
      </c>
      <c r="M2347" s="38">
        <v>461.25</v>
      </c>
      <c r="N2347" s="24">
        <f>_xlfn.XLOOKUP(Snitch_Fashion_Sales_cleaned!$J2347,Table2[City],Table2[City_Key],"not found")</f>
        <v>4</v>
      </c>
      <c r="O2347" s="23">
        <f>_xlfn.XLOOKUP(Snitch_Fashion_Sales_cleaned!$D2347,Table4[Product_Name],Table4[Product_Key],"not found")</f>
        <v>13</v>
      </c>
      <c r="P2347" s="32">
        <f>_xlfn.XLOOKUP(Snitch_Fashion_Sales_cleaned!$I2347,Table3[Order_Date],Table3[Date_Key])</f>
        <v>217</v>
      </c>
    </row>
    <row r="2348" spans="1:16" x14ac:dyDescent="0.3">
      <c r="A2348" s="27">
        <v>3346</v>
      </c>
      <c r="B2348" s="25" t="s">
        <v>2357</v>
      </c>
      <c r="C2348" s="25" t="s">
        <v>25</v>
      </c>
      <c r="D2348" s="26" t="s">
        <v>50</v>
      </c>
      <c r="E2348" s="27">
        <v>2</v>
      </c>
      <c r="F2348" s="28">
        <v>1266.23</v>
      </c>
      <c r="G2348" s="29">
        <v>0.81</v>
      </c>
      <c r="H2348" s="28">
        <f t="shared" si="74"/>
        <v>2532.46</v>
      </c>
      <c r="I2348" s="30">
        <v>45651</v>
      </c>
      <c r="J2348" s="26" t="s">
        <v>18</v>
      </c>
      <c r="K2348" s="26" t="s">
        <v>23</v>
      </c>
      <c r="L2348" s="31">
        <f t="shared" si="75"/>
        <v>481.16739999999987</v>
      </c>
      <c r="M2348" s="31">
        <v>416.5</v>
      </c>
      <c r="N2348" s="22">
        <f>_xlfn.XLOOKUP(Snitch_Fashion_Sales_cleaned!$J2348,Table2[City],Table2[City_Key],"not found")</f>
        <v>2</v>
      </c>
      <c r="O2348" s="21">
        <f>_xlfn.XLOOKUP(Snitch_Fashion_Sales_cleaned!$D2348,Table4[Product_Name],Table4[Product_Key],"not found")</f>
        <v>11</v>
      </c>
      <c r="P2348" s="25">
        <f>_xlfn.XLOOKUP(Snitch_Fashion_Sales_cleaned!$I2348,Table3[Order_Date],Table3[Date_Key])</f>
        <v>174</v>
      </c>
    </row>
    <row r="2349" spans="1:16" x14ac:dyDescent="0.3">
      <c r="A2349" s="34">
        <v>3347</v>
      </c>
      <c r="B2349" s="32" t="s">
        <v>2358</v>
      </c>
      <c r="C2349" s="32" t="s">
        <v>20</v>
      </c>
      <c r="D2349" s="33" t="s">
        <v>84</v>
      </c>
      <c r="E2349" s="34">
        <v>3</v>
      </c>
      <c r="F2349" s="35">
        <v>3873.27</v>
      </c>
      <c r="G2349" s="36">
        <v>0.51</v>
      </c>
      <c r="H2349" s="35">
        <f t="shared" si="74"/>
        <v>11619.81</v>
      </c>
      <c r="I2349" s="37">
        <v>45656</v>
      </c>
      <c r="J2349" s="33" t="s">
        <v>22</v>
      </c>
      <c r="K2349" s="33" t="s">
        <v>23</v>
      </c>
      <c r="L2349" s="38">
        <f t="shared" si="75"/>
        <v>5693.7068999999992</v>
      </c>
      <c r="M2349" s="38">
        <v>212.7</v>
      </c>
      <c r="N2349" s="24">
        <f>_xlfn.XLOOKUP(Snitch_Fashion_Sales_cleaned!$J2349,Table2[City],Table2[City_Key],"not found")</f>
        <v>3</v>
      </c>
      <c r="O2349" s="23">
        <f>_xlfn.XLOOKUP(Snitch_Fashion_Sales_cleaned!$D2349,Table4[Product_Name],Table4[Product_Key],"not found")</f>
        <v>19</v>
      </c>
      <c r="P2349" s="32">
        <f>_xlfn.XLOOKUP(Snitch_Fashion_Sales_cleaned!$I2349,Table3[Order_Date],Table3[Date_Key])</f>
        <v>67</v>
      </c>
    </row>
    <row r="2350" spans="1:16" x14ac:dyDescent="0.3">
      <c r="A2350" s="27">
        <v>3348</v>
      </c>
      <c r="B2350" s="25" t="s">
        <v>2359</v>
      </c>
      <c r="C2350" s="25" t="s">
        <v>20</v>
      </c>
      <c r="D2350" s="26" t="s">
        <v>118</v>
      </c>
      <c r="E2350" s="27">
        <v>3.5</v>
      </c>
      <c r="F2350" s="28">
        <v>2752.99</v>
      </c>
      <c r="G2350" s="29">
        <v>0.98</v>
      </c>
      <c r="H2350" s="28">
        <f t="shared" si="74"/>
        <v>9635.4650000000001</v>
      </c>
      <c r="I2350" s="30">
        <v>45592</v>
      </c>
      <c r="J2350" s="26" t="s">
        <v>52</v>
      </c>
      <c r="K2350" s="26" t="s">
        <v>23</v>
      </c>
      <c r="L2350" s="31">
        <f t="shared" si="75"/>
        <v>192.70930000000018</v>
      </c>
      <c r="M2350" s="31">
        <v>48.177325000000046</v>
      </c>
      <c r="N2350" s="22">
        <f>_xlfn.XLOOKUP(Snitch_Fashion_Sales_cleaned!$J2350,Table2[City],Table2[City_Key],"not found")</f>
        <v>5</v>
      </c>
      <c r="O2350" s="21">
        <f>_xlfn.XLOOKUP(Snitch_Fashion_Sales_cleaned!$D2350,Table4[Product_Name],Table4[Product_Key],"not found")</f>
        <v>23</v>
      </c>
      <c r="P2350" s="25">
        <f>_xlfn.XLOOKUP(Snitch_Fashion_Sales_cleaned!$I2350,Table3[Order_Date],Table3[Date_Key])</f>
        <v>159</v>
      </c>
    </row>
    <row r="2351" spans="1:16" x14ac:dyDescent="0.3">
      <c r="A2351" s="34">
        <v>3349</v>
      </c>
      <c r="B2351" s="32" t="s">
        <v>2360</v>
      </c>
      <c r="C2351" s="32" t="s">
        <v>20</v>
      </c>
      <c r="D2351" s="33" t="s">
        <v>76</v>
      </c>
      <c r="E2351" s="34">
        <v>3</v>
      </c>
      <c r="F2351" s="35">
        <v>1866.28</v>
      </c>
      <c r="G2351" s="36">
        <v>0.51</v>
      </c>
      <c r="H2351" s="35">
        <f t="shared" si="74"/>
        <v>5598.84</v>
      </c>
      <c r="I2351" s="37">
        <v>45840</v>
      </c>
      <c r="J2351" s="33" t="s">
        <v>43</v>
      </c>
      <c r="K2351" s="33" t="s">
        <v>23</v>
      </c>
      <c r="L2351" s="38">
        <f t="shared" si="75"/>
        <v>2743.4315999999999</v>
      </c>
      <c r="M2351" s="38">
        <v>1605.37</v>
      </c>
      <c r="N2351" s="24">
        <f>_xlfn.XLOOKUP(Snitch_Fashion_Sales_cleaned!$J2351,Table2[City],Table2[City_Key],"not found")</f>
        <v>6</v>
      </c>
      <c r="O2351" s="23">
        <f>_xlfn.XLOOKUP(Snitch_Fashion_Sales_cleaned!$D2351,Table4[Product_Name],Table4[Product_Key],"not found")</f>
        <v>16</v>
      </c>
      <c r="P2351" s="32">
        <f>_xlfn.XLOOKUP(Snitch_Fashion_Sales_cleaned!$I2351,Table3[Order_Date],Table3[Date_Key])</f>
        <v>322</v>
      </c>
    </row>
    <row r="2352" spans="1:16" x14ac:dyDescent="0.3">
      <c r="A2352" s="27">
        <v>3350</v>
      </c>
      <c r="B2352" s="25" t="s">
        <v>2361</v>
      </c>
      <c r="C2352" s="25" t="s">
        <v>25</v>
      </c>
      <c r="D2352" s="26" t="s">
        <v>62</v>
      </c>
      <c r="E2352" s="27">
        <v>4</v>
      </c>
      <c r="F2352" s="28">
        <v>2538.0450000000001</v>
      </c>
      <c r="G2352" s="29">
        <v>0.51</v>
      </c>
      <c r="H2352" s="28">
        <f t="shared" si="74"/>
        <v>10152.18</v>
      </c>
      <c r="I2352" s="30">
        <v>45337</v>
      </c>
      <c r="J2352" s="26" t="s">
        <v>22</v>
      </c>
      <c r="K2352" s="26" t="s">
        <v>16</v>
      </c>
      <c r="L2352" s="31">
        <f t="shared" si="75"/>
        <v>4974.5681999999997</v>
      </c>
      <c r="M2352" s="31">
        <v>14.57</v>
      </c>
      <c r="N2352" s="22">
        <f>_xlfn.XLOOKUP(Snitch_Fashion_Sales_cleaned!$J2352,Table2[City],Table2[City_Key],"not found")</f>
        <v>3</v>
      </c>
      <c r="O2352" s="21">
        <f>_xlfn.XLOOKUP(Snitch_Fashion_Sales_cleaned!$D2352,Table4[Product_Name],Table4[Product_Key],"not found")</f>
        <v>14</v>
      </c>
      <c r="P2352" s="25">
        <f>_xlfn.XLOOKUP(Snitch_Fashion_Sales_cleaned!$I2352,Table3[Order_Date],Table3[Date_Key])</f>
        <v>332</v>
      </c>
    </row>
    <row r="2353" spans="1:16" x14ac:dyDescent="0.3">
      <c r="A2353" s="34">
        <v>3351</v>
      </c>
      <c r="B2353" s="32" t="s">
        <v>2362</v>
      </c>
      <c r="C2353" s="32" t="s">
        <v>13</v>
      </c>
      <c r="D2353" s="33" t="s">
        <v>34</v>
      </c>
      <c r="E2353" s="34">
        <v>3</v>
      </c>
      <c r="F2353" s="35">
        <v>3008.6549999999997</v>
      </c>
      <c r="G2353" s="36">
        <v>0.56999999999999995</v>
      </c>
      <c r="H2353" s="35">
        <f t="shared" si="74"/>
        <v>9025.9650000000001</v>
      </c>
      <c r="I2353" s="37">
        <v>45620</v>
      </c>
      <c r="J2353" s="33" t="s">
        <v>43</v>
      </c>
      <c r="K2353" s="33" t="s">
        <v>16</v>
      </c>
      <c r="L2353" s="38">
        <f t="shared" si="75"/>
        <v>3881.1649500000003</v>
      </c>
      <c r="M2353" s="38">
        <v>211.03</v>
      </c>
      <c r="N2353" s="24">
        <f>_xlfn.XLOOKUP(Snitch_Fashion_Sales_cleaned!$J2353,Table2[City],Table2[City_Key],"not found")</f>
        <v>6</v>
      </c>
      <c r="O2353" s="23">
        <f>_xlfn.XLOOKUP(Snitch_Fashion_Sales_cleaned!$D2353,Table4[Product_Name],Table4[Product_Key],"not found")</f>
        <v>6</v>
      </c>
      <c r="P2353" s="32">
        <f>_xlfn.XLOOKUP(Snitch_Fashion_Sales_cleaned!$I2353,Table3[Order_Date],Table3[Date_Key])</f>
        <v>213</v>
      </c>
    </row>
    <row r="2354" spans="1:16" x14ac:dyDescent="0.3">
      <c r="A2354" s="27">
        <v>3352</v>
      </c>
      <c r="B2354" s="25" t="s">
        <v>2363</v>
      </c>
      <c r="C2354" s="25" t="s">
        <v>28</v>
      </c>
      <c r="D2354" s="26" t="s">
        <v>29</v>
      </c>
      <c r="E2354" s="27">
        <v>3</v>
      </c>
      <c r="F2354" s="28">
        <v>2559.35</v>
      </c>
      <c r="G2354" s="29">
        <v>0.51</v>
      </c>
      <c r="H2354" s="28">
        <f t="shared" si="74"/>
        <v>7678.0499999999993</v>
      </c>
      <c r="I2354" s="30">
        <v>45207</v>
      </c>
      <c r="J2354" s="26" t="s">
        <v>18</v>
      </c>
      <c r="K2354" s="26" t="s">
        <v>23</v>
      </c>
      <c r="L2354" s="31">
        <f t="shared" si="75"/>
        <v>3762.2444999999998</v>
      </c>
      <c r="M2354" s="31">
        <v>1386.39</v>
      </c>
      <c r="N2354" s="22">
        <f>_xlfn.XLOOKUP(Snitch_Fashion_Sales_cleaned!$J2354,Table2[City],Table2[City_Key],"not found")</f>
        <v>2</v>
      </c>
      <c r="O2354" s="21">
        <f>_xlfn.XLOOKUP(Snitch_Fashion_Sales_cleaned!$D2354,Table4[Product_Name],Table4[Product_Key],"not found")</f>
        <v>4</v>
      </c>
      <c r="P2354" s="25">
        <f>_xlfn.XLOOKUP(Snitch_Fashion_Sales_cleaned!$I2354,Table3[Order_Date],Table3[Date_Key])</f>
        <v>311</v>
      </c>
    </row>
    <row r="2355" spans="1:16" x14ac:dyDescent="0.3">
      <c r="A2355" s="34">
        <v>3353</v>
      </c>
      <c r="B2355" s="32" t="s">
        <v>811</v>
      </c>
      <c r="C2355" s="32" t="s">
        <v>20</v>
      </c>
      <c r="D2355" s="33" t="s">
        <v>118</v>
      </c>
      <c r="E2355" s="34">
        <v>3.5</v>
      </c>
      <c r="F2355" s="35">
        <v>2752.99</v>
      </c>
      <c r="G2355" s="36">
        <v>0.51</v>
      </c>
      <c r="H2355" s="35">
        <f t="shared" si="74"/>
        <v>9635.4650000000001</v>
      </c>
      <c r="I2355" s="37">
        <v>45617</v>
      </c>
      <c r="J2355" s="33" t="s">
        <v>22</v>
      </c>
      <c r="K2355" s="33" t="s">
        <v>23</v>
      </c>
      <c r="L2355" s="38">
        <f t="shared" si="75"/>
        <v>4721.3778499999999</v>
      </c>
      <c r="M2355" s="38">
        <v>-766.44</v>
      </c>
      <c r="N2355" s="24">
        <f>_xlfn.XLOOKUP(Snitch_Fashion_Sales_cleaned!$J2355,Table2[City],Table2[City_Key],"not found")</f>
        <v>3</v>
      </c>
      <c r="O2355" s="23">
        <f>_xlfn.XLOOKUP(Snitch_Fashion_Sales_cleaned!$D2355,Table4[Product_Name],Table4[Product_Key],"not found")</f>
        <v>23</v>
      </c>
      <c r="P2355" s="32">
        <f>_xlfn.XLOOKUP(Snitch_Fashion_Sales_cleaned!$I2355,Table3[Order_Date],Table3[Date_Key])</f>
        <v>199</v>
      </c>
    </row>
    <row r="2356" spans="1:16" x14ac:dyDescent="0.3">
      <c r="A2356" s="27">
        <v>3354</v>
      </c>
      <c r="B2356" s="25" t="s">
        <v>2364</v>
      </c>
      <c r="C2356" s="25" t="s">
        <v>20</v>
      </c>
      <c r="D2356" s="26" t="s">
        <v>118</v>
      </c>
      <c r="E2356" s="27">
        <v>3.5</v>
      </c>
      <c r="F2356" s="28">
        <v>2752.99</v>
      </c>
      <c r="G2356" s="29">
        <v>0.74</v>
      </c>
      <c r="H2356" s="28">
        <f t="shared" si="74"/>
        <v>9635.4650000000001</v>
      </c>
      <c r="I2356" s="30">
        <v>45764</v>
      </c>
      <c r="J2356" s="26" t="s">
        <v>22</v>
      </c>
      <c r="K2356" s="26" t="s">
        <v>23</v>
      </c>
      <c r="L2356" s="31">
        <f t="shared" si="75"/>
        <v>2505.2209000000003</v>
      </c>
      <c r="M2356" s="31">
        <v>626.30522500000006</v>
      </c>
      <c r="N2356" s="22">
        <f>_xlfn.XLOOKUP(Snitch_Fashion_Sales_cleaned!$J2356,Table2[City],Table2[City_Key],"not found")</f>
        <v>3</v>
      </c>
      <c r="O2356" s="21">
        <f>_xlfn.XLOOKUP(Snitch_Fashion_Sales_cleaned!$D2356,Table4[Product_Name],Table4[Product_Key],"not found")</f>
        <v>23</v>
      </c>
      <c r="P2356" s="25">
        <f>_xlfn.XLOOKUP(Snitch_Fashion_Sales_cleaned!$I2356,Table3[Order_Date],Table3[Date_Key])</f>
        <v>121</v>
      </c>
    </row>
    <row r="2357" spans="1:16" x14ac:dyDescent="0.3">
      <c r="A2357" s="34">
        <v>3355</v>
      </c>
      <c r="B2357" s="32" t="s">
        <v>2365</v>
      </c>
      <c r="C2357" s="32" t="s">
        <v>28</v>
      </c>
      <c r="D2357" s="33" t="s">
        <v>29</v>
      </c>
      <c r="E2357" s="34">
        <v>3</v>
      </c>
      <c r="F2357" s="35">
        <v>3111.18</v>
      </c>
      <c r="G2357" s="36">
        <v>0.03</v>
      </c>
      <c r="H2357" s="35">
        <f t="shared" si="74"/>
        <v>9333.5399999999991</v>
      </c>
      <c r="I2357" s="37">
        <v>45647</v>
      </c>
      <c r="J2357" s="33" t="s">
        <v>18</v>
      </c>
      <c r="K2357" s="33" t="s">
        <v>23</v>
      </c>
      <c r="L2357" s="38">
        <f t="shared" si="75"/>
        <v>9053.5337999999992</v>
      </c>
      <c r="M2357" s="38">
        <v>1851.74</v>
      </c>
      <c r="N2357" s="24">
        <f>_xlfn.XLOOKUP(Snitch_Fashion_Sales_cleaned!$J2357,Table2[City],Table2[City_Key],"not found")</f>
        <v>2</v>
      </c>
      <c r="O2357" s="23">
        <f>_xlfn.XLOOKUP(Snitch_Fashion_Sales_cleaned!$D2357,Table4[Product_Name],Table4[Product_Key],"not found")</f>
        <v>4</v>
      </c>
      <c r="P2357" s="32">
        <f>_xlfn.XLOOKUP(Snitch_Fashion_Sales_cleaned!$I2357,Table3[Order_Date],Table3[Date_Key])</f>
        <v>5</v>
      </c>
    </row>
    <row r="2358" spans="1:16" x14ac:dyDescent="0.3">
      <c r="A2358" s="27">
        <v>3356</v>
      </c>
      <c r="B2358" s="25" t="s">
        <v>2366</v>
      </c>
      <c r="C2358" s="25" t="s">
        <v>25</v>
      </c>
      <c r="D2358" s="26" t="s">
        <v>62</v>
      </c>
      <c r="E2358" s="27">
        <v>1</v>
      </c>
      <c r="F2358" s="28">
        <v>966.41</v>
      </c>
      <c r="G2358" s="29">
        <v>0.51</v>
      </c>
      <c r="H2358" s="28">
        <f t="shared" si="74"/>
        <v>966.41</v>
      </c>
      <c r="I2358" s="30">
        <v>45499</v>
      </c>
      <c r="J2358" s="26" t="s">
        <v>2540</v>
      </c>
      <c r="K2358" s="26" t="s">
        <v>16</v>
      </c>
      <c r="L2358" s="31">
        <f t="shared" si="75"/>
        <v>473.54089999999997</v>
      </c>
      <c r="M2358" s="31">
        <v>118.38522499999999</v>
      </c>
      <c r="N2358" s="22">
        <f>_xlfn.XLOOKUP(Snitch_Fashion_Sales_cleaned!$J2358,Table2[City],Table2[City_Key],"not found")</f>
        <v>4</v>
      </c>
      <c r="O2358" s="21">
        <f>_xlfn.XLOOKUP(Snitch_Fashion_Sales_cleaned!$D2358,Table4[Product_Name],Table4[Product_Key],"not found")</f>
        <v>14</v>
      </c>
      <c r="P2358" s="25">
        <f>_xlfn.XLOOKUP(Snitch_Fashion_Sales_cleaned!$I2358,Table3[Order_Date],Table3[Date_Key])</f>
        <v>176</v>
      </c>
    </row>
    <row r="2359" spans="1:16" x14ac:dyDescent="0.3">
      <c r="A2359" s="34">
        <v>3357</v>
      </c>
      <c r="B2359" s="32" t="s">
        <v>2367</v>
      </c>
      <c r="C2359" s="32" t="s">
        <v>36</v>
      </c>
      <c r="D2359" s="33" t="s">
        <v>55</v>
      </c>
      <c r="E2359" s="34">
        <v>3</v>
      </c>
      <c r="F2359" s="35">
        <v>4909.58</v>
      </c>
      <c r="G2359" s="36">
        <v>0.51</v>
      </c>
      <c r="H2359" s="35">
        <f t="shared" si="74"/>
        <v>14728.74</v>
      </c>
      <c r="I2359" s="37">
        <v>45213</v>
      </c>
      <c r="J2359" s="33" t="s">
        <v>43</v>
      </c>
      <c r="K2359" s="33" t="s">
        <v>23</v>
      </c>
      <c r="L2359" s="38">
        <f t="shared" si="75"/>
        <v>7217.0825999999997</v>
      </c>
      <c r="M2359" s="38">
        <v>-500.19</v>
      </c>
      <c r="N2359" s="24">
        <f>_xlfn.XLOOKUP(Snitch_Fashion_Sales_cleaned!$J2359,Table2[City],Table2[City_Key],"not found")</f>
        <v>6</v>
      </c>
      <c r="O2359" s="23">
        <f>_xlfn.XLOOKUP(Snitch_Fashion_Sales_cleaned!$D2359,Table4[Product_Name],Table4[Product_Key],"not found")</f>
        <v>12</v>
      </c>
      <c r="P2359" s="32">
        <f>_xlfn.XLOOKUP(Snitch_Fashion_Sales_cleaned!$I2359,Table3[Order_Date],Table3[Date_Key])</f>
        <v>406</v>
      </c>
    </row>
    <row r="2360" spans="1:16" x14ac:dyDescent="0.3">
      <c r="A2360" s="27">
        <v>3358</v>
      </c>
      <c r="B2360" s="25" t="s">
        <v>2368</v>
      </c>
      <c r="C2360" s="25" t="s">
        <v>36</v>
      </c>
      <c r="D2360" s="26" t="s">
        <v>59</v>
      </c>
      <c r="E2360" s="27">
        <v>3</v>
      </c>
      <c r="F2360" s="28">
        <v>2765.26</v>
      </c>
      <c r="G2360" s="29">
        <v>0.51</v>
      </c>
      <c r="H2360" s="28">
        <f t="shared" si="74"/>
        <v>8295.7800000000007</v>
      </c>
      <c r="I2360" s="30">
        <v>45618</v>
      </c>
      <c r="J2360" s="26" t="s">
        <v>15</v>
      </c>
      <c r="K2360" s="26" t="s">
        <v>16</v>
      </c>
      <c r="L2360" s="31">
        <f t="shared" si="75"/>
        <v>4064.9322000000002</v>
      </c>
      <c r="M2360" s="31">
        <v>1541.97</v>
      </c>
      <c r="N2360" s="22">
        <f>_xlfn.XLOOKUP(Snitch_Fashion_Sales_cleaned!$J2360,Table2[City],Table2[City_Key],"not found")</f>
        <v>1</v>
      </c>
      <c r="O2360" s="21">
        <f>_xlfn.XLOOKUP(Snitch_Fashion_Sales_cleaned!$D2360,Table4[Product_Name],Table4[Product_Key],"not found")</f>
        <v>13</v>
      </c>
      <c r="P2360" s="25">
        <f>_xlfn.XLOOKUP(Snitch_Fashion_Sales_cleaned!$I2360,Table3[Order_Date],Table3[Date_Key])</f>
        <v>447</v>
      </c>
    </row>
    <row r="2361" spans="1:16" x14ac:dyDescent="0.3">
      <c r="A2361" s="34">
        <v>3359</v>
      </c>
      <c r="B2361" s="32" t="s">
        <v>2369</v>
      </c>
      <c r="C2361" s="32" t="s">
        <v>36</v>
      </c>
      <c r="D2361" s="33" t="s">
        <v>55</v>
      </c>
      <c r="E2361" s="34">
        <v>3</v>
      </c>
      <c r="F2361" s="35">
        <v>1380.44</v>
      </c>
      <c r="G2361" s="36">
        <v>0.51</v>
      </c>
      <c r="H2361" s="35">
        <f t="shared" si="74"/>
        <v>4141.32</v>
      </c>
      <c r="I2361" s="37">
        <v>45647</v>
      </c>
      <c r="J2361" s="33" t="s">
        <v>22</v>
      </c>
      <c r="K2361" s="33" t="s">
        <v>23</v>
      </c>
      <c r="L2361" s="38">
        <f t="shared" si="75"/>
        <v>2029.2467999999999</v>
      </c>
      <c r="M2361" s="38">
        <v>-329.81</v>
      </c>
      <c r="N2361" s="24">
        <f>_xlfn.XLOOKUP(Snitch_Fashion_Sales_cleaned!$J2361,Table2[City],Table2[City_Key],"not found")</f>
        <v>3</v>
      </c>
      <c r="O2361" s="23">
        <f>_xlfn.XLOOKUP(Snitch_Fashion_Sales_cleaned!$D2361,Table4[Product_Name],Table4[Product_Key],"not found")</f>
        <v>12</v>
      </c>
      <c r="P2361" s="32">
        <f>_xlfn.XLOOKUP(Snitch_Fashion_Sales_cleaned!$I2361,Table3[Order_Date],Table3[Date_Key])</f>
        <v>5</v>
      </c>
    </row>
    <row r="2362" spans="1:16" x14ac:dyDescent="0.3">
      <c r="A2362" s="27">
        <v>3360</v>
      </c>
      <c r="B2362" s="25" t="s">
        <v>2370</v>
      </c>
      <c r="C2362" s="25" t="s">
        <v>13</v>
      </c>
      <c r="D2362" s="26" t="s">
        <v>14</v>
      </c>
      <c r="E2362" s="27">
        <v>5</v>
      </c>
      <c r="F2362" s="28">
        <v>2366.6149999999998</v>
      </c>
      <c r="G2362" s="29">
        <v>0.51</v>
      </c>
      <c r="H2362" s="28">
        <f t="shared" si="74"/>
        <v>11833.074999999999</v>
      </c>
      <c r="I2362" s="30">
        <v>45699</v>
      </c>
      <c r="J2362" s="26" t="s">
        <v>52</v>
      </c>
      <c r="K2362" s="26" t="s">
        <v>23</v>
      </c>
      <c r="L2362" s="31">
        <f t="shared" si="75"/>
        <v>5798.2067499999994</v>
      </c>
      <c r="M2362" s="31">
        <v>2229.54</v>
      </c>
      <c r="N2362" s="22">
        <f>_xlfn.XLOOKUP(Snitch_Fashion_Sales_cleaned!$J2362,Table2[City],Table2[City_Key],"not found")</f>
        <v>5</v>
      </c>
      <c r="O2362" s="21">
        <f>_xlfn.XLOOKUP(Snitch_Fashion_Sales_cleaned!$D2362,Table4[Product_Name],Table4[Product_Key],"not found")</f>
        <v>1</v>
      </c>
      <c r="P2362" s="25">
        <f>_xlfn.XLOOKUP(Snitch_Fashion_Sales_cleaned!$I2362,Table3[Order_Date],Table3[Date_Key])</f>
        <v>461</v>
      </c>
    </row>
    <row r="2363" spans="1:16" x14ac:dyDescent="0.3">
      <c r="A2363" s="34">
        <v>3361</v>
      </c>
      <c r="B2363" s="32" t="s">
        <v>2371</v>
      </c>
      <c r="C2363" s="32" t="s">
        <v>28</v>
      </c>
      <c r="D2363" s="33" t="s">
        <v>137</v>
      </c>
      <c r="E2363" s="34">
        <v>2</v>
      </c>
      <c r="F2363" s="35">
        <v>2338.04</v>
      </c>
      <c r="G2363" s="36">
        <v>0.51</v>
      </c>
      <c r="H2363" s="35">
        <f t="shared" si="74"/>
        <v>4676.08</v>
      </c>
      <c r="I2363" s="37">
        <v>45647</v>
      </c>
      <c r="J2363" s="33" t="s">
        <v>2540</v>
      </c>
      <c r="K2363" s="33" t="s">
        <v>23</v>
      </c>
      <c r="L2363" s="38">
        <f t="shared" si="75"/>
        <v>2291.2791999999999</v>
      </c>
      <c r="M2363" s="38">
        <v>1648.42</v>
      </c>
      <c r="N2363" s="24">
        <f>_xlfn.XLOOKUP(Snitch_Fashion_Sales_cleaned!$J2363,Table2[City],Table2[City_Key],"not found")</f>
        <v>4</v>
      </c>
      <c r="O2363" s="23">
        <f>_xlfn.XLOOKUP(Snitch_Fashion_Sales_cleaned!$D2363,Table4[Product_Name],Table4[Product_Key],"not found")</f>
        <v>24</v>
      </c>
      <c r="P2363" s="32">
        <f>_xlfn.XLOOKUP(Snitch_Fashion_Sales_cleaned!$I2363,Table3[Order_Date],Table3[Date_Key])</f>
        <v>5</v>
      </c>
    </row>
    <row r="2364" spans="1:16" x14ac:dyDescent="0.3">
      <c r="A2364" s="27">
        <v>3362</v>
      </c>
      <c r="B2364" s="25" t="s">
        <v>2372</v>
      </c>
      <c r="C2364" s="25" t="s">
        <v>28</v>
      </c>
      <c r="D2364" s="26" t="s">
        <v>29</v>
      </c>
      <c r="E2364" s="27">
        <v>2</v>
      </c>
      <c r="F2364" s="28">
        <v>2515.415</v>
      </c>
      <c r="G2364" s="29">
        <v>0.51</v>
      </c>
      <c r="H2364" s="28">
        <f t="shared" si="74"/>
        <v>5030.83</v>
      </c>
      <c r="I2364" s="30">
        <v>45802</v>
      </c>
      <c r="J2364" s="26" t="s">
        <v>52</v>
      </c>
      <c r="K2364" s="26" t="s">
        <v>23</v>
      </c>
      <c r="L2364" s="31">
        <f t="shared" si="75"/>
        <v>2465.1066999999998</v>
      </c>
      <c r="M2364" s="31">
        <v>1445.86</v>
      </c>
      <c r="N2364" s="22">
        <f>_xlfn.XLOOKUP(Snitch_Fashion_Sales_cleaned!$J2364,Table2[City],Table2[City_Key],"not found")</f>
        <v>5</v>
      </c>
      <c r="O2364" s="21">
        <f>_xlfn.XLOOKUP(Snitch_Fashion_Sales_cleaned!$D2364,Table4[Product_Name],Table4[Product_Key],"not found")</f>
        <v>4</v>
      </c>
      <c r="P2364" s="25">
        <f>_xlfn.XLOOKUP(Snitch_Fashion_Sales_cleaned!$I2364,Table3[Order_Date],Table3[Date_Key])</f>
        <v>345</v>
      </c>
    </row>
    <row r="2365" spans="1:16" x14ac:dyDescent="0.3">
      <c r="A2365" s="34">
        <v>3363</v>
      </c>
      <c r="B2365" s="32" t="s">
        <v>2373</v>
      </c>
      <c r="C2365" s="32" t="s">
        <v>20</v>
      </c>
      <c r="D2365" s="33" t="s">
        <v>21</v>
      </c>
      <c r="E2365" s="34">
        <v>4</v>
      </c>
      <c r="F2365" s="35">
        <v>3754.24</v>
      </c>
      <c r="G2365" s="36">
        <v>0.51</v>
      </c>
      <c r="H2365" s="35">
        <f t="shared" si="74"/>
        <v>15016.96</v>
      </c>
      <c r="I2365" s="37">
        <v>45647</v>
      </c>
      <c r="J2365" s="33" t="s">
        <v>15</v>
      </c>
      <c r="K2365" s="33" t="s">
        <v>23</v>
      </c>
      <c r="L2365" s="38">
        <f t="shared" si="75"/>
        <v>7358.3103999999994</v>
      </c>
      <c r="M2365" s="38">
        <v>461.46</v>
      </c>
      <c r="N2365" s="24">
        <f>_xlfn.XLOOKUP(Snitch_Fashion_Sales_cleaned!$J2365,Table2[City],Table2[City_Key],"not found")</f>
        <v>1</v>
      </c>
      <c r="O2365" s="23">
        <f>_xlfn.XLOOKUP(Snitch_Fashion_Sales_cleaned!$D2365,Table4[Product_Name],Table4[Product_Key],"not found")</f>
        <v>2</v>
      </c>
      <c r="P2365" s="32">
        <f>_xlfn.XLOOKUP(Snitch_Fashion_Sales_cleaned!$I2365,Table3[Order_Date],Table3[Date_Key])</f>
        <v>5</v>
      </c>
    </row>
    <row r="2366" spans="1:16" x14ac:dyDescent="0.3">
      <c r="A2366" s="27">
        <v>3364</v>
      </c>
      <c r="B2366" s="25" t="s">
        <v>2374</v>
      </c>
      <c r="C2366" s="25" t="s">
        <v>20</v>
      </c>
      <c r="D2366" s="26" t="s">
        <v>118</v>
      </c>
      <c r="E2366" s="27">
        <v>3.5</v>
      </c>
      <c r="F2366" s="28">
        <v>2752.99</v>
      </c>
      <c r="G2366" s="29">
        <v>0.51</v>
      </c>
      <c r="H2366" s="28">
        <f t="shared" si="74"/>
        <v>9635.4650000000001</v>
      </c>
      <c r="I2366" s="30">
        <v>45846</v>
      </c>
      <c r="J2366" s="26" t="s">
        <v>18</v>
      </c>
      <c r="K2366" s="26" t="s">
        <v>23</v>
      </c>
      <c r="L2366" s="31">
        <f t="shared" si="75"/>
        <v>4721.3778499999999</v>
      </c>
      <c r="M2366" s="31">
        <v>-552.42999999999995</v>
      </c>
      <c r="N2366" s="22">
        <f>_xlfn.XLOOKUP(Snitch_Fashion_Sales_cleaned!$J2366,Table2[City],Table2[City_Key],"not found")</f>
        <v>2</v>
      </c>
      <c r="O2366" s="21">
        <f>_xlfn.XLOOKUP(Snitch_Fashion_Sales_cleaned!$D2366,Table4[Product_Name],Table4[Product_Key],"not found")</f>
        <v>23</v>
      </c>
      <c r="P2366" s="25">
        <f>_xlfn.XLOOKUP(Snitch_Fashion_Sales_cleaned!$I2366,Table3[Order_Date],Table3[Date_Key])</f>
        <v>35</v>
      </c>
    </row>
    <row r="2367" spans="1:16" x14ac:dyDescent="0.3">
      <c r="A2367" s="34">
        <v>3365</v>
      </c>
      <c r="B2367" s="32" t="s">
        <v>2375</v>
      </c>
      <c r="C2367" s="32" t="s">
        <v>25</v>
      </c>
      <c r="D2367" s="33" t="s">
        <v>26</v>
      </c>
      <c r="E2367" s="34">
        <v>4</v>
      </c>
      <c r="F2367" s="35">
        <v>2414.9299999999998</v>
      </c>
      <c r="G2367" s="36">
        <v>0.51</v>
      </c>
      <c r="H2367" s="35">
        <f t="shared" si="74"/>
        <v>9659.7199999999993</v>
      </c>
      <c r="I2367" s="37">
        <v>45771</v>
      </c>
      <c r="J2367" s="33" t="s">
        <v>2540</v>
      </c>
      <c r="K2367" s="33" t="s">
        <v>23</v>
      </c>
      <c r="L2367" s="38">
        <f t="shared" si="75"/>
        <v>4733.2627999999995</v>
      </c>
      <c r="M2367" s="38">
        <v>2493.6</v>
      </c>
      <c r="N2367" s="24">
        <f>_xlfn.XLOOKUP(Snitch_Fashion_Sales_cleaned!$J2367,Table2[City],Table2[City_Key],"not found")</f>
        <v>4</v>
      </c>
      <c r="O2367" s="23">
        <f>_xlfn.XLOOKUP(Snitch_Fashion_Sales_cleaned!$D2367,Table4[Product_Name],Table4[Product_Key],"not found")</f>
        <v>3</v>
      </c>
      <c r="P2367" s="32">
        <f>_xlfn.XLOOKUP(Snitch_Fashion_Sales_cleaned!$I2367,Table3[Order_Date],Table3[Date_Key])</f>
        <v>201</v>
      </c>
    </row>
    <row r="2368" spans="1:16" x14ac:dyDescent="0.3">
      <c r="A2368" s="27">
        <v>3366</v>
      </c>
      <c r="B2368" s="25" t="s">
        <v>1440</v>
      </c>
      <c r="C2368" s="25" t="s">
        <v>20</v>
      </c>
      <c r="D2368" s="26" t="s">
        <v>118</v>
      </c>
      <c r="E2368" s="27">
        <v>5</v>
      </c>
      <c r="F2368" s="28">
        <v>636.53</v>
      </c>
      <c r="G2368" s="29">
        <v>0.51</v>
      </c>
      <c r="H2368" s="28">
        <f t="shared" si="74"/>
        <v>3182.6499999999996</v>
      </c>
      <c r="I2368" s="30">
        <v>45748</v>
      </c>
      <c r="J2368" s="26" t="s">
        <v>22</v>
      </c>
      <c r="K2368" s="26" t="s">
        <v>23</v>
      </c>
      <c r="L2368" s="31">
        <f t="shared" si="75"/>
        <v>1559.4984999999997</v>
      </c>
      <c r="M2368" s="31">
        <v>-513.44000000000005</v>
      </c>
      <c r="N2368" s="22">
        <f>_xlfn.XLOOKUP(Snitch_Fashion_Sales_cleaned!$J2368,Table2[City],Table2[City_Key],"not found")</f>
        <v>3</v>
      </c>
      <c r="O2368" s="21">
        <f>_xlfn.XLOOKUP(Snitch_Fashion_Sales_cleaned!$D2368,Table4[Product_Name],Table4[Product_Key],"not found")</f>
        <v>23</v>
      </c>
      <c r="P2368" s="25">
        <f>_xlfn.XLOOKUP(Snitch_Fashion_Sales_cleaned!$I2368,Table3[Order_Date],Table3[Date_Key])</f>
        <v>72</v>
      </c>
    </row>
    <row r="2369" spans="1:16" x14ac:dyDescent="0.3">
      <c r="A2369" s="34">
        <v>3367</v>
      </c>
      <c r="B2369" s="32" t="s">
        <v>2376</v>
      </c>
      <c r="C2369" s="32" t="s">
        <v>28</v>
      </c>
      <c r="D2369" s="33" t="s">
        <v>116</v>
      </c>
      <c r="E2369" s="34">
        <v>4</v>
      </c>
      <c r="F2369" s="35">
        <v>4206.91</v>
      </c>
      <c r="G2369" s="36">
        <v>0.51</v>
      </c>
      <c r="H2369" s="35">
        <f t="shared" si="74"/>
        <v>16827.64</v>
      </c>
      <c r="I2369" s="37">
        <v>45493</v>
      </c>
      <c r="J2369" s="33" t="s">
        <v>2540</v>
      </c>
      <c r="K2369" s="33" t="s">
        <v>16</v>
      </c>
      <c r="L2369" s="38">
        <f t="shared" si="75"/>
        <v>8245.5435999999991</v>
      </c>
      <c r="M2369" s="38">
        <v>818.99</v>
      </c>
      <c r="N2369" s="24">
        <f>_xlfn.XLOOKUP(Snitch_Fashion_Sales_cleaned!$J2369,Table2[City],Table2[City_Key],"not found")</f>
        <v>4</v>
      </c>
      <c r="O2369" s="23">
        <f>_xlfn.XLOOKUP(Snitch_Fashion_Sales_cleaned!$D2369,Table4[Product_Name],Table4[Product_Key],"not found")</f>
        <v>22</v>
      </c>
      <c r="P2369" s="32">
        <f>_xlfn.XLOOKUP(Snitch_Fashion_Sales_cleaned!$I2369,Table3[Order_Date],Table3[Date_Key])</f>
        <v>556</v>
      </c>
    </row>
    <row r="2370" spans="1:16" x14ac:dyDescent="0.3">
      <c r="A2370" s="27">
        <v>3368</v>
      </c>
      <c r="B2370" s="25" t="s">
        <v>2377</v>
      </c>
      <c r="C2370" s="25" t="s">
        <v>28</v>
      </c>
      <c r="D2370" s="26" t="s">
        <v>39</v>
      </c>
      <c r="E2370" s="27">
        <v>4</v>
      </c>
      <c r="F2370" s="28">
        <v>2577.6350000000002</v>
      </c>
      <c r="G2370" s="29">
        <v>0.51</v>
      </c>
      <c r="H2370" s="28">
        <f t="shared" si="74"/>
        <v>10310.540000000001</v>
      </c>
      <c r="I2370" s="30">
        <v>45647</v>
      </c>
      <c r="J2370" s="26" t="s">
        <v>18</v>
      </c>
      <c r="K2370" s="26" t="s">
        <v>23</v>
      </c>
      <c r="L2370" s="31">
        <f t="shared" si="75"/>
        <v>5052.1646000000001</v>
      </c>
      <c r="M2370" s="31">
        <v>-862.24</v>
      </c>
      <c r="N2370" s="22">
        <f>_xlfn.XLOOKUP(Snitch_Fashion_Sales_cleaned!$J2370,Table2[City],Table2[City_Key],"not found")</f>
        <v>2</v>
      </c>
      <c r="O2370" s="21">
        <f>_xlfn.XLOOKUP(Snitch_Fashion_Sales_cleaned!$D2370,Table4[Product_Name],Table4[Product_Key],"not found")</f>
        <v>8</v>
      </c>
      <c r="P2370" s="25">
        <f>_xlfn.XLOOKUP(Snitch_Fashion_Sales_cleaned!$I2370,Table3[Order_Date],Table3[Date_Key])</f>
        <v>5</v>
      </c>
    </row>
    <row r="2371" spans="1:16" x14ac:dyDescent="0.3">
      <c r="A2371" s="34">
        <v>3369</v>
      </c>
      <c r="B2371" s="32" t="s">
        <v>2378</v>
      </c>
      <c r="C2371" s="32" t="s">
        <v>13</v>
      </c>
      <c r="D2371" s="33" t="s">
        <v>34</v>
      </c>
      <c r="E2371" s="34">
        <v>3</v>
      </c>
      <c r="F2371" s="35">
        <v>3008.6549999999997</v>
      </c>
      <c r="G2371" s="36">
        <v>0.51</v>
      </c>
      <c r="H2371" s="35">
        <f t="shared" si="74"/>
        <v>9025.9650000000001</v>
      </c>
      <c r="I2371" s="37">
        <v>45678</v>
      </c>
      <c r="J2371" s="33" t="s">
        <v>2540</v>
      </c>
      <c r="K2371" s="33" t="s">
        <v>23</v>
      </c>
      <c r="L2371" s="38">
        <f t="shared" si="75"/>
        <v>4422.7228500000001</v>
      </c>
      <c r="M2371" s="38">
        <v>245.55</v>
      </c>
      <c r="N2371" s="24">
        <f>_xlfn.XLOOKUP(Snitch_Fashion_Sales_cleaned!$J2371,Table2[City],Table2[City_Key],"not found")</f>
        <v>4</v>
      </c>
      <c r="O2371" s="23">
        <f>_xlfn.XLOOKUP(Snitch_Fashion_Sales_cleaned!$D2371,Table4[Product_Name],Table4[Product_Key],"not found")</f>
        <v>6</v>
      </c>
      <c r="P2371" s="32">
        <f>_xlfn.XLOOKUP(Snitch_Fashion_Sales_cleaned!$I2371,Table3[Order_Date],Table3[Date_Key])</f>
        <v>208</v>
      </c>
    </row>
    <row r="2372" spans="1:16" x14ac:dyDescent="0.3">
      <c r="A2372" s="27">
        <v>3370</v>
      </c>
      <c r="B2372" s="25" t="s">
        <v>2379</v>
      </c>
      <c r="C2372" s="25" t="s">
        <v>20</v>
      </c>
      <c r="D2372" s="26" t="s">
        <v>84</v>
      </c>
      <c r="E2372" s="27">
        <v>3</v>
      </c>
      <c r="F2372" s="28">
        <v>2537.59</v>
      </c>
      <c r="G2372" s="29">
        <v>0.51</v>
      </c>
      <c r="H2372" s="28">
        <f t="shared" si="74"/>
        <v>7612.77</v>
      </c>
      <c r="I2372" s="30">
        <v>45347</v>
      </c>
      <c r="J2372" s="26" t="s">
        <v>2540</v>
      </c>
      <c r="K2372" s="26" t="s">
        <v>23</v>
      </c>
      <c r="L2372" s="31">
        <f t="shared" si="75"/>
        <v>3730.2573000000002</v>
      </c>
      <c r="M2372" s="31">
        <v>1069.18</v>
      </c>
      <c r="N2372" s="22">
        <f>_xlfn.XLOOKUP(Snitch_Fashion_Sales_cleaned!$J2372,Table2[City],Table2[City_Key],"not found")</f>
        <v>4</v>
      </c>
      <c r="O2372" s="21">
        <f>_xlfn.XLOOKUP(Snitch_Fashion_Sales_cleaned!$D2372,Table4[Product_Name],Table4[Product_Key],"not found")</f>
        <v>19</v>
      </c>
      <c r="P2372" s="25">
        <f>_xlfn.XLOOKUP(Snitch_Fashion_Sales_cleaned!$I2372,Table3[Order_Date],Table3[Date_Key])</f>
        <v>545</v>
      </c>
    </row>
    <row r="2373" spans="1:16" x14ac:dyDescent="0.3">
      <c r="A2373" s="34">
        <v>3371</v>
      </c>
      <c r="B2373" s="32" t="s">
        <v>2380</v>
      </c>
      <c r="C2373" s="32" t="s">
        <v>13</v>
      </c>
      <c r="D2373" s="33" t="s">
        <v>46</v>
      </c>
      <c r="E2373" s="34">
        <v>5</v>
      </c>
      <c r="F2373" s="35">
        <v>2891.64</v>
      </c>
      <c r="G2373" s="36">
        <v>0.51</v>
      </c>
      <c r="H2373" s="35">
        <f t="shared" si="74"/>
        <v>14458.199999999999</v>
      </c>
      <c r="I2373" s="37">
        <v>45630</v>
      </c>
      <c r="J2373" s="33" t="s">
        <v>15</v>
      </c>
      <c r="K2373" s="33" t="s">
        <v>23</v>
      </c>
      <c r="L2373" s="38">
        <f t="shared" si="75"/>
        <v>7084.5179999999991</v>
      </c>
      <c r="M2373" s="38">
        <v>-276.12</v>
      </c>
      <c r="N2373" s="24">
        <f>_xlfn.XLOOKUP(Snitch_Fashion_Sales_cleaned!$J2373,Table2[City],Table2[City_Key],"not found")</f>
        <v>1</v>
      </c>
      <c r="O2373" s="23">
        <f>_xlfn.XLOOKUP(Snitch_Fashion_Sales_cleaned!$D2373,Table4[Product_Name],Table4[Product_Key],"not found")</f>
        <v>10</v>
      </c>
      <c r="P2373" s="32">
        <f>_xlfn.XLOOKUP(Snitch_Fashion_Sales_cleaned!$I2373,Table3[Order_Date],Table3[Date_Key])</f>
        <v>130</v>
      </c>
    </row>
    <row r="2374" spans="1:16" x14ac:dyDescent="0.3">
      <c r="A2374" s="27">
        <v>3372</v>
      </c>
      <c r="B2374" s="25" t="s">
        <v>2381</v>
      </c>
      <c r="C2374" s="25" t="s">
        <v>13</v>
      </c>
      <c r="D2374" s="26" t="s">
        <v>14</v>
      </c>
      <c r="E2374" s="27">
        <v>4</v>
      </c>
      <c r="F2374" s="28">
        <v>2291.31</v>
      </c>
      <c r="G2374" s="29">
        <v>0.51</v>
      </c>
      <c r="H2374" s="28">
        <f t="shared" ref="H2374:H2437" si="76">E2374*F2374</f>
        <v>9165.24</v>
      </c>
      <c r="I2374" s="30">
        <v>45157</v>
      </c>
      <c r="J2374" s="26" t="s">
        <v>52</v>
      </c>
      <c r="K2374" s="26" t="s">
        <v>23</v>
      </c>
      <c r="L2374" s="31">
        <f t="shared" ref="L2374:L2437" si="77">H2374*(1-G2374)</f>
        <v>4490.9675999999999</v>
      </c>
      <c r="M2374" s="31">
        <v>-169.68</v>
      </c>
      <c r="N2374" s="22">
        <f>_xlfn.XLOOKUP(Snitch_Fashion_Sales_cleaned!$J2374,Table2[City],Table2[City_Key],"not found")</f>
        <v>5</v>
      </c>
      <c r="O2374" s="21">
        <f>_xlfn.XLOOKUP(Snitch_Fashion_Sales_cleaned!$D2374,Table4[Product_Name],Table4[Product_Key],"not found")</f>
        <v>1</v>
      </c>
      <c r="P2374" s="25">
        <f>_xlfn.XLOOKUP(Snitch_Fashion_Sales_cleaned!$I2374,Table3[Order_Date],Table3[Date_Key])</f>
        <v>181</v>
      </c>
    </row>
    <row r="2375" spans="1:16" x14ac:dyDescent="0.3">
      <c r="A2375" s="34">
        <v>3373</v>
      </c>
      <c r="B2375" s="32" t="s">
        <v>2382</v>
      </c>
      <c r="C2375" s="32" t="s">
        <v>25</v>
      </c>
      <c r="D2375" s="33" t="s">
        <v>62</v>
      </c>
      <c r="E2375" s="34">
        <v>4</v>
      </c>
      <c r="F2375" s="35">
        <v>3507.48</v>
      </c>
      <c r="G2375" s="36">
        <v>0.51</v>
      </c>
      <c r="H2375" s="35">
        <f t="shared" si="76"/>
        <v>14029.92</v>
      </c>
      <c r="I2375" s="37">
        <v>45642</v>
      </c>
      <c r="J2375" s="33" t="s">
        <v>22</v>
      </c>
      <c r="K2375" s="33" t="s">
        <v>23</v>
      </c>
      <c r="L2375" s="38">
        <f t="shared" si="77"/>
        <v>6874.6607999999997</v>
      </c>
      <c r="M2375" s="38">
        <v>2821.27</v>
      </c>
      <c r="N2375" s="24">
        <f>_xlfn.XLOOKUP(Snitch_Fashion_Sales_cleaned!$J2375,Table2[City],Table2[City_Key],"not found")</f>
        <v>3</v>
      </c>
      <c r="O2375" s="23">
        <f>_xlfn.XLOOKUP(Snitch_Fashion_Sales_cleaned!$D2375,Table4[Product_Name],Table4[Product_Key],"not found")</f>
        <v>14</v>
      </c>
      <c r="P2375" s="32">
        <f>_xlfn.XLOOKUP(Snitch_Fashion_Sales_cleaned!$I2375,Table3[Order_Date],Table3[Date_Key])</f>
        <v>73</v>
      </c>
    </row>
    <row r="2376" spans="1:16" x14ac:dyDescent="0.3">
      <c r="A2376" s="27">
        <v>3374</v>
      </c>
      <c r="B2376" s="25" t="s">
        <v>2383</v>
      </c>
      <c r="C2376" s="25" t="s">
        <v>36</v>
      </c>
      <c r="D2376" s="26" t="s">
        <v>59</v>
      </c>
      <c r="E2376" s="27">
        <v>3</v>
      </c>
      <c r="F2376" s="28">
        <v>2489.23</v>
      </c>
      <c r="G2376" s="29">
        <v>0.51</v>
      </c>
      <c r="H2376" s="28">
        <f t="shared" si="76"/>
        <v>7467.6900000000005</v>
      </c>
      <c r="I2376" s="30">
        <v>45666</v>
      </c>
      <c r="J2376" s="26" t="s">
        <v>52</v>
      </c>
      <c r="K2376" s="26" t="s">
        <v>16</v>
      </c>
      <c r="L2376" s="31">
        <f t="shared" si="77"/>
        <v>3659.1681000000003</v>
      </c>
      <c r="M2376" s="31">
        <v>2977.05</v>
      </c>
      <c r="N2376" s="22">
        <f>_xlfn.XLOOKUP(Snitch_Fashion_Sales_cleaned!$J2376,Table2[City],Table2[City_Key],"not found")</f>
        <v>5</v>
      </c>
      <c r="O2376" s="21">
        <f>_xlfn.XLOOKUP(Snitch_Fashion_Sales_cleaned!$D2376,Table4[Product_Name],Table4[Product_Key],"not found")</f>
        <v>13</v>
      </c>
      <c r="P2376" s="25">
        <f>_xlfn.XLOOKUP(Snitch_Fashion_Sales_cleaned!$I2376,Table3[Order_Date],Table3[Date_Key])</f>
        <v>107</v>
      </c>
    </row>
    <row r="2377" spans="1:16" x14ac:dyDescent="0.3">
      <c r="A2377" s="34">
        <v>3375</v>
      </c>
      <c r="B2377" s="32" t="s">
        <v>2384</v>
      </c>
      <c r="C2377" s="32" t="s">
        <v>20</v>
      </c>
      <c r="D2377" s="33" t="s">
        <v>84</v>
      </c>
      <c r="E2377" s="34">
        <v>3</v>
      </c>
      <c r="F2377" s="35">
        <v>442.08</v>
      </c>
      <c r="G2377" s="36">
        <v>0.51</v>
      </c>
      <c r="H2377" s="35">
        <f t="shared" si="76"/>
        <v>1326.24</v>
      </c>
      <c r="I2377" s="37">
        <v>45672</v>
      </c>
      <c r="J2377" s="33" t="s">
        <v>52</v>
      </c>
      <c r="K2377" s="33" t="s">
        <v>23</v>
      </c>
      <c r="L2377" s="38">
        <f t="shared" si="77"/>
        <v>649.85760000000005</v>
      </c>
      <c r="M2377" s="38">
        <v>162.46440000000001</v>
      </c>
      <c r="N2377" s="24">
        <f>_xlfn.XLOOKUP(Snitch_Fashion_Sales_cleaned!$J2377,Table2[City],Table2[City_Key],"not found")</f>
        <v>5</v>
      </c>
      <c r="O2377" s="23">
        <f>_xlfn.XLOOKUP(Snitch_Fashion_Sales_cleaned!$D2377,Table4[Product_Name],Table4[Product_Key],"not found")</f>
        <v>19</v>
      </c>
      <c r="P2377" s="32">
        <f>_xlfn.XLOOKUP(Snitch_Fashion_Sales_cleaned!$I2377,Table3[Order_Date],Table3[Date_Key])</f>
        <v>48</v>
      </c>
    </row>
    <row r="2378" spans="1:16" x14ac:dyDescent="0.3">
      <c r="A2378" s="27">
        <v>3376</v>
      </c>
      <c r="B2378" s="25" t="s">
        <v>2385</v>
      </c>
      <c r="C2378" s="25" t="s">
        <v>13</v>
      </c>
      <c r="D2378" s="26" t="s">
        <v>98</v>
      </c>
      <c r="E2378" s="27">
        <v>5</v>
      </c>
      <c r="F2378" s="28">
        <v>2750.33</v>
      </c>
      <c r="G2378" s="29">
        <v>0.51</v>
      </c>
      <c r="H2378" s="28">
        <f t="shared" si="76"/>
        <v>13751.65</v>
      </c>
      <c r="I2378" s="30">
        <v>45269</v>
      </c>
      <c r="J2378" s="26" t="s">
        <v>15</v>
      </c>
      <c r="K2378" s="26" t="s">
        <v>23</v>
      </c>
      <c r="L2378" s="31">
        <f t="shared" si="77"/>
        <v>6738.3085000000001</v>
      </c>
      <c r="M2378" s="31">
        <v>1936.25</v>
      </c>
      <c r="N2378" s="22">
        <f>_xlfn.XLOOKUP(Snitch_Fashion_Sales_cleaned!$J2378,Table2[City],Table2[City_Key],"not found")</f>
        <v>1</v>
      </c>
      <c r="O2378" s="21">
        <f>_xlfn.XLOOKUP(Snitch_Fashion_Sales_cleaned!$D2378,Table4[Product_Name],Table4[Product_Key],"not found")</f>
        <v>21</v>
      </c>
      <c r="P2378" s="25">
        <f>_xlfn.XLOOKUP(Snitch_Fashion_Sales_cleaned!$I2378,Table3[Order_Date],Table3[Date_Key])</f>
        <v>250</v>
      </c>
    </row>
    <row r="2379" spans="1:16" x14ac:dyDescent="0.3">
      <c r="A2379" s="34">
        <v>3377</v>
      </c>
      <c r="B2379" s="32" t="s">
        <v>2386</v>
      </c>
      <c r="C2379" s="32" t="s">
        <v>36</v>
      </c>
      <c r="D2379" s="33" t="s">
        <v>59</v>
      </c>
      <c r="E2379" s="34">
        <v>3</v>
      </c>
      <c r="F2379" s="35">
        <v>1064.3699999999999</v>
      </c>
      <c r="G2379" s="36">
        <v>0.51</v>
      </c>
      <c r="H2379" s="35">
        <f t="shared" si="76"/>
        <v>3193.1099999999997</v>
      </c>
      <c r="I2379" s="37">
        <v>45816</v>
      </c>
      <c r="J2379" s="33" t="s">
        <v>15</v>
      </c>
      <c r="K2379" s="33" t="s">
        <v>23</v>
      </c>
      <c r="L2379" s="38">
        <f t="shared" si="77"/>
        <v>1564.6238999999998</v>
      </c>
      <c r="M2379" s="38">
        <v>-671.09</v>
      </c>
      <c r="N2379" s="24">
        <f>_xlfn.XLOOKUP(Snitch_Fashion_Sales_cleaned!$J2379,Table2[City],Table2[City_Key],"not found")</f>
        <v>1</v>
      </c>
      <c r="O2379" s="23">
        <f>_xlfn.XLOOKUP(Snitch_Fashion_Sales_cleaned!$D2379,Table4[Product_Name],Table4[Product_Key],"not found")</f>
        <v>13</v>
      </c>
      <c r="P2379" s="32">
        <f>_xlfn.XLOOKUP(Snitch_Fashion_Sales_cleaned!$I2379,Table3[Order_Date],Table3[Date_Key])</f>
        <v>205</v>
      </c>
    </row>
    <row r="2380" spans="1:16" x14ac:dyDescent="0.3">
      <c r="A2380" s="27">
        <v>3378</v>
      </c>
      <c r="B2380" s="25" t="s">
        <v>2387</v>
      </c>
      <c r="C2380" s="25" t="s">
        <v>20</v>
      </c>
      <c r="D2380" s="26" t="s">
        <v>118</v>
      </c>
      <c r="E2380" s="27">
        <v>3.5</v>
      </c>
      <c r="F2380" s="28">
        <v>3675</v>
      </c>
      <c r="G2380" s="29">
        <v>0.51</v>
      </c>
      <c r="H2380" s="28">
        <f t="shared" si="76"/>
        <v>12862.5</v>
      </c>
      <c r="I2380" s="30">
        <v>45647</v>
      </c>
      <c r="J2380" s="26" t="s">
        <v>43</v>
      </c>
      <c r="K2380" s="26" t="s">
        <v>16</v>
      </c>
      <c r="L2380" s="31">
        <f t="shared" si="77"/>
        <v>6302.625</v>
      </c>
      <c r="M2380" s="31">
        <v>2641.65</v>
      </c>
      <c r="N2380" s="22">
        <f>_xlfn.XLOOKUP(Snitch_Fashion_Sales_cleaned!$J2380,Table2[City],Table2[City_Key],"not found")</f>
        <v>6</v>
      </c>
      <c r="O2380" s="21">
        <f>_xlfn.XLOOKUP(Snitch_Fashion_Sales_cleaned!$D2380,Table4[Product_Name],Table4[Product_Key],"not found")</f>
        <v>23</v>
      </c>
      <c r="P2380" s="25">
        <f>_xlfn.XLOOKUP(Snitch_Fashion_Sales_cleaned!$I2380,Table3[Order_Date],Table3[Date_Key])</f>
        <v>5</v>
      </c>
    </row>
    <row r="2381" spans="1:16" x14ac:dyDescent="0.3">
      <c r="A2381" s="34">
        <v>3379</v>
      </c>
      <c r="B2381" s="32" t="s">
        <v>2388</v>
      </c>
      <c r="C2381" s="32" t="s">
        <v>28</v>
      </c>
      <c r="D2381" s="33" t="s">
        <v>137</v>
      </c>
      <c r="E2381" s="34">
        <v>3.5</v>
      </c>
      <c r="F2381" s="35">
        <v>2338.04</v>
      </c>
      <c r="G2381" s="36">
        <v>0.51</v>
      </c>
      <c r="H2381" s="35">
        <f t="shared" si="76"/>
        <v>8183.1399999999994</v>
      </c>
      <c r="I2381" s="37">
        <v>45445</v>
      </c>
      <c r="J2381" s="33" t="s">
        <v>43</v>
      </c>
      <c r="K2381" s="33" t="s">
        <v>16</v>
      </c>
      <c r="L2381" s="38">
        <f t="shared" si="77"/>
        <v>4009.7385999999997</v>
      </c>
      <c r="M2381" s="38">
        <v>-861.83</v>
      </c>
      <c r="N2381" s="24">
        <f>_xlfn.XLOOKUP(Snitch_Fashion_Sales_cleaned!$J2381,Table2[City],Table2[City_Key],"not found")</f>
        <v>6</v>
      </c>
      <c r="O2381" s="23">
        <f>_xlfn.XLOOKUP(Snitch_Fashion_Sales_cleaned!$D2381,Table4[Product_Name],Table4[Product_Key],"not found")</f>
        <v>24</v>
      </c>
      <c r="P2381" s="32">
        <f>_xlfn.XLOOKUP(Snitch_Fashion_Sales_cleaned!$I2381,Table3[Order_Date],Table3[Date_Key])</f>
        <v>240</v>
      </c>
    </row>
    <row r="2382" spans="1:16" x14ac:dyDescent="0.3">
      <c r="A2382" s="27">
        <v>3380</v>
      </c>
      <c r="B2382" s="25" t="s">
        <v>2389</v>
      </c>
      <c r="C2382" s="25" t="s">
        <v>36</v>
      </c>
      <c r="D2382" s="26" t="s">
        <v>87</v>
      </c>
      <c r="E2382" s="27">
        <v>2</v>
      </c>
      <c r="F2382" s="28">
        <v>4166.34</v>
      </c>
      <c r="G2382" s="29">
        <v>0.51</v>
      </c>
      <c r="H2382" s="28">
        <f t="shared" si="76"/>
        <v>8332.68</v>
      </c>
      <c r="I2382" s="30">
        <v>45579</v>
      </c>
      <c r="J2382" s="26" t="s">
        <v>52</v>
      </c>
      <c r="K2382" s="26" t="s">
        <v>23</v>
      </c>
      <c r="L2382" s="31">
        <f t="shared" si="77"/>
        <v>4083.0131999999999</v>
      </c>
      <c r="M2382" s="31">
        <v>317.31</v>
      </c>
      <c r="N2382" s="22">
        <f>_xlfn.XLOOKUP(Snitch_Fashion_Sales_cleaned!$J2382,Table2[City],Table2[City_Key],"not found")</f>
        <v>5</v>
      </c>
      <c r="O2382" s="21">
        <f>_xlfn.XLOOKUP(Snitch_Fashion_Sales_cleaned!$D2382,Table4[Product_Name],Table4[Product_Key],"not found")</f>
        <v>20</v>
      </c>
      <c r="P2382" s="25">
        <f>_xlfn.XLOOKUP(Snitch_Fashion_Sales_cleaned!$I2382,Table3[Order_Date],Table3[Date_Key])</f>
        <v>552</v>
      </c>
    </row>
    <row r="2383" spans="1:16" x14ac:dyDescent="0.3">
      <c r="A2383" s="34">
        <v>3381</v>
      </c>
      <c r="B2383" s="32" t="s">
        <v>2390</v>
      </c>
      <c r="C2383" s="32" t="s">
        <v>25</v>
      </c>
      <c r="D2383" s="33" t="s">
        <v>62</v>
      </c>
      <c r="E2383" s="34">
        <v>4</v>
      </c>
      <c r="F2383" s="35">
        <v>2538.0450000000001</v>
      </c>
      <c r="G2383" s="36">
        <v>0.1</v>
      </c>
      <c r="H2383" s="35">
        <f t="shared" si="76"/>
        <v>10152.18</v>
      </c>
      <c r="I2383" s="37">
        <v>45563</v>
      </c>
      <c r="J2383" s="33" t="s">
        <v>18</v>
      </c>
      <c r="K2383" s="33" t="s">
        <v>23</v>
      </c>
      <c r="L2383" s="38">
        <f t="shared" si="77"/>
        <v>9136.9620000000014</v>
      </c>
      <c r="M2383" s="38">
        <v>2205.09</v>
      </c>
      <c r="N2383" s="24">
        <f>_xlfn.XLOOKUP(Snitch_Fashion_Sales_cleaned!$J2383,Table2[City],Table2[City_Key],"not found")</f>
        <v>2</v>
      </c>
      <c r="O2383" s="23">
        <f>_xlfn.XLOOKUP(Snitch_Fashion_Sales_cleaned!$D2383,Table4[Product_Name],Table4[Product_Key],"not found")</f>
        <v>14</v>
      </c>
      <c r="P2383" s="32">
        <f>_xlfn.XLOOKUP(Snitch_Fashion_Sales_cleaned!$I2383,Table3[Order_Date],Table3[Date_Key])</f>
        <v>134</v>
      </c>
    </row>
    <row r="2384" spans="1:16" x14ac:dyDescent="0.3">
      <c r="A2384" s="27">
        <v>3382</v>
      </c>
      <c r="B2384" s="25" t="s">
        <v>2391</v>
      </c>
      <c r="C2384" s="25" t="s">
        <v>25</v>
      </c>
      <c r="D2384" s="26" t="s">
        <v>82</v>
      </c>
      <c r="E2384" s="27">
        <v>1</v>
      </c>
      <c r="F2384" s="28">
        <v>2385.5749999999998</v>
      </c>
      <c r="G2384" s="29">
        <v>0.51</v>
      </c>
      <c r="H2384" s="28">
        <f t="shared" si="76"/>
        <v>2385.5749999999998</v>
      </c>
      <c r="I2384" s="30">
        <v>45755</v>
      </c>
      <c r="J2384" s="26" t="s">
        <v>52</v>
      </c>
      <c r="K2384" s="26" t="s">
        <v>23</v>
      </c>
      <c r="L2384" s="31">
        <f t="shared" si="77"/>
        <v>1168.93175</v>
      </c>
      <c r="M2384" s="31">
        <v>292.23293749999999</v>
      </c>
      <c r="N2384" s="22">
        <f>_xlfn.XLOOKUP(Snitch_Fashion_Sales_cleaned!$J2384,Table2[City],Table2[City_Key],"not found")</f>
        <v>5</v>
      </c>
      <c r="O2384" s="21">
        <f>_xlfn.XLOOKUP(Snitch_Fashion_Sales_cleaned!$D2384,Table4[Product_Name],Table4[Product_Key],"not found")</f>
        <v>18</v>
      </c>
      <c r="P2384" s="25">
        <f>_xlfn.XLOOKUP(Snitch_Fashion_Sales_cleaned!$I2384,Table3[Order_Date],Table3[Date_Key])</f>
        <v>182</v>
      </c>
    </row>
    <row r="2385" spans="1:16" x14ac:dyDescent="0.3">
      <c r="A2385" s="34">
        <v>3383</v>
      </c>
      <c r="B2385" s="32" t="s">
        <v>2392</v>
      </c>
      <c r="C2385" s="32" t="s">
        <v>13</v>
      </c>
      <c r="D2385" s="33" t="s">
        <v>34</v>
      </c>
      <c r="E2385" s="34">
        <v>3</v>
      </c>
      <c r="F2385" s="35">
        <v>3008.6549999999997</v>
      </c>
      <c r="G2385" s="36">
        <v>0.64</v>
      </c>
      <c r="H2385" s="35">
        <f t="shared" si="76"/>
        <v>9025.9650000000001</v>
      </c>
      <c r="I2385" s="37">
        <v>45133</v>
      </c>
      <c r="J2385" s="33" t="s">
        <v>18</v>
      </c>
      <c r="K2385" s="33" t="s">
        <v>23</v>
      </c>
      <c r="L2385" s="38">
        <f t="shared" si="77"/>
        <v>3249.3474000000001</v>
      </c>
      <c r="M2385" s="38">
        <v>1101.95</v>
      </c>
      <c r="N2385" s="24">
        <f>_xlfn.XLOOKUP(Snitch_Fashion_Sales_cleaned!$J2385,Table2[City],Table2[City_Key],"not found")</f>
        <v>2</v>
      </c>
      <c r="O2385" s="23">
        <f>_xlfn.XLOOKUP(Snitch_Fashion_Sales_cleaned!$D2385,Table4[Product_Name],Table4[Product_Key],"not found")</f>
        <v>6</v>
      </c>
      <c r="P2385" s="32">
        <f>_xlfn.XLOOKUP(Snitch_Fashion_Sales_cleaned!$I2385,Table3[Order_Date],Table3[Date_Key])</f>
        <v>360</v>
      </c>
    </row>
    <row r="2386" spans="1:16" x14ac:dyDescent="0.3">
      <c r="A2386" s="27">
        <v>3384</v>
      </c>
      <c r="B2386" s="25" t="s">
        <v>2393</v>
      </c>
      <c r="C2386" s="25" t="s">
        <v>36</v>
      </c>
      <c r="D2386" s="26" t="s">
        <v>59</v>
      </c>
      <c r="E2386" s="27">
        <v>1</v>
      </c>
      <c r="F2386" s="28">
        <v>2282.7600000000002</v>
      </c>
      <c r="G2386" s="29">
        <v>0.57999999999999996</v>
      </c>
      <c r="H2386" s="28">
        <f t="shared" si="76"/>
        <v>2282.7600000000002</v>
      </c>
      <c r="I2386" s="30">
        <v>45600</v>
      </c>
      <c r="J2386" s="26" t="s">
        <v>2540</v>
      </c>
      <c r="K2386" s="26" t="s">
        <v>23</v>
      </c>
      <c r="L2386" s="31">
        <f t="shared" si="77"/>
        <v>958.75920000000019</v>
      </c>
      <c r="M2386" s="31">
        <v>239.68980000000005</v>
      </c>
      <c r="N2386" s="22">
        <f>_xlfn.XLOOKUP(Snitch_Fashion_Sales_cleaned!$J2386,Table2[City],Table2[City_Key],"not found")</f>
        <v>4</v>
      </c>
      <c r="O2386" s="21">
        <f>_xlfn.XLOOKUP(Snitch_Fashion_Sales_cleaned!$D2386,Table4[Product_Name],Table4[Product_Key],"not found")</f>
        <v>13</v>
      </c>
      <c r="P2386" s="25">
        <f>_xlfn.XLOOKUP(Snitch_Fashion_Sales_cleaned!$I2386,Table3[Order_Date],Table3[Date_Key])</f>
        <v>557</v>
      </c>
    </row>
    <row r="2387" spans="1:16" x14ac:dyDescent="0.3">
      <c r="A2387" s="34">
        <v>3385</v>
      </c>
      <c r="B2387" s="32" t="s">
        <v>2394</v>
      </c>
      <c r="C2387" s="32" t="s">
        <v>36</v>
      </c>
      <c r="D2387" s="33" t="s">
        <v>87</v>
      </c>
      <c r="E2387" s="34">
        <v>4</v>
      </c>
      <c r="F2387" s="35">
        <v>2394.84</v>
      </c>
      <c r="G2387" s="36">
        <v>0.51</v>
      </c>
      <c r="H2387" s="35">
        <f t="shared" si="76"/>
        <v>9579.36</v>
      </c>
      <c r="I2387" s="37">
        <v>45564</v>
      </c>
      <c r="J2387" s="33" t="s">
        <v>18</v>
      </c>
      <c r="K2387" s="33" t="s">
        <v>23</v>
      </c>
      <c r="L2387" s="38">
        <f t="shared" si="77"/>
        <v>4693.8864000000003</v>
      </c>
      <c r="M2387" s="38">
        <v>1007.9</v>
      </c>
      <c r="N2387" s="24">
        <f>_xlfn.XLOOKUP(Snitch_Fashion_Sales_cleaned!$J2387,Table2[City],Table2[City_Key],"not found")</f>
        <v>2</v>
      </c>
      <c r="O2387" s="23">
        <f>_xlfn.XLOOKUP(Snitch_Fashion_Sales_cleaned!$D2387,Table4[Product_Name],Table4[Product_Key],"not found")</f>
        <v>20</v>
      </c>
      <c r="P2387" s="32">
        <f>_xlfn.XLOOKUP(Snitch_Fashion_Sales_cleaned!$I2387,Table3[Order_Date],Table3[Date_Key])</f>
        <v>508</v>
      </c>
    </row>
    <row r="2388" spans="1:16" x14ac:dyDescent="0.3">
      <c r="A2388" s="27">
        <v>3386</v>
      </c>
      <c r="B2388" s="25" t="s">
        <v>2395</v>
      </c>
      <c r="C2388" s="25" t="s">
        <v>31</v>
      </c>
      <c r="D2388" s="26" t="s">
        <v>68</v>
      </c>
      <c r="E2388" s="27">
        <v>1</v>
      </c>
      <c r="F2388" s="28">
        <v>2765.79</v>
      </c>
      <c r="G2388" s="29">
        <v>0.51</v>
      </c>
      <c r="H2388" s="28">
        <f t="shared" si="76"/>
        <v>2765.79</v>
      </c>
      <c r="I2388" s="30">
        <v>45811</v>
      </c>
      <c r="J2388" s="26" t="s">
        <v>22</v>
      </c>
      <c r="K2388" s="26" t="s">
        <v>16</v>
      </c>
      <c r="L2388" s="31">
        <f t="shared" si="77"/>
        <v>1355.2371000000001</v>
      </c>
      <c r="M2388" s="31">
        <v>21.39</v>
      </c>
      <c r="N2388" s="22">
        <f>_xlfn.XLOOKUP(Snitch_Fashion_Sales_cleaned!$J2388,Table2[City],Table2[City_Key],"not found")</f>
        <v>3</v>
      </c>
      <c r="O2388" s="21">
        <f>_xlfn.XLOOKUP(Snitch_Fashion_Sales_cleaned!$D2388,Table4[Product_Name],Table4[Product_Key],"not found")</f>
        <v>15</v>
      </c>
      <c r="P2388" s="25">
        <f>_xlfn.XLOOKUP(Snitch_Fashion_Sales_cleaned!$I2388,Table3[Order_Date],Table3[Date_Key])</f>
        <v>368</v>
      </c>
    </row>
    <row r="2389" spans="1:16" x14ac:dyDescent="0.3">
      <c r="A2389" s="34">
        <v>3387</v>
      </c>
      <c r="B2389" s="32" t="s">
        <v>2396</v>
      </c>
      <c r="C2389" s="32" t="s">
        <v>13</v>
      </c>
      <c r="D2389" s="33" t="s">
        <v>98</v>
      </c>
      <c r="E2389" s="34">
        <v>5</v>
      </c>
      <c r="F2389" s="35">
        <v>2750.33</v>
      </c>
      <c r="G2389" s="36">
        <v>0.51</v>
      </c>
      <c r="H2389" s="35">
        <f t="shared" si="76"/>
        <v>13751.65</v>
      </c>
      <c r="I2389" s="37">
        <v>45848</v>
      </c>
      <c r="J2389" s="33" t="s">
        <v>2540</v>
      </c>
      <c r="K2389" s="33" t="s">
        <v>23</v>
      </c>
      <c r="L2389" s="38">
        <f t="shared" si="77"/>
        <v>6738.3085000000001</v>
      </c>
      <c r="M2389" s="38">
        <v>-48.14</v>
      </c>
      <c r="N2389" s="24">
        <f>_xlfn.XLOOKUP(Snitch_Fashion_Sales_cleaned!$J2389,Table2[City],Table2[City_Key],"not found")</f>
        <v>4</v>
      </c>
      <c r="O2389" s="23">
        <f>_xlfn.XLOOKUP(Snitch_Fashion_Sales_cleaned!$D2389,Table4[Product_Name],Table4[Product_Key],"not found")</f>
        <v>21</v>
      </c>
      <c r="P2389" s="32">
        <f>_xlfn.XLOOKUP(Snitch_Fashion_Sales_cleaned!$I2389,Table3[Order_Date],Table3[Date_Key])</f>
        <v>391</v>
      </c>
    </row>
    <row r="2390" spans="1:16" x14ac:dyDescent="0.3">
      <c r="A2390" s="27">
        <v>1011</v>
      </c>
      <c r="B2390" s="25" t="s">
        <v>2397</v>
      </c>
      <c r="C2390" s="25" t="s">
        <v>36</v>
      </c>
      <c r="D2390" s="26" t="s">
        <v>37</v>
      </c>
      <c r="E2390" s="27">
        <v>4</v>
      </c>
      <c r="F2390" s="28">
        <v>2842.91</v>
      </c>
      <c r="G2390" s="29">
        <v>0.51</v>
      </c>
      <c r="H2390" s="28">
        <f t="shared" si="76"/>
        <v>11371.64</v>
      </c>
      <c r="I2390" s="30">
        <v>45828</v>
      </c>
      <c r="J2390" s="26" t="s">
        <v>22</v>
      </c>
      <c r="K2390" s="26" t="s">
        <v>16</v>
      </c>
      <c r="L2390" s="31">
        <f t="shared" si="77"/>
        <v>5572.1035999999995</v>
      </c>
      <c r="M2390" s="31">
        <v>-835.65</v>
      </c>
      <c r="N2390" s="22">
        <f>_xlfn.XLOOKUP(Snitch_Fashion_Sales_cleaned!$J2390,Table2[City],Table2[City_Key],"not found")</f>
        <v>3</v>
      </c>
      <c r="O2390" s="21">
        <f>_xlfn.XLOOKUP(Snitch_Fashion_Sales_cleaned!$D2390,Table4[Product_Name],Table4[Product_Key],"not found")</f>
        <v>7</v>
      </c>
      <c r="P2390" s="25">
        <f>_xlfn.XLOOKUP(Snitch_Fashion_Sales_cleaned!$I2390,Table3[Order_Date],Table3[Date_Key])</f>
        <v>229</v>
      </c>
    </row>
    <row r="2391" spans="1:16" x14ac:dyDescent="0.3">
      <c r="A2391" s="34">
        <v>3389</v>
      </c>
      <c r="B2391" s="32" t="s">
        <v>2398</v>
      </c>
      <c r="C2391" s="32" t="s">
        <v>28</v>
      </c>
      <c r="D2391" s="33" t="s">
        <v>116</v>
      </c>
      <c r="E2391" s="34">
        <v>4</v>
      </c>
      <c r="F2391" s="35">
        <v>2785.79</v>
      </c>
      <c r="G2391" s="36">
        <v>0.85</v>
      </c>
      <c r="H2391" s="35">
        <f t="shared" si="76"/>
        <v>11143.16</v>
      </c>
      <c r="I2391" s="37">
        <v>45647</v>
      </c>
      <c r="J2391" s="33" t="s">
        <v>18</v>
      </c>
      <c r="K2391" s="33" t="s">
        <v>23</v>
      </c>
      <c r="L2391" s="38">
        <f t="shared" si="77"/>
        <v>1671.4740000000002</v>
      </c>
      <c r="M2391" s="38">
        <v>146.53</v>
      </c>
      <c r="N2391" s="24">
        <f>_xlfn.XLOOKUP(Snitch_Fashion_Sales_cleaned!$J2391,Table2[City],Table2[City_Key],"not found")</f>
        <v>2</v>
      </c>
      <c r="O2391" s="23">
        <f>_xlfn.XLOOKUP(Snitch_Fashion_Sales_cleaned!$D2391,Table4[Product_Name],Table4[Product_Key],"not found")</f>
        <v>22</v>
      </c>
      <c r="P2391" s="32">
        <f>_xlfn.XLOOKUP(Snitch_Fashion_Sales_cleaned!$I2391,Table3[Order_Date],Table3[Date_Key])</f>
        <v>5</v>
      </c>
    </row>
    <row r="2392" spans="1:16" x14ac:dyDescent="0.3">
      <c r="A2392" s="27">
        <v>3390</v>
      </c>
      <c r="B2392" s="25" t="s">
        <v>2399</v>
      </c>
      <c r="C2392" s="25" t="s">
        <v>25</v>
      </c>
      <c r="D2392" s="26" t="s">
        <v>82</v>
      </c>
      <c r="E2392" s="27">
        <v>1</v>
      </c>
      <c r="F2392" s="28">
        <v>1280.52</v>
      </c>
      <c r="G2392" s="29">
        <v>0.94</v>
      </c>
      <c r="H2392" s="28">
        <f t="shared" si="76"/>
        <v>1280.52</v>
      </c>
      <c r="I2392" s="30">
        <v>45647</v>
      </c>
      <c r="J2392" s="26" t="s">
        <v>2540</v>
      </c>
      <c r="K2392" s="26" t="s">
        <v>23</v>
      </c>
      <c r="L2392" s="31">
        <f t="shared" si="77"/>
        <v>76.831200000000067</v>
      </c>
      <c r="M2392" s="31">
        <v>19.207800000000017</v>
      </c>
      <c r="N2392" s="22">
        <f>_xlfn.XLOOKUP(Snitch_Fashion_Sales_cleaned!$J2392,Table2[City],Table2[City_Key],"not found")</f>
        <v>4</v>
      </c>
      <c r="O2392" s="21">
        <f>_xlfn.XLOOKUP(Snitch_Fashion_Sales_cleaned!$D2392,Table4[Product_Name],Table4[Product_Key],"not found")</f>
        <v>18</v>
      </c>
      <c r="P2392" s="25">
        <f>_xlfn.XLOOKUP(Snitch_Fashion_Sales_cleaned!$I2392,Table3[Order_Date],Table3[Date_Key])</f>
        <v>5</v>
      </c>
    </row>
    <row r="2393" spans="1:16" x14ac:dyDescent="0.3">
      <c r="A2393" s="34">
        <v>3391</v>
      </c>
      <c r="B2393" s="32" t="s">
        <v>2400</v>
      </c>
      <c r="C2393" s="32" t="s">
        <v>20</v>
      </c>
      <c r="D2393" s="33" t="s">
        <v>76</v>
      </c>
      <c r="E2393" s="34">
        <v>3</v>
      </c>
      <c r="F2393" s="35">
        <v>1730.64</v>
      </c>
      <c r="G2393" s="36">
        <v>0.7</v>
      </c>
      <c r="H2393" s="35">
        <f t="shared" si="76"/>
        <v>5191.92</v>
      </c>
      <c r="I2393" s="37">
        <v>45647</v>
      </c>
      <c r="J2393" s="33" t="s">
        <v>15</v>
      </c>
      <c r="K2393" s="33" t="s">
        <v>23</v>
      </c>
      <c r="L2393" s="38">
        <f t="shared" si="77"/>
        <v>1557.5760000000002</v>
      </c>
      <c r="M2393" s="38">
        <v>719.69</v>
      </c>
      <c r="N2393" s="24">
        <f>_xlfn.XLOOKUP(Snitch_Fashion_Sales_cleaned!$J2393,Table2[City],Table2[City_Key],"not found")</f>
        <v>1</v>
      </c>
      <c r="O2393" s="23">
        <f>_xlfn.XLOOKUP(Snitch_Fashion_Sales_cleaned!$D2393,Table4[Product_Name],Table4[Product_Key],"not found")</f>
        <v>16</v>
      </c>
      <c r="P2393" s="32">
        <f>_xlfn.XLOOKUP(Snitch_Fashion_Sales_cleaned!$I2393,Table3[Order_Date],Table3[Date_Key])</f>
        <v>5</v>
      </c>
    </row>
    <row r="2394" spans="1:16" x14ac:dyDescent="0.3">
      <c r="A2394" s="27">
        <v>3392</v>
      </c>
      <c r="B2394" s="25" t="s">
        <v>2401</v>
      </c>
      <c r="C2394" s="25" t="s">
        <v>20</v>
      </c>
      <c r="D2394" s="26" t="s">
        <v>21</v>
      </c>
      <c r="E2394" s="27">
        <v>4</v>
      </c>
      <c r="F2394" s="28">
        <v>2579.8000000000002</v>
      </c>
      <c r="G2394" s="29">
        <v>0.38</v>
      </c>
      <c r="H2394" s="28">
        <f t="shared" si="76"/>
        <v>10319.200000000001</v>
      </c>
      <c r="I2394" s="30">
        <v>45552</v>
      </c>
      <c r="J2394" s="26" t="s">
        <v>52</v>
      </c>
      <c r="K2394" s="26" t="s">
        <v>23</v>
      </c>
      <c r="L2394" s="31">
        <f t="shared" si="77"/>
        <v>6397.9040000000005</v>
      </c>
      <c r="M2394" s="31">
        <v>1036.57</v>
      </c>
      <c r="N2394" s="22">
        <f>_xlfn.XLOOKUP(Snitch_Fashion_Sales_cleaned!$J2394,Table2[City],Table2[City_Key],"not found")</f>
        <v>5</v>
      </c>
      <c r="O2394" s="21">
        <f>_xlfn.XLOOKUP(Snitch_Fashion_Sales_cleaned!$D2394,Table4[Product_Name],Table4[Product_Key],"not found")</f>
        <v>2</v>
      </c>
      <c r="P2394" s="25">
        <f>_xlfn.XLOOKUP(Snitch_Fashion_Sales_cleaned!$I2394,Table3[Order_Date],Table3[Date_Key])</f>
        <v>310</v>
      </c>
    </row>
    <row r="2395" spans="1:16" x14ac:dyDescent="0.3">
      <c r="A2395" s="34">
        <v>3393</v>
      </c>
      <c r="B2395" s="32" t="s">
        <v>2402</v>
      </c>
      <c r="C2395" s="32" t="s">
        <v>28</v>
      </c>
      <c r="D2395" s="33" t="s">
        <v>39</v>
      </c>
      <c r="E2395" s="34">
        <v>5</v>
      </c>
      <c r="F2395" s="35">
        <v>2577.6350000000002</v>
      </c>
      <c r="G2395" s="36">
        <v>7.0000000000000007E-2</v>
      </c>
      <c r="H2395" s="35">
        <f t="shared" si="76"/>
        <v>12888.175000000001</v>
      </c>
      <c r="I2395" s="37">
        <v>45647</v>
      </c>
      <c r="J2395" s="33" t="s">
        <v>22</v>
      </c>
      <c r="K2395" s="33" t="s">
        <v>16</v>
      </c>
      <c r="L2395" s="38">
        <f t="shared" si="77"/>
        <v>11986.00275</v>
      </c>
      <c r="M2395" s="38">
        <v>560.09</v>
      </c>
      <c r="N2395" s="24">
        <f>_xlfn.XLOOKUP(Snitch_Fashion_Sales_cleaned!$J2395,Table2[City],Table2[City_Key],"not found")</f>
        <v>3</v>
      </c>
      <c r="O2395" s="23">
        <f>_xlfn.XLOOKUP(Snitch_Fashion_Sales_cleaned!$D2395,Table4[Product_Name],Table4[Product_Key],"not found")</f>
        <v>8</v>
      </c>
      <c r="P2395" s="32">
        <f>_xlfn.XLOOKUP(Snitch_Fashion_Sales_cleaned!$I2395,Table3[Order_Date],Table3[Date_Key])</f>
        <v>5</v>
      </c>
    </row>
    <row r="2396" spans="1:16" x14ac:dyDescent="0.3">
      <c r="A2396" s="27">
        <v>3394</v>
      </c>
      <c r="B2396" s="25" t="s">
        <v>2403</v>
      </c>
      <c r="C2396" s="25" t="s">
        <v>13</v>
      </c>
      <c r="D2396" s="26" t="s">
        <v>34</v>
      </c>
      <c r="E2396" s="27">
        <v>3</v>
      </c>
      <c r="F2396" s="28">
        <v>1509.34</v>
      </c>
      <c r="G2396" s="29">
        <v>0.51</v>
      </c>
      <c r="H2396" s="28">
        <f t="shared" si="76"/>
        <v>4528.0199999999995</v>
      </c>
      <c r="I2396" s="30">
        <v>45692</v>
      </c>
      <c r="J2396" s="26" t="s">
        <v>22</v>
      </c>
      <c r="K2396" s="26" t="s">
        <v>23</v>
      </c>
      <c r="L2396" s="31">
        <f t="shared" si="77"/>
        <v>2218.7297999999996</v>
      </c>
      <c r="M2396" s="31">
        <v>1037.8499999999999</v>
      </c>
      <c r="N2396" s="22">
        <f>_xlfn.XLOOKUP(Snitch_Fashion_Sales_cleaned!$J2396,Table2[City],Table2[City_Key],"not found")</f>
        <v>3</v>
      </c>
      <c r="O2396" s="21">
        <f>_xlfn.XLOOKUP(Snitch_Fashion_Sales_cleaned!$D2396,Table4[Product_Name],Table4[Product_Key],"not found")</f>
        <v>6</v>
      </c>
      <c r="P2396" s="25">
        <f>_xlfn.XLOOKUP(Snitch_Fashion_Sales_cleaned!$I2396,Table3[Order_Date],Table3[Date_Key])</f>
        <v>152</v>
      </c>
    </row>
    <row r="2397" spans="1:16" x14ac:dyDescent="0.3">
      <c r="A2397" s="34">
        <v>3395</v>
      </c>
      <c r="B2397" s="32" t="s">
        <v>2404</v>
      </c>
      <c r="C2397" s="32" t="s">
        <v>25</v>
      </c>
      <c r="D2397" s="33" t="s">
        <v>62</v>
      </c>
      <c r="E2397" s="34">
        <v>4</v>
      </c>
      <c r="F2397" s="35">
        <v>2538.0450000000001</v>
      </c>
      <c r="G2397" s="36">
        <v>0.51</v>
      </c>
      <c r="H2397" s="35">
        <f t="shared" si="76"/>
        <v>10152.18</v>
      </c>
      <c r="I2397" s="37">
        <v>45597</v>
      </c>
      <c r="J2397" s="33" t="s">
        <v>43</v>
      </c>
      <c r="K2397" s="33" t="s">
        <v>23</v>
      </c>
      <c r="L2397" s="38">
        <f t="shared" si="77"/>
        <v>4974.5681999999997</v>
      </c>
      <c r="M2397" s="38">
        <v>-23.94</v>
      </c>
      <c r="N2397" s="24">
        <f>_xlfn.XLOOKUP(Snitch_Fashion_Sales_cleaned!$J2397,Table2[City],Table2[City_Key],"not found")</f>
        <v>6</v>
      </c>
      <c r="O2397" s="23">
        <f>_xlfn.XLOOKUP(Snitch_Fashion_Sales_cleaned!$D2397,Table4[Product_Name],Table4[Product_Key],"not found")</f>
        <v>14</v>
      </c>
      <c r="P2397" s="32">
        <f>_xlfn.XLOOKUP(Snitch_Fashion_Sales_cleaned!$I2397,Table3[Order_Date],Table3[Date_Key])</f>
        <v>342</v>
      </c>
    </row>
    <row r="2398" spans="1:16" x14ac:dyDescent="0.3">
      <c r="A2398" s="27">
        <v>3396</v>
      </c>
      <c r="B2398" s="25" t="s">
        <v>2405</v>
      </c>
      <c r="C2398" s="25" t="s">
        <v>20</v>
      </c>
      <c r="D2398" s="26" t="s">
        <v>118</v>
      </c>
      <c r="E2398" s="27">
        <v>2</v>
      </c>
      <c r="F2398" s="28">
        <v>3760.09</v>
      </c>
      <c r="G2398" s="29">
        <v>0.51</v>
      </c>
      <c r="H2398" s="28">
        <f t="shared" si="76"/>
        <v>7520.18</v>
      </c>
      <c r="I2398" s="30">
        <v>45638</v>
      </c>
      <c r="J2398" s="26" t="s">
        <v>52</v>
      </c>
      <c r="K2398" s="26" t="s">
        <v>23</v>
      </c>
      <c r="L2398" s="31">
        <f t="shared" si="77"/>
        <v>3684.8881999999999</v>
      </c>
      <c r="M2398" s="31">
        <v>-871.94</v>
      </c>
      <c r="N2398" s="22">
        <f>_xlfn.XLOOKUP(Snitch_Fashion_Sales_cleaned!$J2398,Table2[City],Table2[City_Key],"not found")</f>
        <v>5</v>
      </c>
      <c r="O2398" s="21">
        <f>_xlfn.XLOOKUP(Snitch_Fashion_Sales_cleaned!$D2398,Table4[Product_Name],Table4[Product_Key],"not found")</f>
        <v>23</v>
      </c>
      <c r="P2398" s="25">
        <f>_xlfn.XLOOKUP(Snitch_Fashion_Sales_cleaned!$I2398,Table3[Order_Date],Table3[Date_Key])</f>
        <v>192</v>
      </c>
    </row>
    <row r="2399" spans="1:16" x14ac:dyDescent="0.3">
      <c r="A2399" s="34">
        <v>3397</v>
      </c>
      <c r="B2399" s="32" t="s">
        <v>2406</v>
      </c>
      <c r="C2399" s="32" t="s">
        <v>13</v>
      </c>
      <c r="D2399" s="33" t="s">
        <v>46</v>
      </c>
      <c r="E2399" s="34">
        <v>4</v>
      </c>
      <c r="F2399" s="35">
        <v>2891.64</v>
      </c>
      <c r="G2399" s="36">
        <v>0.51</v>
      </c>
      <c r="H2399" s="35">
        <f t="shared" si="76"/>
        <v>11566.56</v>
      </c>
      <c r="I2399" s="37">
        <v>45647</v>
      </c>
      <c r="J2399" s="33" t="s">
        <v>18</v>
      </c>
      <c r="K2399" s="33" t="s">
        <v>16</v>
      </c>
      <c r="L2399" s="38">
        <f t="shared" si="77"/>
        <v>5667.6143999999995</v>
      </c>
      <c r="M2399" s="38">
        <v>477.59</v>
      </c>
      <c r="N2399" s="24">
        <f>_xlfn.XLOOKUP(Snitch_Fashion_Sales_cleaned!$J2399,Table2[City],Table2[City_Key],"not found")</f>
        <v>2</v>
      </c>
      <c r="O2399" s="23">
        <f>_xlfn.XLOOKUP(Snitch_Fashion_Sales_cleaned!$D2399,Table4[Product_Name],Table4[Product_Key],"not found")</f>
        <v>10</v>
      </c>
      <c r="P2399" s="32">
        <f>_xlfn.XLOOKUP(Snitch_Fashion_Sales_cleaned!$I2399,Table3[Order_Date],Table3[Date_Key])</f>
        <v>5</v>
      </c>
    </row>
    <row r="2400" spans="1:16" x14ac:dyDescent="0.3">
      <c r="A2400" s="27">
        <v>3398</v>
      </c>
      <c r="B2400" s="25" t="s">
        <v>2407</v>
      </c>
      <c r="C2400" s="25" t="s">
        <v>36</v>
      </c>
      <c r="D2400" s="26" t="s">
        <v>55</v>
      </c>
      <c r="E2400" s="27">
        <v>3</v>
      </c>
      <c r="F2400" s="28">
        <v>2784.25</v>
      </c>
      <c r="G2400" s="29">
        <v>0.51</v>
      </c>
      <c r="H2400" s="28">
        <f t="shared" si="76"/>
        <v>8352.75</v>
      </c>
      <c r="I2400" s="30">
        <v>45647</v>
      </c>
      <c r="J2400" s="26" t="s">
        <v>52</v>
      </c>
      <c r="K2400" s="26" t="s">
        <v>23</v>
      </c>
      <c r="L2400" s="31">
        <f t="shared" si="77"/>
        <v>4092.8474999999999</v>
      </c>
      <c r="M2400" s="31">
        <v>-348.84</v>
      </c>
      <c r="N2400" s="22">
        <f>_xlfn.XLOOKUP(Snitch_Fashion_Sales_cleaned!$J2400,Table2[City],Table2[City_Key],"not found")</f>
        <v>5</v>
      </c>
      <c r="O2400" s="21">
        <f>_xlfn.XLOOKUP(Snitch_Fashion_Sales_cleaned!$D2400,Table4[Product_Name],Table4[Product_Key],"not found")</f>
        <v>12</v>
      </c>
      <c r="P2400" s="25">
        <f>_xlfn.XLOOKUP(Snitch_Fashion_Sales_cleaned!$I2400,Table3[Order_Date],Table3[Date_Key])</f>
        <v>5</v>
      </c>
    </row>
    <row r="2401" spans="1:16" x14ac:dyDescent="0.3">
      <c r="A2401" s="34">
        <v>3399</v>
      </c>
      <c r="B2401" s="32" t="s">
        <v>2408</v>
      </c>
      <c r="C2401" s="32" t="s">
        <v>13</v>
      </c>
      <c r="D2401" s="33" t="s">
        <v>98</v>
      </c>
      <c r="E2401" s="34">
        <v>5</v>
      </c>
      <c r="F2401" s="35">
        <v>3111.73</v>
      </c>
      <c r="G2401" s="36">
        <v>0.51</v>
      </c>
      <c r="H2401" s="35">
        <f t="shared" si="76"/>
        <v>15558.65</v>
      </c>
      <c r="I2401" s="37">
        <v>45484</v>
      </c>
      <c r="J2401" s="33" t="s">
        <v>2540</v>
      </c>
      <c r="K2401" s="33" t="s">
        <v>16</v>
      </c>
      <c r="L2401" s="38">
        <f t="shared" si="77"/>
        <v>7623.7384999999995</v>
      </c>
      <c r="M2401" s="38">
        <v>800.89</v>
      </c>
      <c r="N2401" s="24">
        <f>_xlfn.XLOOKUP(Snitch_Fashion_Sales_cleaned!$J2401,Table2[City],Table2[City_Key],"not found")</f>
        <v>4</v>
      </c>
      <c r="O2401" s="23">
        <f>_xlfn.XLOOKUP(Snitch_Fashion_Sales_cleaned!$D2401,Table4[Product_Name],Table4[Product_Key],"not found")</f>
        <v>21</v>
      </c>
      <c r="P2401" s="32">
        <f>_xlfn.XLOOKUP(Snitch_Fashion_Sales_cleaned!$I2401,Table3[Order_Date],Table3[Date_Key])</f>
        <v>246</v>
      </c>
    </row>
    <row r="2402" spans="1:16" x14ac:dyDescent="0.3">
      <c r="A2402" s="27">
        <v>3400</v>
      </c>
      <c r="B2402" s="25" t="s">
        <v>2409</v>
      </c>
      <c r="C2402" s="25" t="s">
        <v>20</v>
      </c>
      <c r="D2402" s="26" t="s">
        <v>21</v>
      </c>
      <c r="E2402" s="27">
        <v>4</v>
      </c>
      <c r="F2402" s="28">
        <v>1249.6400000000001</v>
      </c>
      <c r="G2402" s="29">
        <v>0.51</v>
      </c>
      <c r="H2402" s="28">
        <f t="shared" si="76"/>
        <v>4998.5600000000004</v>
      </c>
      <c r="I2402" s="30">
        <v>45830</v>
      </c>
      <c r="J2402" s="26" t="s">
        <v>43</v>
      </c>
      <c r="K2402" s="26" t="s">
        <v>16</v>
      </c>
      <c r="L2402" s="31">
        <f t="shared" si="77"/>
        <v>2449.2944000000002</v>
      </c>
      <c r="M2402" s="31">
        <v>-646.04</v>
      </c>
      <c r="N2402" s="22">
        <f>_xlfn.XLOOKUP(Snitch_Fashion_Sales_cleaned!$J2402,Table2[City],Table2[City_Key],"not found")</f>
        <v>6</v>
      </c>
      <c r="O2402" s="21">
        <f>_xlfn.XLOOKUP(Snitch_Fashion_Sales_cleaned!$D2402,Table4[Product_Name],Table4[Product_Key],"not found")</f>
        <v>2</v>
      </c>
      <c r="P2402" s="25">
        <f>_xlfn.XLOOKUP(Snitch_Fashion_Sales_cleaned!$I2402,Table3[Order_Date],Table3[Date_Key])</f>
        <v>303</v>
      </c>
    </row>
    <row r="2403" spans="1:16" x14ac:dyDescent="0.3">
      <c r="A2403" s="34">
        <v>3401</v>
      </c>
      <c r="B2403" s="32" t="s">
        <v>2410</v>
      </c>
      <c r="C2403" s="32" t="s">
        <v>20</v>
      </c>
      <c r="D2403" s="33" t="s">
        <v>21</v>
      </c>
      <c r="E2403" s="34">
        <v>4</v>
      </c>
      <c r="F2403" s="35">
        <v>1960.15</v>
      </c>
      <c r="G2403" s="36">
        <v>0.51</v>
      </c>
      <c r="H2403" s="35">
        <f t="shared" si="76"/>
        <v>7840.6</v>
      </c>
      <c r="I2403" s="37">
        <v>45570</v>
      </c>
      <c r="J2403" s="33" t="s">
        <v>52</v>
      </c>
      <c r="K2403" s="33" t="s">
        <v>23</v>
      </c>
      <c r="L2403" s="38">
        <f t="shared" si="77"/>
        <v>3841.8940000000002</v>
      </c>
      <c r="M2403" s="38">
        <v>1816.17</v>
      </c>
      <c r="N2403" s="24">
        <f>_xlfn.XLOOKUP(Snitch_Fashion_Sales_cleaned!$J2403,Table2[City],Table2[City_Key],"not found")</f>
        <v>5</v>
      </c>
      <c r="O2403" s="23">
        <f>_xlfn.XLOOKUP(Snitch_Fashion_Sales_cleaned!$D2403,Table4[Product_Name],Table4[Product_Key],"not found")</f>
        <v>2</v>
      </c>
      <c r="P2403" s="32">
        <f>_xlfn.XLOOKUP(Snitch_Fashion_Sales_cleaned!$I2403,Table3[Order_Date],Table3[Date_Key])</f>
        <v>95</v>
      </c>
    </row>
    <row r="2404" spans="1:16" x14ac:dyDescent="0.3">
      <c r="A2404" s="27">
        <v>3402</v>
      </c>
      <c r="B2404" s="25" t="s">
        <v>2411</v>
      </c>
      <c r="C2404" s="25" t="s">
        <v>36</v>
      </c>
      <c r="D2404" s="26" t="s">
        <v>55</v>
      </c>
      <c r="E2404" s="27">
        <v>3</v>
      </c>
      <c r="F2404" s="28">
        <v>2731.6350000000002</v>
      </c>
      <c r="G2404" s="29">
        <v>0.02</v>
      </c>
      <c r="H2404" s="28">
        <f t="shared" si="76"/>
        <v>8194.9050000000007</v>
      </c>
      <c r="I2404" s="30">
        <v>45657</v>
      </c>
      <c r="J2404" s="26" t="s">
        <v>22</v>
      </c>
      <c r="K2404" s="26" t="s">
        <v>16</v>
      </c>
      <c r="L2404" s="31">
        <f t="shared" si="77"/>
        <v>8031.0069000000003</v>
      </c>
      <c r="M2404" s="31">
        <v>619.20000000000005</v>
      </c>
      <c r="N2404" s="22">
        <f>_xlfn.XLOOKUP(Snitch_Fashion_Sales_cleaned!$J2404,Table2[City],Table2[City_Key],"not found")</f>
        <v>3</v>
      </c>
      <c r="O2404" s="21">
        <f>_xlfn.XLOOKUP(Snitch_Fashion_Sales_cleaned!$D2404,Table4[Product_Name],Table4[Product_Key],"not found")</f>
        <v>12</v>
      </c>
      <c r="P2404" s="25">
        <f>_xlfn.XLOOKUP(Snitch_Fashion_Sales_cleaned!$I2404,Table3[Order_Date],Table3[Date_Key])</f>
        <v>82</v>
      </c>
    </row>
    <row r="2405" spans="1:16" x14ac:dyDescent="0.3">
      <c r="A2405" s="34">
        <v>3403</v>
      </c>
      <c r="B2405" s="32" t="s">
        <v>2412</v>
      </c>
      <c r="C2405" s="32" t="s">
        <v>31</v>
      </c>
      <c r="D2405" s="33" t="s">
        <v>78</v>
      </c>
      <c r="E2405" s="34">
        <v>4</v>
      </c>
      <c r="F2405" s="35">
        <v>2609.06</v>
      </c>
      <c r="G2405" s="36">
        <v>0.65</v>
      </c>
      <c r="H2405" s="35">
        <f t="shared" si="76"/>
        <v>10436.24</v>
      </c>
      <c r="I2405" s="37">
        <v>45775</v>
      </c>
      <c r="J2405" s="33" t="s">
        <v>52</v>
      </c>
      <c r="K2405" s="33" t="s">
        <v>16</v>
      </c>
      <c r="L2405" s="38">
        <f t="shared" si="77"/>
        <v>3652.6839999999997</v>
      </c>
      <c r="M2405" s="38">
        <v>2036.75</v>
      </c>
      <c r="N2405" s="24">
        <f>_xlfn.XLOOKUP(Snitch_Fashion_Sales_cleaned!$J2405,Table2[City],Table2[City_Key],"not found")</f>
        <v>5</v>
      </c>
      <c r="O2405" s="23">
        <f>_xlfn.XLOOKUP(Snitch_Fashion_Sales_cleaned!$D2405,Table4[Product_Name],Table4[Product_Key],"not found")</f>
        <v>17</v>
      </c>
      <c r="P2405" s="32">
        <f>_xlfn.XLOOKUP(Snitch_Fashion_Sales_cleaned!$I2405,Table3[Order_Date],Table3[Date_Key])</f>
        <v>387</v>
      </c>
    </row>
    <row r="2406" spans="1:16" x14ac:dyDescent="0.3">
      <c r="A2406" s="27">
        <v>3404</v>
      </c>
      <c r="B2406" s="25" t="s">
        <v>2413</v>
      </c>
      <c r="C2406" s="25" t="s">
        <v>28</v>
      </c>
      <c r="D2406" s="26" t="s">
        <v>137</v>
      </c>
      <c r="E2406" s="27">
        <v>5</v>
      </c>
      <c r="F2406" s="28">
        <v>2338.04</v>
      </c>
      <c r="G2406" s="29">
        <v>0.81</v>
      </c>
      <c r="H2406" s="28">
        <f t="shared" si="76"/>
        <v>11690.2</v>
      </c>
      <c r="I2406" s="30">
        <v>45782</v>
      </c>
      <c r="J2406" s="26" t="s">
        <v>43</v>
      </c>
      <c r="K2406" s="26" t="s">
        <v>23</v>
      </c>
      <c r="L2406" s="31">
        <f t="shared" si="77"/>
        <v>2221.1379999999995</v>
      </c>
      <c r="M2406" s="31">
        <v>1283.58</v>
      </c>
      <c r="N2406" s="22">
        <f>_xlfn.XLOOKUP(Snitch_Fashion_Sales_cleaned!$J2406,Table2[City],Table2[City_Key],"not found")</f>
        <v>6</v>
      </c>
      <c r="O2406" s="21">
        <f>_xlfn.XLOOKUP(Snitch_Fashion_Sales_cleaned!$D2406,Table4[Product_Name],Table4[Product_Key],"not found")</f>
        <v>24</v>
      </c>
      <c r="P2406" s="25">
        <f>_xlfn.XLOOKUP(Snitch_Fashion_Sales_cleaned!$I2406,Table3[Order_Date],Table3[Date_Key])</f>
        <v>80</v>
      </c>
    </row>
    <row r="2407" spans="1:16" x14ac:dyDescent="0.3">
      <c r="A2407" s="34">
        <v>3405</v>
      </c>
      <c r="B2407" s="32" t="s">
        <v>2414</v>
      </c>
      <c r="C2407" s="32" t="s">
        <v>31</v>
      </c>
      <c r="D2407" s="33" t="s">
        <v>78</v>
      </c>
      <c r="E2407" s="34">
        <v>4</v>
      </c>
      <c r="F2407" s="35">
        <v>2310.4699999999998</v>
      </c>
      <c r="G2407" s="36">
        <v>0.51</v>
      </c>
      <c r="H2407" s="35">
        <f t="shared" si="76"/>
        <v>9241.8799999999992</v>
      </c>
      <c r="I2407" s="37">
        <v>45647</v>
      </c>
      <c r="J2407" s="33" t="s">
        <v>22</v>
      </c>
      <c r="K2407" s="33" t="s">
        <v>16</v>
      </c>
      <c r="L2407" s="38">
        <f t="shared" si="77"/>
        <v>4528.5211999999992</v>
      </c>
      <c r="M2407" s="38">
        <v>393.88</v>
      </c>
      <c r="N2407" s="24">
        <f>_xlfn.XLOOKUP(Snitch_Fashion_Sales_cleaned!$J2407,Table2[City],Table2[City_Key],"not found")</f>
        <v>3</v>
      </c>
      <c r="O2407" s="23">
        <f>_xlfn.XLOOKUP(Snitch_Fashion_Sales_cleaned!$D2407,Table4[Product_Name],Table4[Product_Key],"not found")</f>
        <v>17</v>
      </c>
      <c r="P2407" s="32">
        <f>_xlfn.XLOOKUP(Snitch_Fashion_Sales_cleaned!$I2407,Table3[Order_Date],Table3[Date_Key])</f>
        <v>5</v>
      </c>
    </row>
    <row r="2408" spans="1:16" x14ac:dyDescent="0.3">
      <c r="A2408" s="27">
        <v>3406</v>
      </c>
      <c r="B2408" s="25" t="s">
        <v>2415</v>
      </c>
      <c r="C2408" s="25" t="s">
        <v>36</v>
      </c>
      <c r="D2408" s="26" t="s">
        <v>55</v>
      </c>
      <c r="E2408" s="27">
        <v>3</v>
      </c>
      <c r="F2408" s="28">
        <v>2731.6350000000002</v>
      </c>
      <c r="G2408" s="29">
        <v>0.51</v>
      </c>
      <c r="H2408" s="28">
        <f t="shared" si="76"/>
        <v>8194.9050000000007</v>
      </c>
      <c r="I2408" s="30">
        <v>45384</v>
      </c>
      <c r="J2408" s="26" t="s">
        <v>22</v>
      </c>
      <c r="K2408" s="26" t="s">
        <v>23</v>
      </c>
      <c r="L2408" s="31">
        <f t="shared" si="77"/>
        <v>4015.5034500000002</v>
      </c>
      <c r="M2408" s="31">
        <v>-513.37</v>
      </c>
      <c r="N2408" s="22">
        <f>_xlfn.XLOOKUP(Snitch_Fashion_Sales_cleaned!$J2408,Table2[City],Table2[City_Key],"not found")</f>
        <v>3</v>
      </c>
      <c r="O2408" s="21">
        <f>_xlfn.XLOOKUP(Snitch_Fashion_Sales_cleaned!$D2408,Table4[Product_Name],Table4[Product_Key],"not found")</f>
        <v>12</v>
      </c>
      <c r="P2408" s="25">
        <f>_xlfn.XLOOKUP(Snitch_Fashion_Sales_cleaned!$I2408,Table3[Order_Date],Table3[Date_Key])</f>
        <v>7</v>
      </c>
    </row>
    <row r="2409" spans="1:16" x14ac:dyDescent="0.3">
      <c r="A2409" s="34">
        <v>3407</v>
      </c>
      <c r="B2409" s="32" t="s">
        <v>2416</v>
      </c>
      <c r="C2409" s="32" t="s">
        <v>13</v>
      </c>
      <c r="D2409" s="33" t="s">
        <v>98</v>
      </c>
      <c r="E2409" s="34">
        <v>1</v>
      </c>
      <c r="F2409" s="35">
        <v>2750.33</v>
      </c>
      <c r="G2409" s="36">
        <v>0.67</v>
      </c>
      <c r="H2409" s="35">
        <f t="shared" si="76"/>
        <v>2750.33</v>
      </c>
      <c r="I2409" s="37">
        <v>45166</v>
      </c>
      <c r="J2409" s="33" t="s">
        <v>18</v>
      </c>
      <c r="K2409" s="33" t="s">
        <v>16</v>
      </c>
      <c r="L2409" s="38">
        <f t="shared" si="77"/>
        <v>907.60889999999984</v>
      </c>
      <c r="M2409" s="38">
        <v>-540.69000000000005</v>
      </c>
      <c r="N2409" s="24">
        <f>_xlfn.XLOOKUP(Snitch_Fashion_Sales_cleaned!$J2409,Table2[City],Table2[City_Key],"not found")</f>
        <v>2</v>
      </c>
      <c r="O2409" s="23">
        <f>_xlfn.XLOOKUP(Snitch_Fashion_Sales_cleaned!$D2409,Table4[Product_Name],Table4[Product_Key],"not found")</f>
        <v>21</v>
      </c>
      <c r="P2409" s="32">
        <f>_xlfn.XLOOKUP(Snitch_Fashion_Sales_cleaned!$I2409,Table3[Order_Date],Table3[Date_Key])</f>
        <v>528</v>
      </c>
    </row>
    <row r="2410" spans="1:16" x14ac:dyDescent="0.3">
      <c r="A2410" s="27">
        <v>3408</v>
      </c>
      <c r="B2410" s="25" t="s">
        <v>2417</v>
      </c>
      <c r="C2410" s="25" t="s">
        <v>28</v>
      </c>
      <c r="D2410" s="26" t="s">
        <v>116</v>
      </c>
      <c r="E2410" s="27">
        <v>4</v>
      </c>
      <c r="F2410" s="28">
        <v>4003.66</v>
      </c>
      <c r="G2410" s="29">
        <v>0.51</v>
      </c>
      <c r="H2410" s="28">
        <f t="shared" si="76"/>
        <v>16014.64</v>
      </c>
      <c r="I2410" s="30">
        <v>45570</v>
      </c>
      <c r="J2410" s="26" t="s">
        <v>52</v>
      </c>
      <c r="K2410" s="26" t="s">
        <v>23</v>
      </c>
      <c r="L2410" s="31">
        <f t="shared" si="77"/>
        <v>7847.1735999999992</v>
      </c>
      <c r="M2410" s="31">
        <v>1340.94</v>
      </c>
      <c r="N2410" s="22">
        <f>_xlfn.XLOOKUP(Snitch_Fashion_Sales_cleaned!$J2410,Table2[City],Table2[City_Key],"not found")</f>
        <v>5</v>
      </c>
      <c r="O2410" s="21">
        <f>_xlfn.XLOOKUP(Snitch_Fashion_Sales_cleaned!$D2410,Table4[Product_Name],Table4[Product_Key],"not found")</f>
        <v>22</v>
      </c>
      <c r="P2410" s="25">
        <f>_xlfn.XLOOKUP(Snitch_Fashion_Sales_cleaned!$I2410,Table3[Order_Date],Table3[Date_Key])</f>
        <v>95</v>
      </c>
    </row>
    <row r="2411" spans="1:16" x14ac:dyDescent="0.3">
      <c r="A2411" s="34">
        <v>3409</v>
      </c>
      <c r="B2411" s="32" t="s">
        <v>2418</v>
      </c>
      <c r="C2411" s="32" t="s">
        <v>20</v>
      </c>
      <c r="D2411" s="33" t="s">
        <v>84</v>
      </c>
      <c r="E2411" s="34">
        <v>3</v>
      </c>
      <c r="F2411" s="35">
        <v>2123.17</v>
      </c>
      <c r="G2411" s="36">
        <v>0.51</v>
      </c>
      <c r="H2411" s="35">
        <f t="shared" si="76"/>
        <v>6369.51</v>
      </c>
      <c r="I2411" s="37">
        <v>45647</v>
      </c>
      <c r="J2411" s="33" t="s">
        <v>15</v>
      </c>
      <c r="K2411" s="33" t="s">
        <v>23</v>
      </c>
      <c r="L2411" s="38">
        <f t="shared" si="77"/>
        <v>3121.0599000000002</v>
      </c>
      <c r="M2411" s="38">
        <v>-717.75</v>
      </c>
      <c r="N2411" s="24">
        <f>_xlfn.XLOOKUP(Snitch_Fashion_Sales_cleaned!$J2411,Table2[City],Table2[City_Key],"not found")</f>
        <v>1</v>
      </c>
      <c r="O2411" s="23">
        <f>_xlfn.XLOOKUP(Snitch_Fashion_Sales_cleaned!$D2411,Table4[Product_Name],Table4[Product_Key],"not found")</f>
        <v>19</v>
      </c>
      <c r="P2411" s="32">
        <f>_xlfn.XLOOKUP(Snitch_Fashion_Sales_cleaned!$I2411,Table3[Order_Date],Table3[Date_Key])</f>
        <v>5</v>
      </c>
    </row>
    <row r="2412" spans="1:16" x14ac:dyDescent="0.3">
      <c r="A2412" s="27">
        <v>3410</v>
      </c>
      <c r="B2412" s="25" t="s">
        <v>2419</v>
      </c>
      <c r="C2412" s="25" t="s">
        <v>36</v>
      </c>
      <c r="D2412" s="26" t="s">
        <v>59</v>
      </c>
      <c r="E2412" s="27">
        <v>3</v>
      </c>
      <c r="F2412" s="28">
        <v>4732.42</v>
      </c>
      <c r="G2412" s="29">
        <v>0.51</v>
      </c>
      <c r="H2412" s="28">
        <f t="shared" si="76"/>
        <v>14197.26</v>
      </c>
      <c r="I2412" s="30">
        <v>45844</v>
      </c>
      <c r="J2412" s="26" t="s">
        <v>18</v>
      </c>
      <c r="K2412" s="26" t="s">
        <v>23</v>
      </c>
      <c r="L2412" s="31">
        <f t="shared" si="77"/>
        <v>6956.6574000000001</v>
      </c>
      <c r="M2412" s="31">
        <v>916.47</v>
      </c>
      <c r="N2412" s="22">
        <f>_xlfn.XLOOKUP(Snitch_Fashion_Sales_cleaned!$J2412,Table2[City],Table2[City_Key],"not found")</f>
        <v>2</v>
      </c>
      <c r="O2412" s="21">
        <f>_xlfn.XLOOKUP(Snitch_Fashion_Sales_cleaned!$D2412,Table4[Product_Name],Table4[Product_Key],"not found")</f>
        <v>13</v>
      </c>
      <c r="P2412" s="25">
        <f>_xlfn.XLOOKUP(Snitch_Fashion_Sales_cleaned!$I2412,Table3[Order_Date],Table3[Date_Key])</f>
        <v>103</v>
      </c>
    </row>
    <row r="2413" spans="1:16" x14ac:dyDescent="0.3">
      <c r="A2413" s="34">
        <v>3411</v>
      </c>
      <c r="B2413" s="32" t="s">
        <v>2420</v>
      </c>
      <c r="C2413" s="32" t="s">
        <v>25</v>
      </c>
      <c r="D2413" s="33" t="s">
        <v>82</v>
      </c>
      <c r="E2413" s="34">
        <v>3</v>
      </c>
      <c r="F2413" s="35">
        <v>2385.5749999999998</v>
      </c>
      <c r="G2413" s="36">
        <v>0.57999999999999996</v>
      </c>
      <c r="H2413" s="35">
        <f t="shared" si="76"/>
        <v>7156.7249999999995</v>
      </c>
      <c r="I2413" s="37">
        <v>45651</v>
      </c>
      <c r="J2413" s="33" t="s">
        <v>52</v>
      </c>
      <c r="K2413" s="33" t="s">
        <v>23</v>
      </c>
      <c r="L2413" s="38">
        <f t="shared" si="77"/>
        <v>3005.8245000000002</v>
      </c>
      <c r="M2413" s="38">
        <v>1693.4</v>
      </c>
      <c r="N2413" s="24">
        <f>_xlfn.XLOOKUP(Snitch_Fashion_Sales_cleaned!$J2413,Table2[City],Table2[City_Key],"not found")</f>
        <v>5</v>
      </c>
      <c r="O2413" s="23">
        <f>_xlfn.XLOOKUP(Snitch_Fashion_Sales_cleaned!$D2413,Table4[Product_Name],Table4[Product_Key],"not found")</f>
        <v>18</v>
      </c>
      <c r="P2413" s="32">
        <f>_xlfn.XLOOKUP(Snitch_Fashion_Sales_cleaned!$I2413,Table3[Order_Date],Table3[Date_Key])</f>
        <v>174</v>
      </c>
    </row>
    <row r="2414" spans="1:16" x14ac:dyDescent="0.3">
      <c r="A2414" s="27">
        <v>3412</v>
      </c>
      <c r="B2414" s="25" t="s">
        <v>2421</v>
      </c>
      <c r="C2414" s="25" t="s">
        <v>13</v>
      </c>
      <c r="D2414" s="26" t="s">
        <v>98</v>
      </c>
      <c r="E2414" s="27">
        <v>5</v>
      </c>
      <c r="F2414" s="28">
        <v>2750.33</v>
      </c>
      <c r="G2414" s="29">
        <v>0.51</v>
      </c>
      <c r="H2414" s="28">
        <f t="shared" si="76"/>
        <v>13751.65</v>
      </c>
      <c r="I2414" s="30">
        <v>45592</v>
      </c>
      <c r="J2414" s="26" t="s">
        <v>18</v>
      </c>
      <c r="K2414" s="26" t="s">
        <v>23</v>
      </c>
      <c r="L2414" s="31">
        <f t="shared" si="77"/>
        <v>6738.3085000000001</v>
      </c>
      <c r="M2414" s="31">
        <v>2625.33</v>
      </c>
      <c r="N2414" s="22">
        <f>_xlfn.XLOOKUP(Snitch_Fashion_Sales_cleaned!$J2414,Table2[City],Table2[City_Key],"not found")</f>
        <v>2</v>
      </c>
      <c r="O2414" s="21">
        <f>_xlfn.XLOOKUP(Snitch_Fashion_Sales_cleaned!$D2414,Table4[Product_Name],Table4[Product_Key],"not found")</f>
        <v>21</v>
      </c>
      <c r="P2414" s="25">
        <f>_xlfn.XLOOKUP(Snitch_Fashion_Sales_cleaned!$I2414,Table3[Order_Date],Table3[Date_Key])</f>
        <v>159</v>
      </c>
    </row>
    <row r="2415" spans="1:16" x14ac:dyDescent="0.3">
      <c r="A2415" s="34">
        <v>3413</v>
      </c>
      <c r="B2415" s="32" t="s">
        <v>2422</v>
      </c>
      <c r="C2415" s="32" t="s">
        <v>36</v>
      </c>
      <c r="D2415" s="33" t="s">
        <v>55</v>
      </c>
      <c r="E2415" s="34">
        <v>3</v>
      </c>
      <c r="F2415" s="35">
        <v>2731.6350000000002</v>
      </c>
      <c r="G2415" s="36">
        <v>0.51</v>
      </c>
      <c r="H2415" s="35">
        <f t="shared" si="76"/>
        <v>8194.9050000000007</v>
      </c>
      <c r="I2415" s="37">
        <v>45647</v>
      </c>
      <c r="J2415" s="33" t="s">
        <v>2540</v>
      </c>
      <c r="K2415" s="33" t="s">
        <v>16</v>
      </c>
      <c r="L2415" s="38">
        <f t="shared" si="77"/>
        <v>4015.5034500000002</v>
      </c>
      <c r="M2415" s="38">
        <v>2402.84</v>
      </c>
      <c r="N2415" s="24">
        <f>_xlfn.XLOOKUP(Snitch_Fashion_Sales_cleaned!$J2415,Table2[City],Table2[City_Key],"not found")</f>
        <v>4</v>
      </c>
      <c r="O2415" s="23">
        <f>_xlfn.XLOOKUP(Snitch_Fashion_Sales_cleaned!$D2415,Table4[Product_Name],Table4[Product_Key],"not found")</f>
        <v>12</v>
      </c>
      <c r="P2415" s="32">
        <f>_xlfn.XLOOKUP(Snitch_Fashion_Sales_cleaned!$I2415,Table3[Order_Date],Table3[Date_Key])</f>
        <v>5</v>
      </c>
    </row>
    <row r="2416" spans="1:16" x14ac:dyDescent="0.3">
      <c r="A2416" s="27">
        <v>3414</v>
      </c>
      <c r="B2416" s="25" t="s">
        <v>2423</v>
      </c>
      <c r="C2416" s="25" t="s">
        <v>25</v>
      </c>
      <c r="D2416" s="26" t="s">
        <v>82</v>
      </c>
      <c r="E2416" s="27">
        <v>1</v>
      </c>
      <c r="F2416" s="28">
        <v>2385.5749999999998</v>
      </c>
      <c r="G2416" s="29">
        <v>0.51</v>
      </c>
      <c r="H2416" s="28">
        <f t="shared" si="76"/>
        <v>2385.5749999999998</v>
      </c>
      <c r="I2416" s="30">
        <v>45652</v>
      </c>
      <c r="J2416" s="26" t="s">
        <v>18</v>
      </c>
      <c r="K2416" s="26" t="s">
        <v>23</v>
      </c>
      <c r="L2416" s="31">
        <f t="shared" si="77"/>
        <v>1168.93175</v>
      </c>
      <c r="M2416" s="31">
        <v>292.23293749999999</v>
      </c>
      <c r="N2416" s="22">
        <f>_xlfn.XLOOKUP(Snitch_Fashion_Sales_cleaned!$J2416,Table2[City],Table2[City_Key],"not found")</f>
        <v>2</v>
      </c>
      <c r="O2416" s="21">
        <f>_xlfn.XLOOKUP(Snitch_Fashion_Sales_cleaned!$D2416,Table4[Product_Name],Table4[Product_Key],"not found")</f>
        <v>18</v>
      </c>
      <c r="P2416" s="25">
        <f>_xlfn.XLOOKUP(Snitch_Fashion_Sales_cleaned!$I2416,Table3[Order_Date],Table3[Date_Key])</f>
        <v>214</v>
      </c>
    </row>
    <row r="2417" spans="1:16" x14ac:dyDescent="0.3">
      <c r="A2417" s="34">
        <v>3415</v>
      </c>
      <c r="B2417" s="32" t="s">
        <v>2424</v>
      </c>
      <c r="C2417" s="32" t="s">
        <v>31</v>
      </c>
      <c r="D2417" s="33" t="s">
        <v>41</v>
      </c>
      <c r="E2417" s="34">
        <v>4</v>
      </c>
      <c r="F2417" s="35">
        <v>3185.58</v>
      </c>
      <c r="G2417" s="36">
        <v>0.51</v>
      </c>
      <c r="H2417" s="35">
        <f t="shared" si="76"/>
        <v>12742.32</v>
      </c>
      <c r="I2417" s="37">
        <v>45453</v>
      </c>
      <c r="J2417" s="33" t="s">
        <v>15</v>
      </c>
      <c r="K2417" s="33" t="s">
        <v>23</v>
      </c>
      <c r="L2417" s="38">
        <f t="shared" si="77"/>
        <v>6243.7367999999997</v>
      </c>
      <c r="M2417" s="38">
        <v>-767.38</v>
      </c>
      <c r="N2417" s="24">
        <f>_xlfn.XLOOKUP(Snitch_Fashion_Sales_cleaned!$J2417,Table2[City],Table2[City_Key],"not found")</f>
        <v>1</v>
      </c>
      <c r="O2417" s="23">
        <f>_xlfn.XLOOKUP(Snitch_Fashion_Sales_cleaned!$D2417,Table4[Product_Name],Table4[Product_Key],"not found")</f>
        <v>9</v>
      </c>
      <c r="P2417" s="32">
        <f>_xlfn.XLOOKUP(Snitch_Fashion_Sales_cleaned!$I2417,Table3[Order_Date],Table3[Date_Key])</f>
        <v>558</v>
      </c>
    </row>
    <row r="2418" spans="1:16" x14ac:dyDescent="0.3">
      <c r="A2418" s="27">
        <v>3416</v>
      </c>
      <c r="B2418" s="25" t="s">
        <v>2425</v>
      </c>
      <c r="C2418" s="25" t="s">
        <v>20</v>
      </c>
      <c r="D2418" s="26" t="s">
        <v>21</v>
      </c>
      <c r="E2418" s="27">
        <v>4</v>
      </c>
      <c r="F2418" s="28">
        <v>2579.8000000000002</v>
      </c>
      <c r="G2418" s="29">
        <v>0.51</v>
      </c>
      <c r="H2418" s="28">
        <f t="shared" si="76"/>
        <v>10319.200000000001</v>
      </c>
      <c r="I2418" s="30">
        <v>45516</v>
      </c>
      <c r="J2418" s="26" t="s">
        <v>2540</v>
      </c>
      <c r="K2418" s="26" t="s">
        <v>23</v>
      </c>
      <c r="L2418" s="31">
        <f t="shared" si="77"/>
        <v>5056.4080000000004</v>
      </c>
      <c r="M2418" s="31">
        <v>2344.15</v>
      </c>
      <c r="N2418" s="22">
        <f>_xlfn.XLOOKUP(Snitch_Fashion_Sales_cleaned!$J2418,Table2[City],Table2[City_Key],"not found")</f>
        <v>4</v>
      </c>
      <c r="O2418" s="21">
        <f>_xlfn.XLOOKUP(Snitch_Fashion_Sales_cleaned!$D2418,Table4[Product_Name],Table4[Product_Key],"not found")</f>
        <v>2</v>
      </c>
      <c r="P2418" s="25">
        <f>_xlfn.XLOOKUP(Snitch_Fashion_Sales_cleaned!$I2418,Table3[Order_Date],Table3[Date_Key])</f>
        <v>299</v>
      </c>
    </row>
    <row r="2419" spans="1:16" x14ac:dyDescent="0.3">
      <c r="A2419" s="34">
        <v>3417</v>
      </c>
      <c r="B2419" s="32" t="s">
        <v>2426</v>
      </c>
      <c r="C2419" s="32" t="s">
        <v>13</v>
      </c>
      <c r="D2419" s="33" t="s">
        <v>46</v>
      </c>
      <c r="E2419" s="34">
        <v>4</v>
      </c>
      <c r="F2419" s="35">
        <v>2891.64</v>
      </c>
      <c r="G2419" s="36">
        <v>0.51</v>
      </c>
      <c r="H2419" s="35">
        <f t="shared" si="76"/>
        <v>11566.56</v>
      </c>
      <c r="I2419" s="37">
        <v>45686</v>
      </c>
      <c r="J2419" s="33" t="s">
        <v>15</v>
      </c>
      <c r="K2419" s="33" t="s">
        <v>16</v>
      </c>
      <c r="L2419" s="38">
        <f t="shared" si="77"/>
        <v>5667.6143999999995</v>
      </c>
      <c r="M2419" s="38">
        <v>-938.64</v>
      </c>
      <c r="N2419" s="24">
        <f>_xlfn.XLOOKUP(Snitch_Fashion_Sales_cleaned!$J2419,Table2[City],Table2[City_Key],"not found")</f>
        <v>1</v>
      </c>
      <c r="O2419" s="23">
        <f>_xlfn.XLOOKUP(Snitch_Fashion_Sales_cleaned!$D2419,Table4[Product_Name],Table4[Product_Key],"not found")</f>
        <v>10</v>
      </c>
      <c r="P2419" s="32">
        <f>_xlfn.XLOOKUP(Snitch_Fashion_Sales_cleaned!$I2419,Table3[Order_Date],Table3[Date_Key])</f>
        <v>351</v>
      </c>
    </row>
    <row r="2420" spans="1:16" x14ac:dyDescent="0.3">
      <c r="A2420" s="27">
        <v>3418</v>
      </c>
      <c r="B2420" s="25" t="s">
        <v>2427</v>
      </c>
      <c r="C2420" s="25" t="s">
        <v>13</v>
      </c>
      <c r="D2420" s="26" t="s">
        <v>14</v>
      </c>
      <c r="E2420" s="27">
        <v>6</v>
      </c>
      <c r="F2420" s="28">
        <v>2366.6149999999998</v>
      </c>
      <c r="G2420" s="29">
        <v>0.56000000000000005</v>
      </c>
      <c r="H2420" s="28">
        <f t="shared" si="76"/>
        <v>14199.689999999999</v>
      </c>
      <c r="I2420" s="30">
        <v>45647</v>
      </c>
      <c r="J2420" s="26" t="s">
        <v>18</v>
      </c>
      <c r="K2420" s="26" t="s">
        <v>23</v>
      </c>
      <c r="L2420" s="31">
        <f t="shared" si="77"/>
        <v>6247.8635999999988</v>
      </c>
      <c r="M2420" s="31">
        <v>-796.3</v>
      </c>
      <c r="N2420" s="22">
        <f>_xlfn.XLOOKUP(Snitch_Fashion_Sales_cleaned!$J2420,Table2[City],Table2[City_Key],"not found")</f>
        <v>2</v>
      </c>
      <c r="O2420" s="21">
        <f>_xlfn.XLOOKUP(Snitch_Fashion_Sales_cleaned!$D2420,Table4[Product_Name],Table4[Product_Key],"not found")</f>
        <v>1</v>
      </c>
      <c r="P2420" s="25">
        <f>_xlfn.XLOOKUP(Snitch_Fashion_Sales_cleaned!$I2420,Table3[Order_Date],Table3[Date_Key])</f>
        <v>5</v>
      </c>
    </row>
    <row r="2421" spans="1:16" x14ac:dyDescent="0.3">
      <c r="A2421" s="34">
        <v>3419</v>
      </c>
      <c r="B2421" s="32" t="s">
        <v>79</v>
      </c>
      <c r="C2421" s="32" t="s">
        <v>31</v>
      </c>
      <c r="D2421" s="33" t="s">
        <v>32</v>
      </c>
      <c r="E2421" s="34">
        <v>4</v>
      </c>
      <c r="F2421" s="35">
        <v>2001.5500000000002</v>
      </c>
      <c r="G2421" s="36">
        <v>0.51</v>
      </c>
      <c r="H2421" s="35">
        <f t="shared" si="76"/>
        <v>8006.2000000000007</v>
      </c>
      <c r="I2421" s="37">
        <v>45647</v>
      </c>
      <c r="J2421" s="33" t="s">
        <v>18</v>
      </c>
      <c r="K2421" s="33" t="s">
        <v>23</v>
      </c>
      <c r="L2421" s="38">
        <f t="shared" si="77"/>
        <v>3923.0380000000005</v>
      </c>
      <c r="M2421" s="38">
        <v>804.16</v>
      </c>
      <c r="N2421" s="24">
        <f>_xlfn.XLOOKUP(Snitch_Fashion_Sales_cleaned!$J2421,Table2[City],Table2[City_Key],"not found")</f>
        <v>2</v>
      </c>
      <c r="O2421" s="23">
        <f>_xlfn.XLOOKUP(Snitch_Fashion_Sales_cleaned!$D2421,Table4[Product_Name],Table4[Product_Key],"not found")</f>
        <v>5</v>
      </c>
      <c r="P2421" s="32">
        <f>_xlfn.XLOOKUP(Snitch_Fashion_Sales_cleaned!$I2421,Table3[Order_Date],Table3[Date_Key])</f>
        <v>5</v>
      </c>
    </row>
    <row r="2422" spans="1:16" x14ac:dyDescent="0.3">
      <c r="A2422" s="27">
        <v>1002</v>
      </c>
      <c r="B2422" s="25" t="s">
        <v>2428</v>
      </c>
      <c r="C2422" s="25" t="s">
        <v>20</v>
      </c>
      <c r="D2422" s="26" t="s">
        <v>118</v>
      </c>
      <c r="E2422" s="27">
        <v>3</v>
      </c>
      <c r="F2422" s="28">
        <v>2752.99</v>
      </c>
      <c r="G2422" s="29">
        <v>0.51</v>
      </c>
      <c r="H2422" s="28">
        <f t="shared" si="76"/>
        <v>8258.9699999999993</v>
      </c>
      <c r="I2422" s="30">
        <v>45853</v>
      </c>
      <c r="J2422" s="26" t="s">
        <v>22</v>
      </c>
      <c r="K2422" s="26" t="s">
        <v>16</v>
      </c>
      <c r="L2422" s="31">
        <f t="shared" si="77"/>
        <v>4046.8952999999997</v>
      </c>
      <c r="M2422" s="31">
        <v>2315.23</v>
      </c>
      <c r="N2422" s="22">
        <f>_xlfn.XLOOKUP(Snitch_Fashion_Sales_cleaned!$J2422,Table2[City],Table2[City_Key],"not found")</f>
        <v>3</v>
      </c>
      <c r="O2422" s="21">
        <f>_xlfn.XLOOKUP(Snitch_Fashion_Sales_cleaned!$D2422,Table4[Product_Name],Table4[Product_Key],"not found")</f>
        <v>23</v>
      </c>
      <c r="P2422" s="25">
        <f>_xlfn.XLOOKUP(Snitch_Fashion_Sales_cleaned!$I2422,Table3[Order_Date],Table3[Date_Key])</f>
        <v>2</v>
      </c>
    </row>
    <row r="2423" spans="1:16" x14ac:dyDescent="0.3">
      <c r="A2423" s="34">
        <v>3421</v>
      </c>
      <c r="B2423" s="32" t="s">
        <v>1219</v>
      </c>
      <c r="C2423" s="32" t="s">
        <v>25</v>
      </c>
      <c r="D2423" s="33" t="s">
        <v>26</v>
      </c>
      <c r="E2423" s="34">
        <v>4</v>
      </c>
      <c r="F2423" s="35">
        <v>2933.45</v>
      </c>
      <c r="G2423" s="36">
        <v>0.51</v>
      </c>
      <c r="H2423" s="35">
        <f t="shared" si="76"/>
        <v>11733.8</v>
      </c>
      <c r="I2423" s="37">
        <v>45785</v>
      </c>
      <c r="J2423" s="33" t="s">
        <v>2540</v>
      </c>
      <c r="K2423" s="33" t="s">
        <v>16</v>
      </c>
      <c r="L2423" s="38">
        <f t="shared" si="77"/>
        <v>5749.5619999999999</v>
      </c>
      <c r="M2423" s="38">
        <v>2339.14</v>
      </c>
      <c r="N2423" s="24">
        <f>_xlfn.XLOOKUP(Snitch_Fashion_Sales_cleaned!$J2423,Table2[City],Table2[City_Key],"not found")</f>
        <v>4</v>
      </c>
      <c r="O2423" s="23">
        <f>_xlfn.XLOOKUP(Snitch_Fashion_Sales_cleaned!$D2423,Table4[Product_Name],Table4[Product_Key],"not found")</f>
        <v>3</v>
      </c>
      <c r="P2423" s="32">
        <f>_xlfn.XLOOKUP(Snitch_Fashion_Sales_cleaned!$I2423,Table3[Order_Date],Table3[Date_Key])</f>
        <v>58</v>
      </c>
    </row>
    <row r="2424" spans="1:16" x14ac:dyDescent="0.3">
      <c r="A2424" s="27">
        <v>3422</v>
      </c>
      <c r="B2424" s="25" t="s">
        <v>2429</v>
      </c>
      <c r="C2424" s="25" t="s">
        <v>28</v>
      </c>
      <c r="D2424" s="26" t="s">
        <v>137</v>
      </c>
      <c r="E2424" s="27">
        <v>6</v>
      </c>
      <c r="F2424" s="28">
        <v>2338.04</v>
      </c>
      <c r="G2424" s="29">
        <v>0.51</v>
      </c>
      <c r="H2424" s="28">
        <f t="shared" si="76"/>
        <v>14028.24</v>
      </c>
      <c r="I2424" s="30">
        <v>45516</v>
      </c>
      <c r="J2424" s="26" t="s">
        <v>43</v>
      </c>
      <c r="K2424" s="26" t="s">
        <v>23</v>
      </c>
      <c r="L2424" s="31">
        <f t="shared" si="77"/>
        <v>6873.8375999999998</v>
      </c>
      <c r="M2424" s="31">
        <v>20.64</v>
      </c>
      <c r="N2424" s="22">
        <f>_xlfn.XLOOKUP(Snitch_Fashion_Sales_cleaned!$J2424,Table2[City],Table2[City_Key],"not found")</f>
        <v>6</v>
      </c>
      <c r="O2424" s="21">
        <f>_xlfn.XLOOKUP(Snitch_Fashion_Sales_cleaned!$D2424,Table4[Product_Name],Table4[Product_Key],"not found")</f>
        <v>24</v>
      </c>
      <c r="P2424" s="25">
        <f>_xlfn.XLOOKUP(Snitch_Fashion_Sales_cleaned!$I2424,Table3[Order_Date],Table3[Date_Key])</f>
        <v>299</v>
      </c>
    </row>
    <row r="2425" spans="1:16" x14ac:dyDescent="0.3">
      <c r="A2425" s="34">
        <v>3423</v>
      </c>
      <c r="B2425" s="32" t="s">
        <v>2430</v>
      </c>
      <c r="C2425" s="32" t="s">
        <v>25</v>
      </c>
      <c r="D2425" s="33" t="s">
        <v>82</v>
      </c>
      <c r="E2425" s="34">
        <v>3</v>
      </c>
      <c r="F2425" s="35">
        <v>2385.5749999999998</v>
      </c>
      <c r="G2425" s="36">
        <v>0.51</v>
      </c>
      <c r="H2425" s="35">
        <f t="shared" si="76"/>
        <v>7156.7249999999995</v>
      </c>
      <c r="I2425" s="37">
        <v>45519</v>
      </c>
      <c r="J2425" s="33" t="s">
        <v>18</v>
      </c>
      <c r="K2425" s="33" t="s">
        <v>16</v>
      </c>
      <c r="L2425" s="38">
        <f t="shared" si="77"/>
        <v>3506.7952499999997</v>
      </c>
      <c r="M2425" s="38">
        <v>960.12</v>
      </c>
      <c r="N2425" s="24">
        <f>_xlfn.XLOOKUP(Snitch_Fashion_Sales_cleaned!$J2425,Table2[City],Table2[City_Key],"not found")</f>
        <v>2</v>
      </c>
      <c r="O2425" s="23">
        <f>_xlfn.XLOOKUP(Snitch_Fashion_Sales_cleaned!$D2425,Table4[Product_Name],Table4[Product_Key],"not found")</f>
        <v>18</v>
      </c>
      <c r="P2425" s="32">
        <f>_xlfn.XLOOKUP(Snitch_Fashion_Sales_cleaned!$I2425,Table3[Order_Date],Table3[Date_Key])</f>
        <v>248</v>
      </c>
    </row>
    <row r="2426" spans="1:16" x14ac:dyDescent="0.3">
      <c r="A2426" s="27">
        <v>3424</v>
      </c>
      <c r="B2426" s="25" t="s">
        <v>2431</v>
      </c>
      <c r="C2426" s="25" t="s">
        <v>28</v>
      </c>
      <c r="D2426" s="26" t="s">
        <v>116</v>
      </c>
      <c r="E2426" s="27">
        <v>5</v>
      </c>
      <c r="F2426" s="28">
        <v>4754.22</v>
      </c>
      <c r="G2426" s="29">
        <v>0.82</v>
      </c>
      <c r="H2426" s="28">
        <f t="shared" si="76"/>
        <v>23771.100000000002</v>
      </c>
      <c r="I2426" s="30">
        <v>45794</v>
      </c>
      <c r="J2426" s="26" t="s">
        <v>52</v>
      </c>
      <c r="K2426" s="26" t="s">
        <v>23</v>
      </c>
      <c r="L2426" s="31">
        <f t="shared" si="77"/>
        <v>4278.7980000000016</v>
      </c>
      <c r="M2426" s="31">
        <v>2415.19</v>
      </c>
      <c r="N2426" s="22">
        <f>_xlfn.XLOOKUP(Snitch_Fashion_Sales_cleaned!$J2426,Table2[City],Table2[City_Key],"not found")</f>
        <v>5</v>
      </c>
      <c r="O2426" s="21">
        <f>_xlfn.XLOOKUP(Snitch_Fashion_Sales_cleaned!$D2426,Table4[Product_Name],Table4[Product_Key],"not found")</f>
        <v>22</v>
      </c>
      <c r="P2426" s="25">
        <f>_xlfn.XLOOKUP(Snitch_Fashion_Sales_cleaned!$I2426,Table3[Order_Date],Table3[Date_Key])</f>
        <v>482</v>
      </c>
    </row>
    <row r="2427" spans="1:16" x14ac:dyDescent="0.3">
      <c r="A2427" s="34">
        <v>3425</v>
      </c>
      <c r="B2427" s="32" t="s">
        <v>2432</v>
      </c>
      <c r="C2427" s="32" t="s">
        <v>20</v>
      </c>
      <c r="D2427" s="33" t="s">
        <v>84</v>
      </c>
      <c r="E2427" s="34">
        <v>3</v>
      </c>
      <c r="F2427" s="35">
        <v>2942.33</v>
      </c>
      <c r="G2427" s="36">
        <v>0.16</v>
      </c>
      <c r="H2427" s="35">
        <f t="shared" si="76"/>
        <v>8826.99</v>
      </c>
      <c r="I2427" s="37">
        <v>45341</v>
      </c>
      <c r="J2427" s="33" t="s">
        <v>43</v>
      </c>
      <c r="K2427" s="33" t="s">
        <v>23</v>
      </c>
      <c r="L2427" s="38">
        <f t="shared" si="77"/>
        <v>7414.6715999999997</v>
      </c>
      <c r="M2427" s="38">
        <v>977.57</v>
      </c>
      <c r="N2427" s="24">
        <f>_xlfn.XLOOKUP(Snitch_Fashion_Sales_cleaned!$J2427,Table2[City],Table2[City_Key],"not found")</f>
        <v>6</v>
      </c>
      <c r="O2427" s="23">
        <f>_xlfn.XLOOKUP(Snitch_Fashion_Sales_cleaned!$D2427,Table4[Product_Name],Table4[Product_Key],"not found")</f>
        <v>19</v>
      </c>
      <c r="P2427" s="32">
        <f>_xlfn.XLOOKUP(Snitch_Fashion_Sales_cleaned!$I2427,Table3[Order_Date],Table3[Date_Key])</f>
        <v>559</v>
      </c>
    </row>
    <row r="2428" spans="1:16" x14ac:dyDescent="0.3">
      <c r="A2428" s="27">
        <v>3426</v>
      </c>
      <c r="B2428" s="25" t="s">
        <v>2433</v>
      </c>
      <c r="C2428" s="25" t="s">
        <v>20</v>
      </c>
      <c r="D2428" s="26" t="s">
        <v>84</v>
      </c>
      <c r="E2428" s="27">
        <v>3</v>
      </c>
      <c r="F2428" s="28">
        <v>3441.89</v>
      </c>
      <c r="G2428" s="29">
        <v>0.51</v>
      </c>
      <c r="H2428" s="28">
        <f t="shared" si="76"/>
        <v>10325.67</v>
      </c>
      <c r="I2428" s="30">
        <v>45603</v>
      </c>
      <c r="J2428" s="26" t="s">
        <v>18</v>
      </c>
      <c r="K2428" s="26" t="s">
        <v>23</v>
      </c>
      <c r="L2428" s="31">
        <f t="shared" si="77"/>
        <v>5059.5783000000001</v>
      </c>
      <c r="M2428" s="31">
        <v>-872.49</v>
      </c>
      <c r="N2428" s="22">
        <f>_xlfn.XLOOKUP(Snitch_Fashion_Sales_cleaned!$J2428,Table2[City],Table2[City_Key],"not found")</f>
        <v>2</v>
      </c>
      <c r="O2428" s="21">
        <f>_xlfn.XLOOKUP(Snitch_Fashion_Sales_cleaned!$D2428,Table4[Product_Name],Table4[Product_Key],"not found")</f>
        <v>19</v>
      </c>
      <c r="P2428" s="25">
        <f>_xlfn.XLOOKUP(Snitch_Fashion_Sales_cleaned!$I2428,Table3[Order_Date],Table3[Date_Key])</f>
        <v>171</v>
      </c>
    </row>
    <row r="2429" spans="1:16" x14ac:dyDescent="0.3">
      <c r="A2429" s="34">
        <v>3427</v>
      </c>
      <c r="B2429" s="32" t="s">
        <v>2434</v>
      </c>
      <c r="C2429" s="32" t="s">
        <v>28</v>
      </c>
      <c r="D2429" s="33" t="s">
        <v>29</v>
      </c>
      <c r="E2429" s="34">
        <v>3</v>
      </c>
      <c r="F2429" s="35">
        <v>2515.415</v>
      </c>
      <c r="G2429" s="36">
        <v>0.51</v>
      </c>
      <c r="H2429" s="35">
        <f t="shared" si="76"/>
        <v>7546.2449999999999</v>
      </c>
      <c r="I2429" s="37">
        <v>45512</v>
      </c>
      <c r="J2429" s="33" t="s">
        <v>15</v>
      </c>
      <c r="K2429" s="33" t="s">
        <v>23</v>
      </c>
      <c r="L2429" s="38">
        <f t="shared" si="77"/>
        <v>3697.66005</v>
      </c>
      <c r="M2429" s="38">
        <v>-63</v>
      </c>
      <c r="N2429" s="24">
        <f>_xlfn.XLOOKUP(Snitch_Fashion_Sales_cleaned!$J2429,Table2[City],Table2[City_Key],"not found")</f>
        <v>1</v>
      </c>
      <c r="O2429" s="23">
        <f>_xlfn.XLOOKUP(Snitch_Fashion_Sales_cleaned!$D2429,Table4[Product_Name],Table4[Product_Key],"not found")</f>
        <v>4</v>
      </c>
      <c r="P2429" s="32">
        <f>_xlfn.XLOOKUP(Snitch_Fashion_Sales_cleaned!$I2429,Table3[Order_Date],Table3[Date_Key])</f>
        <v>119</v>
      </c>
    </row>
    <row r="2430" spans="1:16" x14ac:dyDescent="0.3">
      <c r="A2430" s="27">
        <v>3428</v>
      </c>
      <c r="B2430" s="25" t="s">
        <v>2435</v>
      </c>
      <c r="C2430" s="25" t="s">
        <v>20</v>
      </c>
      <c r="D2430" s="26" t="s">
        <v>21</v>
      </c>
      <c r="E2430" s="27">
        <v>3</v>
      </c>
      <c r="F2430" s="28">
        <v>2579.8000000000002</v>
      </c>
      <c r="G2430" s="29">
        <v>0.51</v>
      </c>
      <c r="H2430" s="28">
        <f t="shared" si="76"/>
        <v>7739.4000000000005</v>
      </c>
      <c r="I2430" s="30">
        <v>45729</v>
      </c>
      <c r="J2430" s="26" t="s">
        <v>22</v>
      </c>
      <c r="K2430" s="26" t="s">
        <v>23</v>
      </c>
      <c r="L2430" s="31">
        <f t="shared" si="77"/>
        <v>3792.306</v>
      </c>
      <c r="M2430" s="31">
        <v>670.29</v>
      </c>
      <c r="N2430" s="22">
        <f>_xlfn.XLOOKUP(Snitch_Fashion_Sales_cleaned!$J2430,Table2[City],Table2[City_Key],"not found")</f>
        <v>3</v>
      </c>
      <c r="O2430" s="21">
        <f>_xlfn.XLOOKUP(Snitch_Fashion_Sales_cleaned!$D2430,Table4[Product_Name],Table4[Product_Key],"not found")</f>
        <v>2</v>
      </c>
      <c r="P2430" s="25">
        <f>_xlfn.XLOOKUP(Snitch_Fashion_Sales_cleaned!$I2430,Table3[Order_Date],Table3[Date_Key])</f>
        <v>301</v>
      </c>
    </row>
    <row r="2431" spans="1:16" x14ac:dyDescent="0.3">
      <c r="A2431" s="34">
        <v>3429</v>
      </c>
      <c r="B2431" s="32" t="s">
        <v>2436</v>
      </c>
      <c r="C2431" s="32" t="s">
        <v>36</v>
      </c>
      <c r="D2431" s="33" t="s">
        <v>59</v>
      </c>
      <c r="E2431" s="34">
        <v>3</v>
      </c>
      <c r="F2431" s="35">
        <v>2765.26</v>
      </c>
      <c r="G2431" s="36">
        <v>0.51</v>
      </c>
      <c r="H2431" s="35">
        <f t="shared" si="76"/>
        <v>8295.7800000000007</v>
      </c>
      <c r="I2431" s="37">
        <v>45703</v>
      </c>
      <c r="J2431" s="33" t="s">
        <v>15</v>
      </c>
      <c r="K2431" s="33" t="s">
        <v>23</v>
      </c>
      <c r="L2431" s="38">
        <f t="shared" si="77"/>
        <v>4064.9322000000002</v>
      </c>
      <c r="M2431" s="38">
        <v>859.23</v>
      </c>
      <c r="N2431" s="24">
        <f>_xlfn.XLOOKUP(Snitch_Fashion_Sales_cleaned!$J2431,Table2[City],Table2[City_Key],"not found")</f>
        <v>1</v>
      </c>
      <c r="O2431" s="23">
        <f>_xlfn.XLOOKUP(Snitch_Fashion_Sales_cleaned!$D2431,Table4[Product_Name],Table4[Product_Key],"not found")</f>
        <v>13</v>
      </c>
      <c r="P2431" s="32">
        <f>_xlfn.XLOOKUP(Snitch_Fashion_Sales_cleaned!$I2431,Table3[Order_Date],Table3[Date_Key])</f>
        <v>242</v>
      </c>
    </row>
    <row r="2432" spans="1:16" x14ac:dyDescent="0.3">
      <c r="A2432" s="27">
        <v>3430</v>
      </c>
      <c r="B2432" s="25" t="s">
        <v>2437</v>
      </c>
      <c r="C2432" s="25" t="s">
        <v>28</v>
      </c>
      <c r="D2432" s="26" t="s">
        <v>116</v>
      </c>
      <c r="E2432" s="27">
        <v>4</v>
      </c>
      <c r="F2432" s="28">
        <v>2244.0700000000002</v>
      </c>
      <c r="G2432" s="29">
        <v>0.51</v>
      </c>
      <c r="H2432" s="28">
        <f t="shared" si="76"/>
        <v>8976.2800000000007</v>
      </c>
      <c r="I2432" s="30">
        <v>45647</v>
      </c>
      <c r="J2432" s="26" t="s">
        <v>2540</v>
      </c>
      <c r="K2432" s="26" t="s">
        <v>16</v>
      </c>
      <c r="L2432" s="31">
        <f t="shared" si="77"/>
        <v>4398.3771999999999</v>
      </c>
      <c r="M2432" s="31">
        <v>195.31</v>
      </c>
      <c r="N2432" s="22">
        <f>_xlfn.XLOOKUP(Snitch_Fashion_Sales_cleaned!$J2432,Table2[City],Table2[City_Key],"not found")</f>
        <v>4</v>
      </c>
      <c r="O2432" s="21">
        <f>_xlfn.XLOOKUP(Snitch_Fashion_Sales_cleaned!$D2432,Table4[Product_Name],Table4[Product_Key],"not found")</f>
        <v>22</v>
      </c>
      <c r="P2432" s="25">
        <f>_xlfn.XLOOKUP(Snitch_Fashion_Sales_cleaned!$I2432,Table3[Order_Date],Table3[Date_Key])</f>
        <v>5</v>
      </c>
    </row>
    <row r="2433" spans="1:16" x14ac:dyDescent="0.3">
      <c r="A2433" s="34">
        <v>3431</v>
      </c>
      <c r="B2433" s="32" t="s">
        <v>2438</v>
      </c>
      <c r="C2433" s="32" t="s">
        <v>36</v>
      </c>
      <c r="D2433" s="33" t="s">
        <v>55</v>
      </c>
      <c r="E2433" s="34">
        <v>3</v>
      </c>
      <c r="F2433" s="35">
        <v>2731.6350000000002</v>
      </c>
      <c r="G2433" s="36">
        <v>0.25</v>
      </c>
      <c r="H2433" s="35">
        <f t="shared" si="76"/>
        <v>8194.9050000000007</v>
      </c>
      <c r="I2433" s="37">
        <v>45613</v>
      </c>
      <c r="J2433" s="33" t="s">
        <v>15</v>
      </c>
      <c r="K2433" s="33" t="s">
        <v>16</v>
      </c>
      <c r="L2433" s="38">
        <f t="shared" si="77"/>
        <v>6146.1787500000009</v>
      </c>
      <c r="M2433" s="38">
        <v>669.94</v>
      </c>
      <c r="N2433" s="24">
        <f>_xlfn.XLOOKUP(Snitch_Fashion_Sales_cleaned!$J2433,Table2[City],Table2[City_Key],"not found")</f>
        <v>1</v>
      </c>
      <c r="O2433" s="23">
        <f>_xlfn.XLOOKUP(Snitch_Fashion_Sales_cleaned!$D2433,Table4[Product_Name],Table4[Product_Key],"not found")</f>
        <v>12</v>
      </c>
      <c r="P2433" s="32">
        <f>_xlfn.XLOOKUP(Snitch_Fashion_Sales_cleaned!$I2433,Table3[Order_Date],Table3[Date_Key])</f>
        <v>375</v>
      </c>
    </row>
    <row r="2434" spans="1:16" x14ac:dyDescent="0.3">
      <c r="A2434" s="27">
        <v>3432</v>
      </c>
      <c r="B2434" s="25" t="s">
        <v>2439</v>
      </c>
      <c r="C2434" s="25" t="s">
        <v>36</v>
      </c>
      <c r="D2434" s="26" t="s">
        <v>87</v>
      </c>
      <c r="E2434" s="27">
        <v>4</v>
      </c>
      <c r="F2434" s="28">
        <v>2889.5349999999999</v>
      </c>
      <c r="G2434" s="29">
        <v>0.51</v>
      </c>
      <c r="H2434" s="28">
        <f t="shared" si="76"/>
        <v>11558.14</v>
      </c>
      <c r="I2434" s="30">
        <v>45657</v>
      </c>
      <c r="J2434" s="26" t="s">
        <v>2540</v>
      </c>
      <c r="K2434" s="26" t="s">
        <v>23</v>
      </c>
      <c r="L2434" s="31">
        <f t="shared" si="77"/>
        <v>5663.4885999999997</v>
      </c>
      <c r="M2434" s="31">
        <v>980.18</v>
      </c>
      <c r="N2434" s="22">
        <f>_xlfn.XLOOKUP(Snitch_Fashion_Sales_cleaned!$J2434,Table2[City],Table2[City_Key],"not found")</f>
        <v>4</v>
      </c>
      <c r="O2434" s="21">
        <f>_xlfn.XLOOKUP(Snitch_Fashion_Sales_cleaned!$D2434,Table4[Product_Name],Table4[Product_Key],"not found")</f>
        <v>20</v>
      </c>
      <c r="P2434" s="25">
        <f>_xlfn.XLOOKUP(Snitch_Fashion_Sales_cleaned!$I2434,Table3[Order_Date],Table3[Date_Key])</f>
        <v>82</v>
      </c>
    </row>
    <row r="2435" spans="1:16" x14ac:dyDescent="0.3">
      <c r="A2435" s="34">
        <v>3433</v>
      </c>
      <c r="B2435" s="32" t="s">
        <v>2440</v>
      </c>
      <c r="C2435" s="32" t="s">
        <v>31</v>
      </c>
      <c r="D2435" s="33" t="s">
        <v>32</v>
      </c>
      <c r="E2435" s="34">
        <v>4</v>
      </c>
      <c r="F2435" s="35">
        <v>4971.5600000000004</v>
      </c>
      <c r="G2435" s="36">
        <v>0.87</v>
      </c>
      <c r="H2435" s="35">
        <f t="shared" si="76"/>
        <v>19886.240000000002</v>
      </c>
      <c r="I2435" s="37">
        <v>45679</v>
      </c>
      <c r="J2435" s="33" t="s">
        <v>2540</v>
      </c>
      <c r="K2435" s="33" t="s">
        <v>23</v>
      </c>
      <c r="L2435" s="38">
        <f t="shared" si="77"/>
        <v>2585.2112000000002</v>
      </c>
      <c r="M2435" s="38">
        <v>1202.3399999999999</v>
      </c>
      <c r="N2435" s="24">
        <f>_xlfn.XLOOKUP(Snitch_Fashion_Sales_cleaned!$J2435,Table2[City],Table2[City_Key],"not found")</f>
        <v>4</v>
      </c>
      <c r="O2435" s="23">
        <f>_xlfn.XLOOKUP(Snitch_Fashion_Sales_cleaned!$D2435,Table4[Product_Name],Table4[Product_Key],"not found")</f>
        <v>5</v>
      </c>
      <c r="P2435" s="32">
        <f>_xlfn.XLOOKUP(Snitch_Fashion_Sales_cleaned!$I2435,Table3[Order_Date],Table3[Date_Key])</f>
        <v>217</v>
      </c>
    </row>
    <row r="2436" spans="1:16" x14ac:dyDescent="0.3">
      <c r="A2436" s="27">
        <v>3434</v>
      </c>
      <c r="B2436" s="25" t="s">
        <v>2441</v>
      </c>
      <c r="C2436" s="25" t="s">
        <v>25</v>
      </c>
      <c r="D2436" s="26" t="s">
        <v>26</v>
      </c>
      <c r="E2436" s="27">
        <v>4</v>
      </c>
      <c r="F2436" s="28">
        <v>636.91999999999996</v>
      </c>
      <c r="G2436" s="29">
        <v>0.51</v>
      </c>
      <c r="H2436" s="28">
        <f t="shared" si="76"/>
        <v>2547.6799999999998</v>
      </c>
      <c r="I2436" s="30">
        <v>45724</v>
      </c>
      <c r="J2436" s="26" t="s">
        <v>43</v>
      </c>
      <c r="K2436" s="26" t="s">
        <v>23</v>
      </c>
      <c r="L2436" s="31">
        <f t="shared" si="77"/>
        <v>1248.3632</v>
      </c>
      <c r="M2436" s="31">
        <v>312.0908</v>
      </c>
      <c r="N2436" s="22">
        <f>_xlfn.XLOOKUP(Snitch_Fashion_Sales_cleaned!$J2436,Table2[City],Table2[City_Key],"not found")</f>
        <v>6</v>
      </c>
      <c r="O2436" s="21">
        <f>_xlfn.XLOOKUP(Snitch_Fashion_Sales_cleaned!$D2436,Table4[Product_Name],Table4[Product_Key],"not found")</f>
        <v>3</v>
      </c>
      <c r="P2436" s="25">
        <f>_xlfn.XLOOKUP(Snitch_Fashion_Sales_cleaned!$I2436,Table3[Order_Date],Table3[Date_Key])</f>
        <v>456</v>
      </c>
    </row>
    <row r="2437" spans="1:16" x14ac:dyDescent="0.3">
      <c r="A2437" s="34">
        <v>3435</v>
      </c>
      <c r="B2437" s="32" t="s">
        <v>2442</v>
      </c>
      <c r="C2437" s="32" t="s">
        <v>20</v>
      </c>
      <c r="D2437" s="33" t="s">
        <v>118</v>
      </c>
      <c r="E2437" s="34">
        <v>3.5</v>
      </c>
      <c r="F2437" s="35">
        <v>2752.99</v>
      </c>
      <c r="G2437" s="36">
        <v>0.51</v>
      </c>
      <c r="H2437" s="35">
        <f t="shared" si="76"/>
        <v>9635.4650000000001</v>
      </c>
      <c r="I2437" s="37">
        <v>45145</v>
      </c>
      <c r="J2437" s="33" t="s">
        <v>15</v>
      </c>
      <c r="K2437" s="33" t="s">
        <v>23</v>
      </c>
      <c r="L2437" s="38">
        <f t="shared" si="77"/>
        <v>4721.3778499999999</v>
      </c>
      <c r="M2437" s="38">
        <v>-453.03</v>
      </c>
      <c r="N2437" s="24">
        <f>_xlfn.XLOOKUP(Snitch_Fashion_Sales_cleaned!$J2437,Table2[City],Table2[City_Key],"not found")</f>
        <v>1</v>
      </c>
      <c r="O2437" s="23">
        <f>_xlfn.XLOOKUP(Snitch_Fashion_Sales_cleaned!$D2437,Table4[Product_Name],Table4[Product_Key],"not found")</f>
        <v>23</v>
      </c>
      <c r="P2437" s="32">
        <f>_xlfn.XLOOKUP(Snitch_Fashion_Sales_cleaned!$I2437,Table3[Order_Date],Table3[Date_Key])</f>
        <v>560</v>
      </c>
    </row>
    <row r="2438" spans="1:16" x14ac:dyDescent="0.3">
      <c r="A2438" s="27">
        <v>3436</v>
      </c>
      <c r="B2438" s="25" t="s">
        <v>2443</v>
      </c>
      <c r="C2438" s="25" t="s">
        <v>36</v>
      </c>
      <c r="D2438" s="26" t="s">
        <v>55</v>
      </c>
      <c r="E2438" s="27">
        <v>3</v>
      </c>
      <c r="F2438" s="28">
        <v>2731.6350000000002</v>
      </c>
      <c r="G2438" s="29">
        <v>0.91</v>
      </c>
      <c r="H2438" s="28">
        <f t="shared" ref="H2438:H2488" si="78">E2438*F2438</f>
        <v>8194.9050000000007</v>
      </c>
      <c r="I2438" s="30">
        <v>45532</v>
      </c>
      <c r="J2438" s="26" t="s">
        <v>2540</v>
      </c>
      <c r="K2438" s="26" t="s">
        <v>23</v>
      </c>
      <c r="L2438" s="31">
        <f t="shared" ref="L2438:L2488" si="79">H2438*(1-G2438)</f>
        <v>737.54144999999983</v>
      </c>
      <c r="M2438" s="31">
        <v>184.38536249999996</v>
      </c>
      <c r="N2438" s="22">
        <f>_xlfn.XLOOKUP(Snitch_Fashion_Sales_cleaned!$J2438,Table2[City],Table2[City_Key],"not found")</f>
        <v>4</v>
      </c>
      <c r="O2438" s="21">
        <f>_xlfn.XLOOKUP(Snitch_Fashion_Sales_cleaned!$D2438,Table4[Product_Name],Table4[Product_Key],"not found")</f>
        <v>12</v>
      </c>
      <c r="P2438" s="25">
        <f>_xlfn.XLOOKUP(Snitch_Fashion_Sales_cleaned!$I2438,Table3[Order_Date],Table3[Date_Key])</f>
        <v>349</v>
      </c>
    </row>
    <row r="2439" spans="1:16" x14ac:dyDescent="0.3">
      <c r="A2439" s="34">
        <v>3437</v>
      </c>
      <c r="B2439" s="32" t="s">
        <v>2444</v>
      </c>
      <c r="C2439" s="32" t="s">
        <v>31</v>
      </c>
      <c r="D2439" s="33" t="s">
        <v>32</v>
      </c>
      <c r="E2439" s="34">
        <v>4</v>
      </c>
      <c r="F2439" s="35">
        <v>987.68</v>
      </c>
      <c r="G2439" s="36">
        <v>0.51</v>
      </c>
      <c r="H2439" s="35">
        <f t="shared" si="78"/>
        <v>3950.72</v>
      </c>
      <c r="I2439" s="37">
        <v>45832</v>
      </c>
      <c r="J2439" s="33" t="s">
        <v>2540</v>
      </c>
      <c r="K2439" s="33" t="s">
        <v>16</v>
      </c>
      <c r="L2439" s="38">
        <f t="shared" si="79"/>
        <v>1935.8527999999999</v>
      </c>
      <c r="M2439" s="38">
        <v>483.96319999999997</v>
      </c>
      <c r="N2439" s="24">
        <f>_xlfn.XLOOKUP(Snitch_Fashion_Sales_cleaned!$J2439,Table2[City],Table2[City_Key],"not found")</f>
        <v>4</v>
      </c>
      <c r="O2439" s="23">
        <f>_xlfn.XLOOKUP(Snitch_Fashion_Sales_cleaned!$D2439,Table4[Product_Name],Table4[Product_Key],"not found")</f>
        <v>5</v>
      </c>
      <c r="P2439" s="32">
        <f>_xlfn.XLOOKUP(Snitch_Fashion_Sales_cleaned!$I2439,Table3[Order_Date],Table3[Date_Key])</f>
        <v>141</v>
      </c>
    </row>
    <row r="2440" spans="1:16" x14ac:dyDescent="0.3">
      <c r="A2440" s="27">
        <v>1006</v>
      </c>
      <c r="B2440" s="25" t="s">
        <v>2445</v>
      </c>
      <c r="C2440" s="25" t="s">
        <v>28</v>
      </c>
      <c r="D2440" s="26" t="s">
        <v>29</v>
      </c>
      <c r="E2440" s="27">
        <v>3</v>
      </c>
      <c r="F2440" s="28">
        <v>3891.07</v>
      </c>
      <c r="G2440" s="29">
        <v>0.2</v>
      </c>
      <c r="H2440" s="28">
        <f t="shared" si="78"/>
        <v>11673.210000000001</v>
      </c>
      <c r="I2440" s="30">
        <v>45856</v>
      </c>
      <c r="J2440" s="26" t="s">
        <v>18</v>
      </c>
      <c r="K2440" s="26" t="s">
        <v>16</v>
      </c>
      <c r="L2440" s="31">
        <f t="shared" si="79"/>
        <v>9338.5680000000011</v>
      </c>
      <c r="M2440" s="31">
        <v>-861.28</v>
      </c>
      <c r="N2440" s="22">
        <f>_xlfn.XLOOKUP(Snitch_Fashion_Sales_cleaned!$J2440,Table2[City],Table2[City_Key],"not found")</f>
        <v>2</v>
      </c>
      <c r="O2440" s="21">
        <f>_xlfn.XLOOKUP(Snitch_Fashion_Sales_cleaned!$D2440,Table4[Product_Name],Table4[Product_Key],"not found")</f>
        <v>4</v>
      </c>
      <c r="P2440" s="25">
        <f>_xlfn.XLOOKUP(Snitch_Fashion_Sales_cleaned!$I2440,Table3[Order_Date],Table3[Date_Key])</f>
        <v>18</v>
      </c>
    </row>
    <row r="2441" spans="1:16" x14ac:dyDescent="0.3">
      <c r="A2441" s="34">
        <v>3439</v>
      </c>
      <c r="B2441" s="32" t="s">
        <v>2446</v>
      </c>
      <c r="C2441" s="32" t="s">
        <v>25</v>
      </c>
      <c r="D2441" s="33" t="s">
        <v>62</v>
      </c>
      <c r="E2441" s="34">
        <v>4</v>
      </c>
      <c r="F2441" s="35">
        <v>400.21</v>
      </c>
      <c r="G2441" s="36">
        <v>0.51</v>
      </c>
      <c r="H2441" s="35">
        <f t="shared" si="78"/>
        <v>1600.84</v>
      </c>
      <c r="I2441" s="37">
        <v>45831</v>
      </c>
      <c r="J2441" s="33" t="s">
        <v>2540</v>
      </c>
      <c r="K2441" s="33" t="s">
        <v>16</v>
      </c>
      <c r="L2441" s="38">
        <f t="shared" si="79"/>
        <v>784.41159999999991</v>
      </c>
      <c r="M2441" s="38">
        <v>196.10289999999998</v>
      </c>
      <c r="N2441" s="24">
        <f>_xlfn.XLOOKUP(Snitch_Fashion_Sales_cleaned!$J2441,Table2[City],Table2[City_Key],"not found")</f>
        <v>4</v>
      </c>
      <c r="O2441" s="23">
        <f>_xlfn.XLOOKUP(Snitch_Fashion_Sales_cleaned!$D2441,Table4[Product_Name],Table4[Product_Key],"not found")</f>
        <v>14</v>
      </c>
      <c r="P2441" s="32">
        <f>_xlfn.XLOOKUP(Snitch_Fashion_Sales_cleaned!$I2441,Table3[Order_Date],Table3[Date_Key])</f>
        <v>281</v>
      </c>
    </row>
    <row r="2442" spans="1:16" x14ac:dyDescent="0.3">
      <c r="A2442" s="27">
        <v>3440</v>
      </c>
      <c r="B2442" s="25" t="s">
        <v>2447</v>
      </c>
      <c r="C2442" s="25" t="s">
        <v>31</v>
      </c>
      <c r="D2442" s="26" t="s">
        <v>41</v>
      </c>
      <c r="E2442" s="27">
        <v>3</v>
      </c>
      <c r="F2442" s="28">
        <v>1536.14</v>
      </c>
      <c r="G2442" s="29">
        <v>0.87</v>
      </c>
      <c r="H2442" s="28">
        <f t="shared" si="78"/>
        <v>4608.42</v>
      </c>
      <c r="I2442" s="30">
        <v>45729</v>
      </c>
      <c r="J2442" s="26" t="s">
        <v>18</v>
      </c>
      <c r="K2442" s="26" t="s">
        <v>16</v>
      </c>
      <c r="L2442" s="31">
        <f t="shared" si="79"/>
        <v>599.09460000000001</v>
      </c>
      <c r="M2442" s="31">
        <v>-382.45</v>
      </c>
      <c r="N2442" s="22">
        <f>_xlfn.XLOOKUP(Snitch_Fashion_Sales_cleaned!$J2442,Table2[City],Table2[City_Key],"not found")</f>
        <v>2</v>
      </c>
      <c r="O2442" s="21">
        <f>_xlfn.XLOOKUP(Snitch_Fashion_Sales_cleaned!$D2442,Table4[Product_Name],Table4[Product_Key],"not found")</f>
        <v>9</v>
      </c>
      <c r="P2442" s="25">
        <f>_xlfn.XLOOKUP(Snitch_Fashion_Sales_cleaned!$I2442,Table3[Order_Date],Table3[Date_Key])</f>
        <v>301</v>
      </c>
    </row>
    <row r="2443" spans="1:16" x14ac:dyDescent="0.3">
      <c r="A2443" s="34">
        <v>3441</v>
      </c>
      <c r="B2443" s="32" t="s">
        <v>2448</v>
      </c>
      <c r="C2443" s="32" t="s">
        <v>36</v>
      </c>
      <c r="D2443" s="33" t="s">
        <v>55</v>
      </c>
      <c r="E2443" s="34">
        <v>5</v>
      </c>
      <c r="F2443" s="35">
        <v>2731.6350000000002</v>
      </c>
      <c r="G2443" s="36">
        <v>0.51</v>
      </c>
      <c r="H2443" s="35">
        <f t="shared" si="78"/>
        <v>13658.175000000001</v>
      </c>
      <c r="I2443" s="37">
        <v>45783</v>
      </c>
      <c r="J2443" s="33" t="s">
        <v>15</v>
      </c>
      <c r="K2443" s="33" t="s">
        <v>23</v>
      </c>
      <c r="L2443" s="38">
        <f t="shared" si="79"/>
        <v>6692.5057500000003</v>
      </c>
      <c r="M2443" s="38">
        <v>2953.52</v>
      </c>
      <c r="N2443" s="24">
        <f>_xlfn.XLOOKUP(Snitch_Fashion_Sales_cleaned!$J2443,Table2[City],Table2[City_Key],"not found")</f>
        <v>1</v>
      </c>
      <c r="O2443" s="23">
        <f>_xlfn.XLOOKUP(Snitch_Fashion_Sales_cleaned!$D2443,Table4[Product_Name],Table4[Product_Key],"not found")</f>
        <v>12</v>
      </c>
      <c r="P2443" s="32">
        <f>_xlfn.XLOOKUP(Snitch_Fashion_Sales_cleaned!$I2443,Table3[Order_Date],Table3[Date_Key])</f>
        <v>257</v>
      </c>
    </row>
    <row r="2444" spans="1:16" x14ac:dyDescent="0.3">
      <c r="A2444" s="27">
        <v>3442</v>
      </c>
      <c r="B2444" s="25" t="s">
        <v>2449</v>
      </c>
      <c r="C2444" s="25" t="s">
        <v>31</v>
      </c>
      <c r="D2444" s="26" t="s">
        <v>41</v>
      </c>
      <c r="E2444" s="27">
        <v>3</v>
      </c>
      <c r="F2444" s="28">
        <v>3027.66</v>
      </c>
      <c r="G2444" s="29">
        <v>0.51</v>
      </c>
      <c r="H2444" s="28">
        <f t="shared" si="78"/>
        <v>9082.98</v>
      </c>
      <c r="I2444" s="30">
        <v>45506</v>
      </c>
      <c r="J2444" s="26" t="s">
        <v>18</v>
      </c>
      <c r="K2444" s="26" t="s">
        <v>23</v>
      </c>
      <c r="L2444" s="31">
        <f t="shared" si="79"/>
        <v>4450.6601999999993</v>
      </c>
      <c r="M2444" s="31">
        <v>1331.63</v>
      </c>
      <c r="N2444" s="22">
        <f>_xlfn.XLOOKUP(Snitch_Fashion_Sales_cleaned!$J2444,Table2[City],Table2[City_Key],"not found")</f>
        <v>2</v>
      </c>
      <c r="O2444" s="21">
        <f>_xlfn.XLOOKUP(Snitch_Fashion_Sales_cleaned!$D2444,Table4[Product_Name],Table4[Product_Key],"not found")</f>
        <v>9</v>
      </c>
      <c r="P2444" s="25">
        <f>_xlfn.XLOOKUP(Snitch_Fashion_Sales_cleaned!$I2444,Table3[Order_Date],Table3[Date_Key])</f>
        <v>178</v>
      </c>
    </row>
    <row r="2445" spans="1:16" x14ac:dyDescent="0.3">
      <c r="A2445" s="34">
        <v>3443</v>
      </c>
      <c r="B2445" s="32" t="s">
        <v>2450</v>
      </c>
      <c r="C2445" s="32" t="s">
        <v>31</v>
      </c>
      <c r="D2445" s="33" t="s">
        <v>41</v>
      </c>
      <c r="E2445" s="34">
        <v>3</v>
      </c>
      <c r="F2445" s="35">
        <v>3027.66</v>
      </c>
      <c r="G2445" s="36">
        <v>0.37</v>
      </c>
      <c r="H2445" s="35">
        <f t="shared" si="78"/>
        <v>9082.98</v>
      </c>
      <c r="I2445" s="37">
        <v>45813</v>
      </c>
      <c r="J2445" s="33" t="s">
        <v>15</v>
      </c>
      <c r="K2445" s="33" t="s">
        <v>23</v>
      </c>
      <c r="L2445" s="38">
        <f t="shared" si="79"/>
        <v>5722.2773999999999</v>
      </c>
      <c r="M2445" s="38">
        <v>2632.33</v>
      </c>
      <c r="N2445" s="24">
        <f>_xlfn.XLOOKUP(Snitch_Fashion_Sales_cleaned!$J2445,Table2[City],Table2[City_Key],"not found")</f>
        <v>1</v>
      </c>
      <c r="O2445" s="23">
        <f>_xlfn.XLOOKUP(Snitch_Fashion_Sales_cleaned!$D2445,Table4[Product_Name],Table4[Product_Key],"not found")</f>
        <v>9</v>
      </c>
      <c r="P2445" s="32">
        <f>_xlfn.XLOOKUP(Snitch_Fashion_Sales_cleaned!$I2445,Table3[Order_Date],Table3[Date_Key])</f>
        <v>341</v>
      </c>
    </row>
    <row r="2446" spans="1:16" x14ac:dyDescent="0.3">
      <c r="A2446" s="27">
        <v>3444</v>
      </c>
      <c r="B2446" s="25" t="s">
        <v>2451</v>
      </c>
      <c r="C2446" s="25" t="s">
        <v>36</v>
      </c>
      <c r="D2446" s="26" t="s">
        <v>37</v>
      </c>
      <c r="E2446" s="27">
        <v>4</v>
      </c>
      <c r="F2446" s="28">
        <v>2924.37</v>
      </c>
      <c r="G2446" s="29">
        <v>0.51</v>
      </c>
      <c r="H2446" s="28">
        <f t="shared" si="78"/>
        <v>11697.48</v>
      </c>
      <c r="I2446" s="30">
        <v>45652</v>
      </c>
      <c r="J2446" s="26" t="s">
        <v>43</v>
      </c>
      <c r="K2446" s="26" t="s">
        <v>23</v>
      </c>
      <c r="L2446" s="31">
        <f t="shared" si="79"/>
        <v>5731.7651999999998</v>
      </c>
      <c r="M2446" s="31">
        <v>461.83</v>
      </c>
      <c r="N2446" s="22">
        <f>_xlfn.XLOOKUP(Snitch_Fashion_Sales_cleaned!$J2446,Table2[City],Table2[City_Key],"not found")</f>
        <v>6</v>
      </c>
      <c r="O2446" s="21">
        <f>_xlfn.XLOOKUP(Snitch_Fashion_Sales_cleaned!$D2446,Table4[Product_Name],Table4[Product_Key],"not found")</f>
        <v>7</v>
      </c>
      <c r="P2446" s="25">
        <f>_xlfn.XLOOKUP(Snitch_Fashion_Sales_cleaned!$I2446,Table3[Order_Date],Table3[Date_Key])</f>
        <v>214</v>
      </c>
    </row>
    <row r="2447" spans="1:16" x14ac:dyDescent="0.3">
      <c r="A2447" s="34">
        <v>3445</v>
      </c>
      <c r="B2447" s="32" t="s">
        <v>2452</v>
      </c>
      <c r="C2447" s="32" t="s">
        <v>28</v>
      </c>
      <c r="D2447" s="33" t="s">
        <v>137</v>
      </c>
      <c r="E2447" s="34">
        <v>4</v>
      </c>
      <c r="F2447" s="35">
        <v>973.52</v>
      </c>
      <c r="G2447" s="36">
        <v>0.51</v>
      </c>
      <c r="H2447" s="35">
        <f t="shared" si="78"/>
        <v>3894.08</v>
      </c>
      <c r="I2447" s="37">
        <v>45514</v>
      </c>
      <c r="J2447" s="33" t="s">
        <v>52</v>
      </c>
      <c r="K2447" s="33" t="s">
        <v>23</v>
      </c>
      <c r="L2447" s="38">
        <f t="shared" si="79"/>
        <v>1908.0991999999999</v>
      </c>
      <c r="M2447" s="38">
        <v>477.02479999999997</v>
      </c>
      <c r="N2447" s="24">
        <f>_xlfn.XLOOKUP(Snitch_Fashion_Sales_cleaned!$J2447,Table2[City],Table2[City_Key],"not found")</f>
        <v>5</v>
      </c>
      <c r="O2447" s="23">
        <f>_xlfn.XLOOKUP(Snitch_Fashion_Sales_cleaned!$D2447,Table4[Product_Name],Table4[Product_Key],"not found")</f>
        <v>24</v>
      </c>
      <c r="P2447" s="32">
        <f>_xlfn.XLOOKUP(Snitch_Fashion_Sales_cleaned!$I2447,Table3[Order_Date],Table3[Date_Key])</f>
        <v>328</v>
      </c>
    </row>
    <row r="2448" spans="1:16" x14ac:dyDescent="0.3">
      <c r="A2448" s="27">
        <v>3446</v>
      </c>
      <c r="B2448" s="25" t="s">
        <v>2453</v>
      </c>
      <c r="C2448" s="25" t="s">
        <v>31</v>
      </c>
      <c r="D2448" s="26" t="s">
        <v>32</v>
      </c>
      <c r="E2448" s="27">
        <v>3</v>
      </c>
      <c r="F2448" s="28">
        <v>4758.24</v>
      </c>
      <c r="G2448" s="29">
        <v>0.49</v>
      </c>
      <c r="H2448" s="28">
        <f t="shared" si="78"/>
        <v>14274.72</v>
      </c>
      <c r="I2448" s="30">
        <v>45733</v>
      </c>
      <c r="J2448" s="26" t="s">
        <v>22</v>
      </c>
      <c r="K2448" s="26" t="s">
        <v>23</v>
      </c>
      <c r="L2448" s="31">
        <f t="shared" si="79"/>
        <v>7280.1071999999995</v>
      </c>
      <c r="M2448" s="31">
        <v>2863.66</v>
      </c>
      <c r="N2448" s="22">
        <f>_xlfn.XLOOKUP(Snitch_Fashion_Sales_cleaned!$J2448,Table2[City],Table2[City_Key],"not found")</f>
        <v>3</v>
      </c>
      <c r="O2448" s="21">
        <f>_xlfn.XLOOKUP(Snitch_Fashion_Sales_cleaned!$D2448,Table4[Product_Name],Table4[Product_Key],"not found")</f>
        <v>5</v>
      </c>
      <c r="P2448" s="25">
        <f>_xlfn.XLOOKUP(Snitch_Fashion_Sales_cleaned!$I2448,Table3[Order_Date],Table3[Date_Key])</f>
        <v>436</v>
      </c>
    </row>
    <row r="2449" spans="1:16" x14ac:dyDescent="0.3">
      <c r="A2449" s="34">
        <v>3447</v>
      </c>
      <c r="B2449" s="32" t="s">
        <v>2454</v>
      </c>
      <c r="C2449" s="32" t="s">
        <v>20</v>
      </c>
      <c r="D2449" s="33" t="s">
        <v>21</v>
      </c>
      <c r="E2449" s="34">
        <v>4</v>
      </c>
      <c r="F2449" s="35">
        <v>4762.62</v>
      </c>
      <c r="G2449" s="36">
        <v>0.51</v>
      </c>
      <c r="H2449" s="35">
        <f t="shared" si="78"/>
        <v>19050.48</v>
      </c>
      <c r="I2449" s="37">
        <v>45840</v>
      </c>
      <c r="J2449" s="33" t="s">
        <v>52</v>
      </c>
      <c r="K2449" s="33" t="s">
        <v>23</v>
      </c>
      <c r="L2449" s="38">
        <f t="shared" si="79"/>
        <v>9334.7351999999992</v>
      </c>
      <c r="M2449" s="38">
        <v>1483.83</v>
      </c>
      <c r="N2449" s="24">
        <f>_xlfn.XLOOKUP(Snitch_Fashion_Sales_cleaned!$J2449,Table2[City],Table2[City_Key],"not found")</f>
        <v>5</v>
      </c>
      <c r="O2449" s="23">
        <f>_xlfn.XLOOKUP(Snitch_Fashion_Sales_cleaned!$D2449,Table4[Product_Name],Table4[Product_Key],"not found")</f>
        <v>2</v>
      </c>
      <c r="P2449" s="32">
        <f>_xlfn.XLOOKUP(Snitch_Fashion_Sales_cleaned!$I2449,Table3[Order_Date],Table3[Date_Key])</f>
        <v>322</v>
      </c>
    </row>
    <row r="2450" spans="1:16" x14ac:dyDescent="0.3">
      <c r="A2450" s="27">
        <v>3448</v>
      </c>
      <c r="B2450" s="25" t="s">
        <v>2455</v>
      </c>
      <c r="C2450" s="25" t="s">
        <v>13</v>
      </c>
      <c r="D2450" s="26" t="s">
        <v>14</v>
      </c>
      <c r="E2450" s="27">
        <v>3</v>
      </c>
      <c r="F2450" s="28">
        <v>2366.6149999999998</v>
      </c>
      <c r="G2450" s="29">
        <v>0.51</v>
      </c>
      <c r="H2450" s="28">
        <f t="shared" si="78"/>
        <v>7099.8449999999993</v>
      </c>
      <c r="I2450" s="30">
        <v>45649</v>
      </c>
      <c r="J2450" s="26" t="s">
        <v>18</v>
      </c>
      <c r="K2450" s="26" t="s">
        <v>16</v>
      </c>
      <c r="L2450" s="31">
        <f t="shared" si="79"/>
        <v>3478.9240499999996</v>
      </c>
      <c r="M2450" s="31">
        <v>734.88</v>
      </c>
      <c r="N2450" s="22">
        <f>_xlfn.XLOOKUP(Snitch_Fashion_Sales_cleaned!$J2450,Table2[City],Table2[City_Key],"not found")</f>
        <v>2</v>
      </c>
      <c r="O2450" s="21">
        <f>_xlfn.XLOOKUP(Snitch_Fashion_Sales_cleaned!$D2450,Table4[Product_Name],Table4[Product_Key],"not found")</f>
        <v>1</v>
      </c>
      <c r="P2450" s="25">
        <f>_xlfn.XLOOKUP(Snitch_Fashion_Sales_cleaned!$I2450,Table3[Order_Date],Table3[Date_Key])</f>
        <v>42</v>
      </c>
    </row>
    <row r="2451" spans="1:16" x14ac:dyDescent="0.3">
      <c r="A2451" s="34">
        <v>3449</v>
      </c>
      <c r="B2451" s="32" t="s">
        <v>2456</v>
      </c>
      <c r="C2451" s="32" t="s">
        <v>36</v>
      </c>
      <c r="D2451" s="33" t="s">
        <v>37</v>
      </c>
      <c r="E2451" s="34">
        <v>4</v>
      </c>
      <c r="F2451" s="35">
        <v>803.79</v>
      </c>
      <c r="G2451" s="36">
        <v>0.51</v>
      </c>
      <c r="H2451" s="35">
        <f t="shared" si="78"/>
        <v>3215.16</v>
      </c>
      <c r="I2451" s="37">
        <v>45854</v>
      </c>
      <c r="J2451" s="33" t="s">
        <v>43</v>
      </c>
      <c r="K2451" s="33" t="s">
        <v>16</v>
      </c>
      <c r="L2451" s="38">
        <f t="shared" si="79"/>
        <v>1575.4284</v>
      </c>
      <c r="M2451" s="38">
        <v>393.8571</v>
      </c>
      <c r="N2451" s="24">
        <f>_xlfn.XLOOKUP(Snitch_Fashion_Sales_cleaned!$J2451,Table2[City],Table2[City_Key],"not found")</f>
        <v>6</v>
      </c>
      <c r="O2451" s="23">
        <f>_xlfn.XLOOKUP(Snitch_Fashion_Sales_cleaned!$D2451,Table4[Product_Name],Table4[Product_Key],"not found")</f>
        <v>7</v>
      </c>
      <c r="P2451" s="32">
        <f>_xlfn.XLOOKUP(Snitch_Fashion_Sales_cleaned!$I2451,Table3[Order_Date],Table3[Date_Key])</f>
        <v>428</v>
      </c>
    </row>
    <row r="2452" spans="1:16" x14ac:dyDescent="0.3">
      <c r="A2452" s="27">
        <v>3450</v>
      </c>
      <c r="B2452" s="25" t="s">
        <v>2457</v>
      </c>
      <c r="C2452" s="25" t="s">
        <v>31</v>
      </c>
      <c r="D2452" s="26" t="s">
        <v>68</v>
      </c>
      <c r="E2452" s="27">
        <v>4</v>
      </c>
      <c r="F2452" s="28">
        <v>2765.79</v>
      </c>
      <c r="G2452" s="29">
        <v>0.89</v>
      </c>
      <c r="H2452" s="28">
        <f t="shared" si="78"/>
        <v>11063.16</v>
      </c>
      <c r="I2452" s="30">
        <v>45133</v>
      </c>
      <c r="J2452" s="26" t="s">
        <v>22</v>
      </c>
      <c r="K2452" s="26" t="s">
        <v>23</v>
      </c>
      <c r="L2452" s="31">
        <f t="shared" si="79"/>
        <v>1216.9475999999997</v>
      </c>
      <c r="M2452" s="31">
        <v>304.23689999999993</v>
      </c>
      <c r="N2452" s="22">
        <f>_xlfn.XLOOKUP(Snitch_Fashion_Sales_cleaned!$J2452,Table2[City],Table2[City_Key],"not found")</f>
        <v>3</v>
      </c>
      <c r="O2452" s="21">
        <f>_xlfn.XLOOKUP(Snitch_Fashion_Sales_cleaned!$D2452,Table4[Product_Name],Table4[Product_Key],"not found")</f>
        <v>15</v>
      </c>
      <c r="P2452" s="25">
        <f>_xlfn.XLOOKUP(Snitch_Fashion_Sales_cleaned!$I2452,Table3[Order_Date],Table3[Date_Key])</f>
        <v>360</v>
      </c>
    </row>
    <row r="2453" spans="1:16" x14ac:dyDescent="0.3">
      <c r="A2453" s="34">
        <v>3451</v>
      </c>
      <c r="B2453" s="32" t="s">
        <v>2458</v>
      </c>
      <c r="C2453" s="32" t="s">
        <v>31</v>
      </c>
      <c r="D2453" s="33" t="s">
        <v>78</v>
      </c>
      <c r="E2453" s="34">
        <v>4</v>
      </c>
      <c r="F2453" s="35">
        <v>2339.36</v>
      </c>
      <c r="G2453" s="36">
        <v>0.35</v>
      </c>
      <c r="H2453" s="35">
        <f t="shared" si="78"/>
        <v>9357.44</v>
      </c>
      <c r="I2453" s="37">
        <v>45827</v>
      </c>
      <c r="J2453" s="33" t="s">
        <v>2540</v>
      </c>
      <c r="K2453" s="33" t="s">
        <v>23</v>
      </c>
      <c r="L2453" s="38">
        <f t="shared" si="79"/>
        <v>6082.3360000000002</v>
      </c>
      <c r="M2453" s="38">
        <v>-5.05</v>
      </c>
      <c r="N2453" s="24">
        <f>_xlfn.XLOOKUP(Snitch_Fashion_Sales_cleaned!$J2453,Table2[City],Table2[City_Key],"not found")</f>
        <v>4</v>
      </c>
      <c r="O2453" s="23">
        <f>_xlfn.XLOOKUP(Snitch_Fashion_Sales_cleaned!$D2453,Table4[Product_Name],Table4[Product_Key],"not found")</f>
        <v>17</v>
      </c>
      <c r="P2453" s="32">
        <f>_xlfn.XLOOKUP(Snitch_Fashion_Sales_cleaned!$I2453,Table3[Order_Date],Table3[Date_Key])</f>
        <v>247</v>
      </c>
    </row>
    <row r="2454" spans="1:16" x14ac:dyDescent="0.3">
      <c r="A2454" s="27">
        <v>3452</v>
      </c>
      <c r="B2454" s="25" t="s">
        <v>2459</v>
      </c>
      <c r="C2454" s="25" t="s">
        <v>25</v>
      </c>
      <c r="D2454" s="26" t="s">
        <v>82</v>
      </c>
      <c r="E2454" s="27">
        <v>3</v>
      </c>
      <c r="F2454" s="28">
        <v>2562.4699999999998</v>
      </c>
      <c r="G2454" s="29">
        <v>0.51</v>
      </c>
      <c r="H2454" s="28">
        <f t="shared" si="78"/>
        <v>7687.41</v>
      </c>
      <c r="I2454" s="30">
        <v>45585</v>
      </c>
      <c r="J2454" s="26" t="s">
        <v>52</v>
      </c>
      <c r="K2454" s="26" t="s">
        <v>23</v>
      </c>
      <c r="L2454" s="31">
        <f t="shared" si="79"/>
        <v>3766.8308999999999</v>
      </c>
      <c r="M2454" s="31">
        <v>-883.82</v>
      </c>
      <c r="N2454" s="22">
        <f>_xlfn.XLOOKUP(Snitch_Fashion_Sales_cleaned!$J2454,Table2[City],Table2[City_Key],"not found")</f>
        <v>5</v>
      </c>
      <c r="O2454" s="21">
        <f>_xlfn.XLOOKUP(Snitch_Fashion_Sales_cleaned!$D2454,Table4[Product_Name],Table4[Product_Key],"not found")</f>
        <v>18</v>
      </c>
      <c r="P2454" s="25">
        <f>_xlfn.XLOOKUP(Snitch_Fashion_Sales_cleaned!$I2454,Table3[Order_Date],Table3[Date_Key])</f>
        <v>144</v>
      </c>
    </row>
    <row r="2455" spans="1:16" x14ac:dyDescent="0.3">
      <c r="A2455" s="34">
        <v>3453</v>
      </c>
      <c r="B2455" s="32" t="s">
        <v>2460</v>
      </c>
      <c r="C2455" s="32" t="s">
        <v>28</v>
      </c>
      <c r="D2455" s="33" t="s">
        <v>116</v>
      </c>
      <c r="E2455" s="34">
        <v>4</v>
      </c>
      <c r="F2455" s="35">
        <v>4213.8500000000004</v>
      </c>
      <c r="G2455" s="36">
        <v>0.51</v>
      </c>
      <c r="H2455" s="35">
        <f t="shared" si="78"/>
        <v>16855.400000000001</v>
      </c>
      <c r="I2455" s="37">
        <v>45795</v>
      </c>
      <c r="J2455" s="33" t="s">
        <v>15</v>
      </c>
      <c r="K2455" s="33" t="s">
        <v>23</v>
      </c>
      <c r="L2455" s="38">
        <f t="shared" si="79"/>
        <v>8259.1460000000006</v>
      </c>
      <c r="M2455" s="38">
        <v>-209.3</v>
      </c>
      <c r="N2455" s="24">
        <f>_xlfn.XLOOKUP(Snitch_Fashion_Sales_cleaned!$J2455,Table2[City],Table2[City_Key],"not found")</f>
        <v>1</v>
      </c>
      <c r="O2455" s="23">
        <f>_xlfn.XLOOKUP(Snitch_Fashion_Sales_cleaned!$D2455,Table4[Product_Name],Table4[Product_Key],"not found")</f>
        <v>22</v>
      </c>
      <c r="P2455" s="32">
        <f>_xlfn.XLOOKUP(Snitch_Fashion_Sales_cleaned!$I2455,Table3[Order_Date],Table3[Date_Key])</f>
        <v>271</v>
      </c>
    </row>
    <row r="2456" spans="1:16" x14ac:dyDescent="0.3">
      <c r="A2456" s="27">
        <v>3454</v>
      </c>
      <c r="B2456" s="25" t="s">
        <v>2461</v>
      </c>
      <c r="C2456" s="25" t="s">
        <v>28</v>
      </c>
      <c r="D2456" s="26" t="s">
        <v>116</v>
      </c>
      <c r="E2456" s="27">
        <v>6</v>
      </c>
      <c r="F2456" s="28">
        <v>1987.62</v>
      </c>
      <c r="G2456" s="29">
        <v>0.51</v>
      </c>
      <c r="H2456" s="28">
        <f t="shared" si="78"/>
        <v>11925.72</v>
      </c>
      <c r="I2456" s="30">
        <v>45535</v>
      </c>
      <c r="J2456" s="26" t="s">
        <v>52</v>
      </c>
      <c r="K2456" s="26" t="s">
        <v>23</v>
      </c>
      <c r="L2456" s="31">
        <f t="shared" si="79"/>
        <v>5843.6027999999997</v>
      </c>
      <c r="M2456" s="31">
        <v>1184.77</v>
      </c>
      <c r="N2456" s="22">
        <f>_xlfn.XLOOKUP(Snitch_Fashion_Sales_cleaned!$J2456,Table2[City],Table2[City_Key],"not found")</f>
        <v>5</v>
      </c>
      <c r="O2456" s="21">
        <f>_xlfn.XLOOKUP(Snitch_Fashion_Sales_cleaned!$D2456,Table4[Product_Name],Table4[Product_Key],"not found")</f>
        <v>22</v>
      </c>
      <c r="P2456" s="25">
        <f>_xlfn.XLOOKUP(Snitch_Fashion_Sales_cleaned!$I2456,Table3[Order_Date],Table3[Date_Key])</f>
        <v>476</v>
      </c>
    </row>
    <row r="2457" spans="1:16" x14ac:dyDescent="0.3">
      <c r="A2457" s="34">
        <v>3455</v>
      </c>
      <c r="B2457" s="32" t="s">
        <v>2462</v>
      </c>
      <c r="C2457" s="32" t="s">
        <v>36</v>
      </c>
      <c r="D2457" s="33" t="s">
        <v>37</v>
      </c>
      <c r="E2457" s="34">
        <v>4</v>
      </c>
      <c r="F2457" s="35">
        <v>2975.64</v>
      </c>
      <c r="G2457" s="36">
        <v>0.51</v>
      </c>
      <c r="H2457" s="35">
        <f t="shared" si="78"/>
        <v>11902.56</v>
      </c>
      <c r="I2457" s="37">
        <v>45647</v>
      </c>
      <c r="J2457" s="33" t="s">
        <v>2540</v>
      </c>
      <c r="K2457" s="33" t="s">
        <v>23</v>
      </c>
      <c r="L2457" s="38">
        <f t="shared" si="79"/>
        <v>5832.2543999999998</v>
      </c>
      <c r="M2457" s="38">
        <v>382.53</v>
      </c>
      <c r="N2457" s="24">
        <f>_xlfn.XLOOKUP(Snitch_Fashion_Sales_cleaned!$J2457,Table2[City],Table2[City_Key],"not found")</f>
        <v>4</v>
      </c>
      <c r="O2457" s="23">
        <f>_xlfn.XLOOKUP(Snitch_Fashion_Sales_cleaned!$D2457,Table4[Product_Name],Table4[Product_Key],"not found")</f>
        <v>7</v>
      </c>
      <c r="P2457" s="32">
        <f>_xlfn.XLOOKUP(Snitch_Fashion_Sales_cleaned!$I2457,Table3[Order_Date],Table3[Date_Key])</f>
        <v>5</v>
      </c>
    </row>
    <row r="2458" spans="1:16" x14ac:dyDescent="0.3">
      <c r="A2458" s="27">
        <v>3456</v>
      </c>
      <c r="B2458" s="25" t="s">
        <v>2463</v>
      </c>
      <c r="C2458" s="25" t="s">
        <v>31</v>
      </c>
      <c r="D2458" s="26" t="s">
        <v>41</v>
      </c>
      <c r="E2458" s="27">
        <v>3</v>
      </c>
      <c r="F2458" s="28">
        <v>3027.66</v>
      </c>
      <c r="G2458" s="29">
        <v>0.51</v>
      </c>
      <c r="H2458" s="28">
        <f t="shared" si="78"/>
        <v>9082.98</v>
      </c>
      <c r="I2458" s="30">
        <v>45647</v>
      </c>
      <c r="J2458" s="26" t="s">
        <v>15</v>
      </c>
      <c r="K2458" s="26" t="s">
        <v>23</v>
      </c>
      <c r="L2458" s="31">
        <f t="shared" si="79"/>
        <v>4450.6601999999993</v>
      </c>
      <c r="M2458" s="31">
        <v>-695.67</v>
      </c>
      <c r="N2458" s="22">
        <f>_xlfn.XLOOKUP(Snitch_Fashion_Sales_cleaned!$J2458,Table2[City],Table2[City_Key],"not found")</f>
        <v>1</v>
      </c>
      <c r="O2458" s="21">
        <f>_xlfn.XLOOKUP(Snitch_Fashion_Sales_cleaned!$D2458,Table4[Product_Name],Table4[Product_Key],"not found")</f>
        <v>9</v>
      </c>
      <c r="P2458" s="25">
        <f>_xlfn.XLOOKUP(Snitch_Fashion_Sales_cleaned!$I2458,Table3[Order_Date],Table3[Date_Key])</f>
        <v>5</v>
      </c>
    </row>
    <row r="2459" spans="1:16" x14ac:dyDescent="0.3">
      <c r="A2459" s="34">
        <v>3457</v>
      </c>
      <c r="B2459" s="32" t="s">
        <v>2464</v>
      </c>
      <c r="C2459" s="32" t="s">
        <v>28</v>
      </c>
      <c r="D2459" s="33" t="s">
        <v>137</v>
      </c>
      <c r="E2459" s="34">
        <v>3.5</v>
      </c>
      <c r="F2459" s="35">
        <v>983.84</v>
      </c>
      <c r="G2459" s="36">
        <v>0.9</v>
      </c>
      <c r="H2459" s="35">
        <f t="shared" si="78"/>
        <v>3443.44</v>
      </c>
      <c r="I2459" s="37">
        <v>45727</v>
      </c>
      <c r="J2459" s="33" t="s">
        <v>15</v>
      </c>
      <c r="K2459" s="33" t="s">
        <v>23</v>
      </c>
      <c r="L2459" s="38">
        <f t="shared" si="79"/>
        <v>344.34399999999994</v>
      </c>
      <c r="M2459" s="38">
        <v>254.71</v>
      </c>
      <c r="N2459" s="24">
        <f>_xlfn.XLOOKUP(Snitch_Fashion_Sales_cleaned!$J2459,Table2[City],Table2[City_Key],"not found")</f>
        <v>1</v>
      </c>
      <c r="O2459" s="23">
        <f>_xlfn.XLOOKUP(Snitch_Fashion_Sales_cleaned!$D2459,Table4[Product_Name],Table4[Product_Key],"not found")</f>
        <v>24</v>
      </c>
      <c r="P2459" s="32">
        <f>_xlfn.XLOOKUP(Snitch_Fashion_Sales_cleaned!$I2459,Table3[Order_Date],Table3[Date_Key])</f>
        <v>357</v>
      </c>
    </row>
    <row r="2460" spans="1:16" x14ac:dyDescent="0.3">
      <c r="A2460" s="27">
        <v>1013</v>
      </c>
      <c r="B2460" s="25" t="s">
        <v>2465</v>
      </c>
      <c r="C2460" s="25" t="s">
        <v>25</v>
      </c>
      <c r="D2460" s="26" t="s">
        <v>62</v>
      </c>
      <c r="E2460" s="27">
        <v>6</v>
      </c>
      <c r="F2460" s="28">
        <v>2538.0450000000001</v>
      </c>
      <c r="G2460" s="29">
        <v>0.56000000000000005</v>
      </c>
      <c r="H2460" s="28">
        <f t="shared" si="78"/>
        <v>15228.27</v>
      </c>
      <c r="I2460" s="30">
        <v>45589</v>
      </c>
      <c r="J2460" s="26" t="s">
        <v>52</v>
      </c>
      <c r="K2460" s="26" t="s">
        <v>23</v>
      </c>
      <c r="L2460" s="31">
        <f t="shared" si="79"/>
        <v>6700.438799999999</v>
      </c>
      <c r="M2460" s="31">
        <v>-270.22000000000003</v>
      </c>
      <c r="N2460" s="22">
        <f>_xlfn.XLOOKUP(Snitch_Fashion_Sales_cleaned!$J2460,Table2[City],Table2[City_Key],"not found")</f>
        <v>5</v>
      </c>
      <c r="O2460" s="21">
        <f>_xlfn.XLOOKUP(Snitch_Fashion_Sales_cleaned!$D2460,Table4[Product_Name],Table4[Product_Key],"not found")</f>
        <v>14</v>
      </c>
      <c r="P2460" s="25">
        <f>_xlfn.XLOOKUP(Snitch_Fashion_Sales_cleaned!$I2460,Table3[Order_Date],Table3[Date_Key])</f>
        <v>518</v>
      </c>
    </row>
    <row r="2461" spans="1:16" x14ac:dyDescent="0.3">
      <c r="A2461" s="34">
        <v>3459</v>
      </c>
      <c r="B2461" s="32" t="s">
        <v>2466</v>
      </c>
      <c r="C2461" s="32" t="s">
        <v>31</v>
      </c>
      <c r="D2461" s="33" t="s">
        <v>41</v>
      </c>
      <c r="E2461" s="34">
        <v>2</v>
      </c>
      <c r="F2461" s="35">
        <v>3027.66</v>
      </c>
      <c r="G2461" s="36">
        <v>0.51</v>
      </c>
      <c r="H2461" s="35">
        <f t="shared" si="78"/>
        <v>6055.32</v>
      </c>
      <c r="I2461" s="37">
        <v>45647</v>
      </c>
      <c r="J2461" s="33" t="s">
        <v>43</v>
      </c>
      <c r="K2461" s="33" t="s">
        <v>23</v>
      </c>
      <c r="L2461" s="38">
        <f t="shared" si="79"/>
        <v>2967.1068</v>
      </c>
      <c r="M2461" s="38">
        <v>1284.57</v>
      </c>
      <c r="N2461" s="24">
        <f>_xlfn.XLOOKUP(Snitch_Fashion_Sales_cleaned!$J2461,Table2[City],Table2[City_Key],"not found")</f>
        <v>6</v>
      </c>
      <c r="O2461" s="23">
        <f>_xlfn.XLOOKUP(Snitch_Fashion_Sales_cleaned!$D2461,Table4[Product_Name],Table4[Product_Key],"not found")</f>
        <v>9</v>
      </c>
      <c r="P2461" s="32">
        <f>_xlfn.XLOOKUP(Snitch_Fashion_Sales_cleaned!$I2461,Table3[Order_Date],Table3[Date_Key])</f>
        <v>5</v>
      </c>
    </row>
    <row r="2462" spans="1:16" x14ac:dyDescent="0.3">
      <c r="A2462" s="27">
        <v>3460</v>
      </c>
      <c r="B2462" s="25" t="s">
        <v>2467</v>
      </c>
      <c r="C2462" s="25" t="s">
        <v>13</v>
      </c>
      <c r="D2462" s="26" t="s">
        <v>34</v>
      </c>
      <c r="E2462" s="27">
        <v>3</v>
      </c>
      <c r="F2462" s="28">
        <v>3008.6549999999997</v>
      </c>
      <c r="G2462" s="29">
        <v>0.51</v>
      </c>
      <c r="H2462" s="28">
        <f t="shared" si="78"/>
        <v>9025.9650000000001</v>
      </c>
      <c r="I2462" s="30">
        <v>45647</v>
      </c>
      <c r="J2462" s="26" t="s">
        <v>2540</v>
      </c>
      <c r="K2462" s="26" t="s">
        <v>23</v>
      </c>
      <c r="L2462" s="31">
        <f t="shared" si="79"/>
        <v>4422.7228500000001</v>
      </c>
      <c r="M2462" s="31">
        <v>-266.63</v>
      </c>
      <c r="N2462" s="22">
        <f>_xlfn.XLOOKUP(Snitch_Fashion_Sales_cleaned!$J2462,Table2[City],Table2[City_Key],"not found")</f>
        <v>4</v>
      </c>
      <c r="O2462" s="21">
        <f>_xlfn.XLOOKUP(Snitch_Fashion_Sales_cleaned!$D2462,Table4[Product_Name],Table4[Product_Key],"not found")</f>
        <v>6</v>
      </c>
      <c r="P2462" s="25">
        <f>_xlfn.XLOOKUP(Snitch_Fashion_Sales_cleaned!$I2462,Table3[Order_Date],Table3[Date_Key])</f>
        <v>5</v>
      </c>
    </row>
    <row r="2463" spans="1:16" x14ac:dyDescent="0.3">
      <c r="A2463" s="34">
        <v>3461</v>
      </c>
      <c r="B2463" s="32" t="s">
        <v>2468</v>
      </c>
      <c r="C2463" s="32" t="s">
        <v>36</v>
      </c>
      <c r="D2463" s="33" t="s">
        <v>55</v>
      </c>
      <c r="E2463" s="34">
        <v>3</v>
      </c>
      <c r="F2463" s="35">
        <v>2731.6350000000002</v>
      </c>
      <c r="G2463" s="36">
        <v>0.51</v>
      </c>
      <c r="H2463" s="35">
        <f t="shared" si="78"/>
        <v>8194.9050000000007</v>
      </c>
      <c r="I2463" s="37">
        <v>45758</v>
      </c>
      <c r="J2463" s="33" t="s">
        <v>18</v>
      </c>
      <c r="K2463" s="33" t="s">
        <v>23</v>
      </c>
      <c r="L2463" s="38">
        <f t="shared" si="79"/>
        <v>4015.5034500000002</v>
      </c>
      <c r="M2463" s="38">
        <v>2059.2399999999998</v>
      </c>
      <c r="N2463" s="24">
        <f>_xlfn.XLOOKUP(Snitch_Fashion_Sales_cleaned!$J2463,Table2[City],Table2[City_Key],"not found")</f>
        <v>2</v>
      </c>
      <c r="O2463" s="23">
        <f>_xlfn.XLOOKUP(Snitch_Fashion_Sales_cleaned!$D2463,Table4[Product_Name],Table4[Product_Key],"not found")</f>
        <v>12</v>
      </c>
      <c r="P2463" s="32">
        <f>_xlfn.XLOOKUP(Snitch_Fashion_Sales_cleaned!$I2463,Table3[Order_Date],Table3[Date_Key])</f>
        <v>207</v>
      </c>
    </row>
    <row r="2464" spans="1:16" x14ac:dyDescent="0.3">
      <c r="A2464" s="27">
        <v>3462</v>
      </c>
      <c r="B2464" s="25" t="s">
        <v>2469</v>
      </c>
      <c r="C2464" s="25" t="s">
        <v>28</v>
      </c>
      <c r="D2464" s="26" t="s">
        <v>39</v>
      </c>
      <c r="E2464" s="27">
        <v>3</v>
      </c>
      <c r="F2464" s="28">
        <v>3607.23</v>
      </c>
      <c r="G2464" s="29">
        <v>0.51</v>
      </c>
      <c r="H2464" s="28">
        <f t="shared" si="78"/>
        <v>10821.69</v>
      </c>
      <c r="I2464" s="30">
        <v>45150</v>
      </c>
      <c r="J2464" s="26" t="s">
        <v>52</v>
      </c>
      <c r="K2464" s="26" t="s">
        <v>16</v>
      </c>
      <c r="L2464" s="31">
        <f t="shared" si="79"/>
        <v>5302.6280999999999</v>
      </c>
      <c r="M2464" s="31">
        <v>2531.75</v>
      </c>
      <c r="N2464" s="22">
        <f>_xlfn.XLOOKUP(Snitch_Fashion_Sales_cleaned!$J2464,Table2[City],Table2[City_Key],"not found")</f>
        <v>5</v>
      </c>
      <c r="O2464" s="21">
        <f>_xlfn.XLOOKUP(Snitch_Fashion_Sales_cleaned!$D2464,Table4[Product_Name],Table4[Product_Key],"not found")</f>
        <v>8</v>
      </c>
      <c r="P2464" s="25">
        <f>_xlfn.XLOOKUP(Snitch_Fashion_Sales_cleaned!$I2464,Table3[Order_Date],Table3[Date_Key])</f>
        <v>554</v>
      </c>
    </row>
    <row r="2465" spans="1:16" x14ac:dyDescent="0.3">
      <c r="A2465" s="34">
        <v>3463</v>
      </c>
      <c r="B2465" s="32" t="s">
        <v>2470</v>
      </c>
      <c r="C2465" s="32" t="s">
        <v>28</v>
      </c>
      <c r="D2465" s="33" t="s">
        <v>39</v>
      </c>
      <c r="E2465" s="34">
        <v>6</v>
      </c>
      <c r="F2465" s="35">
        <v>1139.77</v>
      </c>
      <c r="G2465" s="36">
        <v>0.51</v>
      </c>
      <c r="H2465" s="35">
        <f t="shared" si="78"/>
        <v>6838.62</v>
      </c>
      <c r="I2465" s="37">
        <v>45647</v>
      </c>
      <c r="J2465" s="33" t="s">
        <v>43</v>
      </c>
      <c r="K2465" s="33" t="s">
        <v>23</v>
      </c>
      <c r="L2465" s="38">
        <f t="shared" si="79"/>
        <v>3350.9238</v>
      </c>
      <c r="M2465" s="38">
        <v>992.89</v>
      </c>
      <c r="N2465" s="24">
        <f>_xlfn.XLOOKUP(Snitch_Fashion_Sales_cleaned!$J2465,Table2[City],Table2[City_Key],"not found")</f>
        <v>6</v>
      </c>
      <c r="O2465" s="23">
        <f>_xlfn.XLOOKUP(Snitch_Fashion_Sales_cleaned!$D2465,Table4[Product_Name],Table4[Product_Key],"not found")</f>
        <v>8</v>
      </c>
      <c r="P2465" s="32">
        <f>_xlfn.XLOOKUP(Snitch_Fashion_Sales_cleaned!$I2465,Table3[Order_Date],Table3[Date_Key])</f>
        <v>5</v>
      </c>
    </row>
    <row r="2466" spans="1:16" x14ac:dyDescent="0.3">
      <c r="A2466" s="27">
        <v>3464</v>
      </c>
      <c r="B2466" s="25" t="s">
        <v>2471</v>
      </c>
      <c r="C2466" s="25" t="s">
        <v>13</v>
      </c>
      <c r="D2466" s="26" t="s">
        <v>98</v>
      </c>
      <c r="E2466" s="27">
        <v>5</v>
      </c>
      <c r="F2466" s="28">
        <v>2750.33</v>
      </c>
      <c r="G2466" s="29">
        <v>0.51</v>
      </c>
      <c r="H2466" s="28">
        <f t="shared" si="78"/>
        <v>13751.65</v>
      </c>
      <c r="I2466" s="30">
        <v>45647</v>
      </c>
      <c r="J2466" s="26" t="s">
        <v>15</v>
      </c>
      <c r="K2466" s="26" t="s">
        <v>23</v>
      </c>
      <c r="L2466" s="31">
        <f t="shared" si="79"/>
        <v>6738.3085000000001</v>
      </c>
      <c r="M2466" s="31">
        <v>2091.3000000000002</v>
      </c>
      <c r="N2466" s="22">
        <f>_xlfn.XLOOKUP(Snitch_Fashion_Sales_cleaned!$J2466,Table2[City],Table2[City_Key],"not found")</f>
        <v>1</v>
      </c>
      <c r="O2466" s="21">
        <f>_xlfn.XLOOKUP(Snitch_Fashion_Sales_cleaned!$D2466,Table4[Product_Name],Table4[Product_Key],"not found")</f>
        <v>21</v>
      </c>
      <c r="P2466" s="25">
        <f>_xlfn.XLOOKUP(Snitch_Fashion_Sales_cleaned!$I2466,Table3[Order_Date],Table3[Date_Key])</f>
        <v>5</v>
      </c>
    </row>
    <row r="2467" spans="1:16" x14ac:dyDescent="0.3">
      <c r="A2467" s="34">
        <v>3465</v>
      </c>
      <c r="B2467" s="32" t="s">
        <v>2472</v>
      </c>
      <c r="C2467" s="32" t="s">
        <v>13</v>
      </c>
      <c r="D2467" s="33" t="s">
        <v>34</v>
      </c>
      <c r="E2467" s="34">
        <v>3</v>
      </c>
      <c r="F2467" s="35">
        <v>3008.6549999999997</v>
      </c>
      <c r="G2467" s="36">
        <v>0.7</v>
      </c>
      <c r="H2467" s="35">
        <f t="shared" si="78"/>
        <v>9025.9650000000001</v>
      </c>
      <c r="I2467" s="37">
        <v>45542</v>
      </c>
      <c r="J2467" s="33" t="s">
        <v>52</v>
      </c>
      <c r="K2467" s="33" t="s">
        <v>23</v>
      </c>
      <c r="L2467" s="38">
        <f t="shared" si="79"/>
        <v>2707.7895000000003</v>
      </c>
      <c r="M2467" s="38">
        <v>-288.95999999999998</v>
      </c>
      <c r="N2467" s="24">
        <f>_xlfn.XLOOKUP(Snitch_Fashion_Sales_cleaned!$J2467,Table2[City],Table2[City_Key],"not found")</f>
        <v>5</v>
      </c>
      <c r="O2467" s="23">
        <f>_xlfn.XLOOKUP(Snitch_Fashion_Sales_cleaned!$D2467,Table4[Product_Name],Table4[Product_Key],"not found")</f>
        <v>6</v>
      </c>
      <c r="P2467" s="32">
        <f>_xlfn.XLOOKUP(Snitch_Fashion_Sales_cleaned!$I2467,Table3[Order_Date],Table3[Date_Key])</f>
        <v>495</v>
      </c>
    </row>
    <row r="2468" spans="1:16" x14ac:dyDescent="0.3">
      <c r="A2468" s="27">
        <v>3466</v>
      </c>
      <c r="B2468" s="25" t="s">
        <v>2473</v>
      </c>
      <c r="C2468" s="25" t="s">
        <v>13</v>
      </c>
      <c r="D2468" s="26" t="s">
        <v>98</v>
      </c>
      <c r="E2468" s="27">
        <v>5</v>
      </c>
      <c r="F2468" s="28">
        <v>4059.53</v>
      </c>
      <c r="G2468" s="29">
        <v>0.51</v>
      </c>
      <c r="H2468" s="28">
        <f t="shared" si="78"/>
        <v>20297.650000000001</v>
      </c>
      <c r="I2468" s="30">
        <v>45178</v>
      </c>
      <c r="J2468" s="26" t="s">
        <v>18</v>
      </c>
      <c r="K2468" s="26" t="s">
        <v>23</v>
      </c>
      <c r="L2468" s="31">
        <f t="shared" si="79"/>
        <v>9945.8485000000001</v>
      </c>
      <c r="M2468" s="31">
        <v>-74.569999999999993</v>
      </c>
      <c r="N2468" s="22">
        <f>_xlfn.XLOOKUP(Snitch_Fashion_Sales_cleaned!$J2468,Table2[City],Table2[City_Key],"not found")</f>
        <v>2</v>
      </c>
      <c r="O2468" s="21">
        <f>_xlfn.XLOOKUP(Snitch_Fashion_Sales_cleaned!$D2468,Table4[Product_Name],Table4[Product_Key],"not found")</f>
        <v>21</v>
      </c>
      <c r="P2468" s="25">
        <f>_xlfn.XLOOKUP(Snitch_Fashion_Sales_cleaned!$I2468,Table3[Order_Date],Table3[Date_Key])</f>
        <v>320</v>
      </c>
    </row>
    <row r="2469" spans="1:16" x14ac:dyDescent="0.3">
      <c r="A2469" s="34">
        <v>3467</v>
      </c>
      <c r="B2469" s="32" t="s">
        <v>2474</v>
      </c>
      <c r="C2469" s="32" t="s">
        <v>31</v>
      </c>
      <c r="D2469" s="33" t="s">
        <v>78</v>
      </c>
      <c r="E2469" s="34">
        <v>4</v>
      </c>
      <c r="F2469" s="35">
        <v>2599.75</v>
      </c>
      <c r="G2469" s="36">
        <v>0.51</v>
      </c>
      <c r="H2469" s="35">
        <f t="shared" si="78"/>
        <v>10399</v>
      </c>
      <c r="I2469" s="37">
        <v>45753</v>
      </c>
      <c r="J2469" s="33" t="s">
        <v>2540</v>
      </c>
      <c r="K2469" s="33" t="s">
        <v>23</v>
      </c>
      <c r="L2469" s="38">
        <f t="shared" si="79"/>
        <v>5095.51</v>
      </c>
      <c r="M2469" s="38">
        <v>1246.6199999999999</v>
      </c>
      <c r="N2469" s="24">
        <f>_xlfn.XLOOKUP(Snitch_Fashion_Sales_cleaned!$J2469,Table2[City],Table2[City_Key],"not found")</f>
        <v>4</v>
      </c>
      <c r="O2469" s="23">
        <f>_xlfn.XLOOKUP(Snitch_Fashion_Sales_cleaned!$D2469,Table4[Product_Name],Table4[Product_Key],"not found")</f>
        <v>17</v>
      </c>
      <c r="P2469" s="32">
        <f>_xlfn.XLOOKUP(Snitch_Fashion_Sales_cleaned!$I2469,Table3[Order_Date],Table3[Date_Key])</f>
        <v>51</v>
      </c>
    </row>
    <row r="2470" spans="1:16" x14ac:dyDescent="0.3">
      <c r="A2470" s="27">
        <v>3468</v>
      </c>
      <c r="B2470" s="25" t="s">
        <v>2475</v>
      </c>
      <c r="C2470" s="25" t="s">
        <v>36</v>
      </c>
      <c r="D2470" s="26" t="s">
        <v>55</v>
      </c>
      <c r="E2470" s="27">
        <v>3</v>
      </c>
      <c r="F2470" s="28">
        <v>2731.6350000000002</v>
      </c>
      <c r="G2470" s="29">
        <v>0.51</v>
      </c>
      <c r="H2470" s="28">
        <f t="shared" si="78"/>
        <v>8194.9050000000007</v>
      </c>
      <c r="I2470" s="30">
        <v>45647</v>
      </c>
      <c r="J2470" s="26" t="s">
        <v>15</v>
      </c>
      <c r="K2470" s="26" t="s">
        <v>23</v>
      </c>
      <c r="L2470" s="31">
        <f t="shared" si="79"/>
        <v>4015.5034500000002</v>
      </c>
      <c r="M2470" s="31">
        <v>287.33</v>
      </c>
      <c r="N2470" s="22">
        <f>_xlfn.XLOOKUP(Snitch_Fashion_Sales_cleaned!$J2470,Table2[City],Table2[City_Key],"not found")</f>
        <v>1</v>
      </c>
      <c r="O2470" s="21">
        <f>_xlfn.XLOOKUP(Snitch_Fashion_Sales_cleaned!$D2470,Table4[Product_Name],Table4[Product_Key],"not found")</f>
        <v>12</v>
      </c>
      <c r="P2470" s="25">
        <f>_xlfn.XLOOKUP(Snitch_Fashion_Sales_cleaned!$I2470,Table3[Order_Date],Table3[Date_Key])</f>
        <v>5</v>
      </c>
    </row>
    <row r="2471" spans="1:16" x14ac:dyDescent="0.3">
      <c r="A2471" s="34">
        <v>3469</v>
      </c>
      <c r="B2471" s="32" t="s">
        <v>2476</v>
      </c>
      <c r="C2471" s="32" t="s">
        <v>31</v>
      </c>
      <c r="D2471" s="33" t="s">
        <v>68</v>
      </c>
      <c r="E2471" s="34">
        <v>4</v>
      </c>
      <c r="F2471" s="35">
        <v>2932.58</v>
      </c>
      <c r="G2471" s="36">
        <v>0.51</v>
      </c>
      <c r="H2471" s="35">
        <f t="shared" si="78"/>
        <v>11730.32</v>
      </c>
      <c r="I2471" s="37">
        <v>45629</v>
      </c>
      <c r="J2471" s="33" t="s">
        <v>2540</v>
      </c>
      <c r="K2471" s="33" t="s">
        <v>23</v>
      </c>
      <c r="L2471" s="38">
        <f t="shared" si="79"/>
        <v>5747.8567999999996</v>
      </c>
      <c r="M2471" s="38">
        <v>333.94</v>
      </c>
      <c r="N2471" s="24">
        <f>_xlfn.XLOOKUP(Snitch_Fashion_Sales_cleaned!$J2471,Table2[City],Table2[City_Key],"not found")</f>
        <v>4</v>
      </c>
      <c r="O2471" s="23">
        <f>_xlfn.XLOOKUP(Snitch_Fashion_Sales_cleaned!$D2471,Table4[Product_Name],Table4[Product_Key],"not found")</f>
        <v>15</v>
      </c>
      <c r="P2471" s="32">
        <f>_xlfn.XLOOKUP(Snitch_Fashion_Sales_cleaned!$I2471,Table3[Order_Date],Table3[Date_Key])</f>
        <v>62</v>
      </c>
    </row>
    <row r="2472" spans="1:16" x14ac:dyDescent="0.3">
      <c r="A2472" s="27">
        <v>3470</v>
      </c>
      <c r="B2472" s="25" t="s">
        <v>2477</v>
      </c>
      <c r="C2472" s="25" t="s">
        <v>28</v>
      </c>
      <c r="D2472" s="26" t="s">
        <v>29</v>
      </c>
      <c r="E2472" s="27">
        <v>3</v>
      </c>
      <c r="F2472" s="28">
        <v>2515.415</v>
      </c>
      <c r="G2472" s="29">
        <v>0.51</v>
      </c>
      <c r="H2472" s="28">
        <f t="shared" si="78"/>
        <v>7546.2449999999999</v>
      </c>
      <c r="I2472" s="30">
        <v>45857</v>
      </c>
      <c r="J2472" s="26" t="s">
        <v>15</v>
      </c>
      <c r="K2472" s="26" t="s">
        <v>16</v>
      </c>
      <c r="L2472" s="31">
        <f t="shared" si="79"/>
        <v>3697.66005</v>
      </c>
      <c r="M2472" s="31">
        <v>1387.75</v>
      </c>
      <c r="N2472" s="22">
        <f>_xlfn.XLOOKUP(Snitch_Fashion_Sales_cleaned!$J2472,Table2[City],Table2[City_Key],"not found")</f>
        <v>1</v>
      </c>
      <c r="O2472" s="21">
        <f>_xlfn.XLOOKUP(Snitch_Fashion_Sales_cleaned!$D2472,Table4[Product_Name],Table4[Product_Key],"not found")</f>
        <v>4</v>
      </c>
      <c r="P2472" s="25">
        <f>_xlfn.XLOOKUP(Snitch_Fashion_Sales_cleaned!$I2472,Table3[Order_Date],Table3[Date_Key])</f>
        <v>561</v>
      </c>
    </row>
    <row r="2473" spans="1:16" x14ac:dyDescent="0.3">
      <c r="A2473" s="34">
        <v>3471</v>
      </c>
      <c r="B2473" s="32" t="s">
        <v>2478</v>
      </c>
      <c r="C2473" s="32" t="s">
        <v>20</v>
      </c>
      <c r="D2473" s="33" t="s">
        <v>84</v>
      </c>
      <c r="E2473" s="34">
        <v>6</v>
      </c>
      <c r="F2473" s="35">
        <v>2537.59</v>
      </c>
      <c r="G2473" s="36">
        <v>0.51</v>
      </c>
      <c r="H2473" s="35">
        <f t="shared" si="78"/>
        <v>15225.54</v>
      </c>
      <c r="I2473" s="37">
        <v>45714</v>
      </c>
      <c r="J2473" s="33" t="s">
        <v>22</v>
      </c>
      <c r="K2473" s="33" t="s">
        <v>23</v>
      </c>
      <c r="L2473" s="38">
        <f t="shared" si="79"/>
        <v>7460.5146000000004</v>
      </c>
      <c r="M2473" s="38">
        <v>-673.81</v>
      </c>
      <c r="N2473" s="24">
        <f>_xlfn.XLOOKUP(Snitch_Fashion_Sales_cleaned!$J2473,Table2[City],Table2[City_Key],"not found")</f>
        <v>3</v>
      </c>
      <c r="O2473" s="23">
        <f>_xlfn.XLOOKUP(Snitch_Fashion_Sales_cleaned!$D2473,Table4[Product_Name],Table4[Product_Key],"not found")</f>
        <v>19</v>
      </c>
      <c r="P2473" s="32">
        <f>_xlfn.XLOOKUP(Snitch_Fashion_Sales_cleaned!$I2473,Table3[Order_Date],Table3[Date_Key])</f>
        <v>312</v>
      </c>
    </row>
    <row r="2474" spans="1:16" x14ac:dyDescent="0.3">
      <c r="A2474" s="27">
        <v>3472</v>
      </c>
      <c r="B2474" s="25" t="s">
        <v>2479</v>
      </c>
      <c r="C2474" s="25" t="s">
        <v>36</v>
      </c>
      <c r="D2474" s="26" t="s">
        <v>37</v>
      </c>
      <c r="E2474" s="27">
        <v>4</v>
      </c>
      <c r="F2474" s="28">
        <v>2975.64</v>
      </c>
      <c r="G2474" s="29">
        <v>0.5</v>
      </c>
      <c r="H2474" s="28">
        <f t="shared" si="78"/>
        <v>11902.56</v>
      </c>
      <c r="I2474" s="30">
        <v>45647</v>
      </c>
      <c r="J2474" s="26" t="s">
        <v>22</v>
      </c>
      <c r="K2474" s="26" t="s">
        <v>23</v>
      </c>
      <c r="L2474" s="31">
        <f t="shared" si="79"/>
        <v>5951.28</v>
      </c>
      <c r="M2474" s="31">
        <v>-898.19</v>
      </c>
      <c r="N2474" s="22">
        <f>_xlfn.XLOOKUP(Snitch_Fashion_Sales_cleaned!$J2474,Table2[City],Table2[City_Key],"not found")</f>
        <v>3</v>
      </c>
      <c r="O2474" s="21">
        <f>_xlfn.XLOOKUP(Snitch_Fashion_Sales_cleaned!$D2474,Table4[Product_Name],Table4[Product_Key],"not found")</f>
        <v>7</v>
      </c>
      <c r="P2474" s="25">
        <f>_xlfn.XLOOKUP(Snitch_Fashion_Sales_cleaned!$I2474,Table3[Order_Date],Table3[Date_Key])</f>
        <v>5</v>
      </c>
    </row>
    <row r="2475" spans="1:16" x14ac:dyDescent="0.3">
      <c r="A2475" s="34">
        <v>3473</v>
      </c>
      <c r="B2475" s="32" t="s">
        <v>2480</v>
      </c>
      <c r="C2475" s="32" t="s">
        <v>28</v>
      </c>
      <c r="D2475" s="33" t="s">
        <v>29</v>
      </c>
      <c r="E2475" s="34">
        <v>1</v>
      </c>
      <c r="F2475" s="35">
        <v>2515.415</v>
      </c>
      <c r="G2475" s="36">
        <v>0.15</v>
      </c>
      <c r="H2475" s="35">
        <f t="shared" si="78"/>
        <v>2515.415</v>
      </c>
      <c r="I2475" s="37">
        <v>45559</v>
      </c>
      <c r="J2475" s="33" t="s">
        <v>22</v>
      </c>
      <c r="K2475" s="33" t="s">
        <v>23</v>
      </c>
      <c r="L2475" s="38">
        <f t="shared" si="79"/>
        <v>2138.10275</v>
      </c>
      <c r="M2475" s="38">
        <v>287.25</v>
      </c>
      <c r="N2475" s="24">
        <f>_xlfn.XLOOKUP(Snitch_Fashion_Sales_cleaned!$J2475,Table2[City],Table2[City_Key],"not found")</f>
        <v>3</v>
      </c>
      <c r="O2475" s="23">
        <f>_xlfn.XLOOKUP(Snitch_Fashion_Sales_cleaned!$D2475,Table4[Product_Name],Table4[Product_Key],"not found")</f>
        <v>4</v>
      </c>
      <c r="P2475" s="32">
        <f>_xlfn.XLOOKUP(Snitch_Fashion_Sales_cleaned!$I2475,Table3[Order_Date],Table3[Date_Key])</f>
        <v>323</v>
      </c>
    </row>
    <row r="2476" spans="1:16" x14ac:dyDescent="0.3">
      <c r="A2476" s="27">
        <v>3474</v>
      </c>
      <c r="B2476" s="25" t="s">
        <v>2481</v>
      </c>
      <c r="C2476" s="25" t="s">
        <v>25</v>
      </c>
      <c r="D2476" s="26" t="s">
        <v>62</v>
      </c>
      <c r="E2476" s="27">
        <v>4</v>
      </c>
      <c r="F2476" s="28">
        <v>3494.86</v>
      </c>
      <c r="G2476" s="29">
        <v>0.51</v>
      </c>
      <c r="H2476" s="28">
        <f t="shared" si="78"/>
        <v>13979.44</v>
      </c>
      <c r="I2476" s="30">
        <v>45647</v>
      </c>
      <c r="J2476" s="26" t="s">
        <v>22</v>
      </c>
      <c r="K2476" s="26" t="s">
        <v>23</v>
      </c>
      <c r="L2476" s="31">
        <f t="shared" si="79"/>
        <v>6849.9256000000005</v>
      </c>
      <c r="M2476" s="31">
        <v>-76.849999999999994</v>
      </c>
      <c r="N2476" s="22">
        <f>_xlfn.XLOOKUP(Snitch_Fashion_Sales_cleaned!$J2476,Table2[City],Table2[City_Key],"not found")</f>
        <v>3</v>
      </c>
      <c r="O2476" s="21">
        <f>_xlfn.XLOOKUP(Snitch_Fashion_Sales_cleaned!$D2476,Table4[Product_Name],Table4[Product_Key],"not found")</f>
        <v>14</v>
      </c>
      <c r="P2476" s="25">
        <f>_xlfn.XLOOKUP(Snitch_Fashion_Sales_cleaned!$I2476,Table3[Order_Date],Table3[Date_Key])</f>
        <v>5</v>
      </c>
    </row>
    <row r="2477" spans="1:16" x14ac:dyDescent="0.3">
      <c r="A2477" s="34">
        <v>3475</v>
      </c>
      <c r="B2477" s="32" t="s">
        <v>2482</v>
      </c>
      <c r="C2477" s="32" t="s">
        <v>20</v>
      </c>
      <c r="D2477" s="33" t="s">
        <v>76</v>
      </c>
      <c r="E2477" s="34">
        <v>3</v>
      </c>
      <c r="F2477" s="35">
        <v>2185.83</v>
      </c>
      <c r="G2477" s="36">
        <v>0.13</v>
      </c>
      <c r="H2477" s="35">
        <f t="shared" si="78"/>
        <v>6557.49</v>
      </c>
      <c r="I2477" s="37">
        <v>45647</v>
      </c>
      <c r="J2477" s="33" t="s">
        <v>22</v>
      </c>
      <c r="K2477" s="33" t="s">
        <v>23</v>
      </c>
      <c r="L2477" s="38">
        <f t="shared" si="79"/>
        <v>5705.0163000000002</v>
      </c>
      <c r="M2477" s="38">
        <v>714.12</v>
      </c>
      <c r="N2477" s="24">
        <f>_xlfn.XLOOKUP(Snitch_Fashion_Sales_cleaned!$J2477,Table2[City],Table2[City_Key],"not found")</f>
        <v>3</v>
      </c>
      <c r="O2477" s="23">
        <f>_xlfn.XLOOKUP(Snitch_Fashion_Sales_cleaned!$D2477,Table4[Product_Name],Table4[Product_Key],"not found")</f>
        <v>16</v>
      </c>
      <c r="P2477" s="32">
        <f>_xlfn.XLOOKUP(Snitch_Fashion_Sales_cleaned!$I2477,Table3[Order_Date],Table3[Date_Key])</f>
        <v>5</v>
      </c>
    </row>
    <row r="2478" spans="1:16" x14ac:dyDescent="0.3">
      <c r="A2478" s="27">
        <v>3476</v>
      </c>
      <c r="B2478" s="25" t="s">
        <v>2483</v>
      </c>
      <c r="C2478" s="25" t="s">
        <v>36</v>
      </c>
      <c r="D2478" s="26" t="s">
        <v>55</v>
      </c>
      <c r="E2478" s="27">
        <v>3</v>
      </c>
      <c r="F2478" s="28">
        <v>4804.91</v>
      </c>
      <c r="G2478" s="29">
        <v>0.51</v>
      </c>
      <c r="H2478" s="28">
        <f t="shared" si="78"/>
        <v>14414.73</v>
      </c>
      <c r="I2478" s="30">
        <v>45519</v>
      </c>
      <c r="J2478" s="26" t="s">
        <v>15</v>
      </c>
      <c r="K2478" s="26" t="s">
        <v>16</v>
      </c>
      <c r="L2478" s="31">
        <f t="shared" si="79"/>
        <v>7063.2176999999992</v>
      </c>
      <c r="M2478" s="31">
        <v>407.85</v>
      </c>
      <c r="N2478" s="22">
        <f>_xlfn.XLOOKUP(Snitch_Fashion_Sales_cleaned!$J2478,Table2[City],Table2[City_Key],"not found")</f>
        <v>1</v>
      </c>
      <c r="O2478" s="21">
        <f>_xlfn.XLOOKUP(Snitch_Fashion_Sales_cleaned!$D2478,Table4[Product_Name],Table4[Product_Key],"not found")</f>
        <v>12</v>
      </c>
      <c r="P2478" s="25">
        <f>_xlfn.XLOOKUP(Snitch_Fashion_Sales_cleaned!$I2478,Table3[Order_Date],Table3[Date_Key])</f>
        <v>248</v>
      </c>
    </row>
    <row r="2479" spans="1:16" x14ac:dyDescent="0.3">
      <c r="A2479" s="34">
        <v>3477</v>
      </c>
      <c r="B2479" s="32" t="s">
        <v>2484</v>
      </c>
      <c r="C2479" s="32" t="s">
        <v>36</v>
      </c>
      <c r="D2479" s="33" t="s">
        <v>59</v>
      </c>
      <c r="E2479" s="34">
        <v>3</v>
      </c>
      <c r="F2479" s="35">
        <v>2765.26</v>
      </c>
      <c r="G2479" s="36">
        <v>0.86</v>
      </c>
      <c r="H2479" s="35">
        <f t="shared" si="78"/>
        <v>8295.7800000000007</v>
      </c>
      <c r="I2479" s="37">
        <v>45647</v>
      </c>
      <c r="J2479" s="33" t="s">
        <v>22</v>
      </c>
      <c r="K2479" s="33" t="s">
        <v>23</v>
      </c>
      <c r="L2479" s="38">
        <f t="shared" si="79"/>
        <v>1161.4092000000003</v>
      </c>
      <c r="M2479" s="38">
        <v>292.83</v>
      </c>
      <c r="N2479" s="24">
        <f>_xlfn.XLOOKUP(Snitch_Fashion_Sales_cleaned!$J2479,Table2[City],Table2[City_Key],"not found")</f>
        <v>3</v>
      </c>
      <c r="O2479" s="23">
        <f>_xlfn.XLOOKUP(Snitch_Fashion_Sales_cleaned!$D2479,Table4[Product_Name],Table4[Product_Key],"not found")</f>
        <v>13</v>
      </c>
      <c r="P2479" s="32">
        <f>_xlfn.XLOOKUP(Snitch_Fashion_Sales_cleaned!$I2479,Table3[Order_Date],Table3[Date_Key])</f>
        <v>5</v>
      </c>
    </row>
    <row r="2480" spans="1:16" x14ac:dyDescent="0.3">
      <c r="A2480" s="27">
        <v>3478</v>
      </c>
      <c r="B2480" s="25" t="s">
        <v>2485</v>
      </c>
      <c r="C2480" s="25" t="s">
        <v>20</v>
      </c>
      <c r="D2480" s="26" t="s">
        <v>84</v>
      </c>
      <c r="E2480" s="27">
        <v>3</v>
      </c>
      <c r="F2480" s="28">
        <v>2537.59</v>
      </c>
      <c r="G2480" s="29">
        <v>0.51</v>
      </c>
      <c r="H2480" s="28">
        <f t="shared" si="78"/>
        <v>7612.77</v>
      </c>
      <c r="I2480" s="30">
        <v>45291</v>
      </c>
      <c r="J2480" s="26" t="s">
        <v>43</v>
      </c>
      <c r="K2480" s="26" t="s">
        <v>23</v>
      </c>
      <c r="L2480" s="31">
        <f t="shared" si="79"/>
        <v>3730.2573000000002</v>
      </c>
      <c r="M2480" s="31">
        <v>2602.44</v>
      </c>
      <c r="N2480" s="22">
        <f>_xlfn.XLOOKUP(Snitch_Fashion_Sales_cleaned!$J2480,Table2[City],Table2[City_Key],"not found")</f>
        <v>6</v>
      </c>
      <c r="O2480" s="21">
        <f>_xlfn.XLOOKUP(Snitch_Fashion_Sales_cleaned!$D2480,Table4[Product_Name],Table4[Product_Key],"not found")</f>
        <v>19</v>
      </c>
      <c r="P2480" s="25">
        <f>_xlfn.XLOOKUP(Snitch_Fashion_Sales_cleaned!$I2480,Table3[Order_Date],Table3[Date_Key])</f>
        <v>562</v>
      </c>
    </row>
    <row r="2481" spans="1:16" x14ac:dyDescent="0.3">
      <c r="A2481" s="34">
        <v>3479</v>
      </c>
      <c r="B2481" s="32" t="s">
        <v>2486</v>
      </c>
      <c r="C2481" s="32" t="s">
        <v>20</v>
      </c>
      <c r="D2481" s="33" t="s">
        <v>118</v>
      </c>
      <c r="E2481" s="34">
        <v>3.5</v>
      </c>
      <c r="F2481" s="35">
        <v>2858.94</v>
      </c>
      <c r="G2481" s="36">
        <v>0.51</v>
      </c>
      <c r="H2481" s="35">
        <f t="shared" si="78"/>
        <v>10006.290000000001</v>
      </c>
      <c r="I2481" s="37">
        <v>45554</v>
      </c>
      <c r="J2481" s="33" t="s">
        <v>22</v>
      </c>
      <c r="K2481" s="33" t="s">
        <v>23</v>
      </c>
      <c r="L2481" s="38">
        <f t="shared" si="79"/>
        <v>4903.0821000000005</v>
      </c>
      <c r="M2481" s="38">
        <v>-262.73</v>
      </c>
      <c r="N2481" s="24">
        <f>_xlfn.XLOOKUP(Snitch_Fashion_Sales_cleaned!$J2481,Table2[City],Table2[City_Key],"not found")</f>
        <v>3</v>
      </c>
      <c r="O2481" s="23">
        <f>_xlfn.XLOOKUP(Snitch_Fashion_Sales_cleaned!$D2481,Table4[Product_Name],Table4[Product_Key],"not found")</f>
        <v>23</v>
      </c>
      <c r="P2481" s="32">
        <f>_xlfn.XLOOKUP(Snitch_Fashion_Sales_cleaned!$I2481,Table3[Order_Date],Table3[Date_Key])</f>
        <v>421</v>
      </c>
    </row>
    <row r="2482" spans="1:16" x14ac:dyDescent="0.3">
      <c r="A2482" s="27">
        <v>3480</v>
      </c>
      <c r="B2482" s="25" t="s">
        <v>2487</v>
      </c>
      <c r="C2482" s="25" t="s">
        <v>25</v>
      </c>
      <c r="D2482" s="26" t="s">
        <v>50</v>
      </c>
      <c r="E2482" s="27">
        <v>4</v>
      </c>
      <c r="F2482" s="28">
        <v>2666.2200000000003</v>
      </c>
      <c r="G2482" s="29">
        <v>0.28000000000000003</v>
      </c>
      <c r="H2482" s="28">
        <f t="shared" si="78"/>
        <v>10664.880000000001</v>
      </c>
      <c r="I2482" s="30">
        <v>45647</v>
      </c>
      <c r="J2482" s="26" t="s">
        <v>43</v>
      </c>
      <c r="K2482" s="26" t="s">
        <v>16</v>
      </c>
      <c r="L2482" s="31">
        <f t="shared" si="79"/>
        <v>7678.7136</v>
      </c>
      <c r="M2482" s="31">
        <v>1553.3</v>
      </c>
      <c r="N2482" s="22">
        <f>_xlfn.XLOOKUP(Snitch_Fashion_Sales_cleaned!$J2482,Table2[City],Table2[City_Key],"not found")</f>
        <v>6</v>
      </c>
      <c r="O2482" s="21">
        <f>_xlfn.XLOOKUP(Snitch_Fashion_Sales_cleaned!$D2482,Table4[Product_Name],Table4[Product_Key],"not found")</f>
        <v>11</v>
      </c>
      <c r="P2482" s="25">
        <f>_xlfn.XLOOKUP(Snitch_Fashion_Sales_cleaned!$I2482,Table3[Order_Date],Table3[Date_Key])</f>
        <v>5</v>
      </c>
    </row>
    <row r="2483" spans="1:16" x14ac:dyDescent="0.3">
      <c r="A2483" s="34">
        <v>3481</v>
      </c>
      <c r="B2483" s="32" t="s">
        <v>2488</v>
      </c>
      <c r="C2483" s="32" t="s">
        <v>13</v>
      </c>
      <c r="D2483" s="33" t="s">
        <v>34</v>
      </c>
      <c r="E2483" s="34">
        <v>3</v>
      </c>
      <c r="F2483" s="35">
        <v>3008.6549999999997</v>
      </c>
      <c r="G2483" s="36">
        <v>0.51</v>
      </c>
      <c r="H2483" s="35">
        <f t="shared" si="78"/>
        <v>9025.9650000000001</v>
      </c>
      <c r="I2483" s="37">
        <v>45847</v>
      </c>
      <c r="J2483" s="33" t="s">
        <v>2540</v>
      </c>
      <c r="K2483" s="33" t="s">
        <v>16</v>
      </c>
      <c r="L2483" s="38">
        <f t="shared" si="79"/>
        <v>4422.7228500000001</v>
      </c>
      <c r="M2483" s="38">
        <v>-38.119999999999997</v>
      </c>
      <c r="N2483" s="24">
        <f>_xlfn.XLOOKUP(Snitch_Fashion_Sales_cleaned!$J2483,Table2[City],Table2[City_Key],"not found")</f>
        <v>4</v>
      </c>
      <c r="O2483" s="23">
        <f>_xlfn.XLOOKUP(Snitch_Fashion_Sales_cleaned!$D2483,Table4[Product_Name],Table4[Product_Key],"not found")</f>
        <v>6</v>
      </c>
      <c r="P2483" s="32">
        <f>_xlfn.XLOOKUP(Snitch_Fashion_Sales_cleaned!$I2483,Table3[Order_Date],Table3[Date_Key])</f>
        <v>120</v>
      </c>
    </row>
    <row r="2484" spans="1:16" x14ac:dyDescent="0.3">
      <c r="A2484" s="27">
        <v>3482</v>
      </c>
      <c r="B2484" s="25" t="s">
        <v>2489</v>
      </c>
      <c r="C2484" s="25" t="s">
        <v>28</v>
      </c>
      <c r="D2484" s="26" t="s">
        <v>116</v>
      </c>
      <c r="E2484" s="27">
        <v>4</v>
      </c>
      <c r="F2484" s="28">
        <v>1169.8900000000001</v>
      </c>
      <c r="G2484" s="29">
        <v>0.51</v>
      </c>
      <c r="H2484" s="28">
        <f t="shared" si="78"/>
        <v>4679.5600000000004</v>
      </c>
      <c r="I2484" s="30">
        <v>45647</v>
      </c>
      <c r="J2484" s="26" t="s">
        <v>43</v>
      </c>
      <c r="K2484" s="26" t="s">
        <v>16</v>
      </c>
      <c r="L2484" s="31">
        <f t="shared" si="79"/>
        <v>2292.9844000000003</v>
      </c>
      <c r="M2484" s="31">
        <v>161.94999999999999</v>
      </c>
      <c r="N2484" s="22">
        <f>_xlfn.XLOOKUP(Snitch_Fashion_Sales_cleaned!$J2484,Table2[City],Table2[City_Key],"not found")</f>
        <v>6</v>
      </c>
      <c r="O2484" s="21">
        <f>_xlfn.XLOOKUP(Snitch_Fashion_Sales_cleaned!$D2484,Table4[Product_Name],Table4[Product_Key],"not found")</f>
        <v>22</v>
      </c>
      <c r="P2484" s="25">
        <f>_xlfn.XLOOKUP(Snitch_Fashion_Sales_cleaned!$I2484,Table3[Order_Date],Table3[Date_Key])</f>
        <v>5</v>
      </c>
    </row>
    <row r="2485" spans="1:16" x14ac:dyDescent="0.3">
      <c r="A2485" s="34">
        <v>1030</v>
      </c>
      <c r="B2485" s="32" t="s">
        <v>2490</v>
      </c>
      <c r="C2485" s="32" t="s">
        <v>31</v>
      </c>
      <c r="D2485" s="33" t="s">
        <v>78</v>
      </c>
      <c r="E2485" s="34">
        <v>3</v>
      </c>
      <c r="F2485" s="35">
        <v>2599.75</v>
      </c>
      <c r="G2485" s="36">
        <v>0.51</v>
      </c>
      <c r="H2485" s="35">
        <f t="shared" si="78"/>
        <v>7799.25</v>
      </c>
      <c r="I2485" s="37">
        <v>45647</v>
      </c>
      <c r="J2485" s="33" t="s">
        <v>52</v>
      </c>
      <c r="K2485" s="33" t="s">
        <v>23</v>
      </c>
      <c r="L2485" s="38">
        <f t="shared" si="79"/>
        <v>3821.6324999999997</v>
      </c>
      <c r="M2485" s="38">
        <v>1528.52</v>
      </c>
      <c r="N2485" s="24">
        <f>_xlfn.XLOOKUP(Snitch_Fashion_Sales_cleaned!$J2485,Table2[City],Table2[City_Key],"not found")</f>
        <v>5</v>
      </c>
      <c r="O2485" s="23">
        <f>_xlfn.XLOOKUP(Snitch_Fashion_Sales_cleaned!$D2485,Table4[Product_Name],Table4[Product_Key],"not found")</f>
        <v>17</v>
      </c>
      <c r="P2485" s="32">
        <f>_xlfn.XLOOKUP(Snitch_Fashion_Sales_cleaned!$I2485,Table3[Order_Date],Table3[Date_Key])</f>
        <v>5</v>
      </c>
    </row>
    <row r="2486" spans="1:16" x14ac:dyDescent="0.3">
      <c r="A2486" s="27">
        <v>3484</v>
      </c>
      <c r="B2486" s="25" t="s">
        <v>2491</v>
      </c>
      <c r="C2486" s="25" t="s">
        <v>31</v>
      </c>
      <c r="D2486" s="26" t="s">
        <v>78</v>
      </c>
      <c r="E2486" s="27">
        <v>4</v>
      </c>
      <c r="F2486" s="28">
        <v>2599.75</v>
      </c>
      <c r="G2486" s="29">
        <v>0.51</v>
      </c>
      <c r="H2486" s="28">
        <f t="shared" si="78"/>
        <v>10399</v>
      </c>
      <c r="I2486" s="30">
        <v>45647</v>
      </c>
      <c r="J2486" s="26" t="s">
        <v>43</v>
      </c>
      <c r="K2486" s="26" t="s">
        <v>16</v>
      </c>
      <c r="L2486" s="31">
        <f t="shared" si="79"/>
        <v>5095.51</v>
      </c>
      <c r="M2486" s="31">
        <v>237.05</v>
      </c>
      <c r="N2486" s="22">
        <f>_xlfn.XLOOKUP(Snitch_Fashion_Sales_cleaned!$J2486,Table2[City],Table2[City_Key],"not found")</f>
        <v>6</v>
      </c>
      <c r="O2486" s="21">
        <f>_xlfn.XLOOKUP(Snitch_Fashion_Sales_cleaned!$D2486,Table4[Product_Name],Table4[Product_Key],"not found")</f>
        <v>17</v>
      </c>
      <c r="P2486" s="25">
        <f>_xlfn.XLOOKUP(Snitch_Fashion_Sales_cleaned!$I2486,Table3[Order_Date],Table3[Date_Key])</f>
        <v>5</v>
      </c>
    </row>
    <row r="2487" spans="1:16" x14ac:dyDescent="0.3">
      <c r="A2487" s="34">
        <v>3485</v>
      </c>
      <c r="B2487" s="32" t="s">
        <v>2492</v>
      </c>
      <c r="C2487" s="32" t="s">
        <v>28</v>
      </c>
      <c r="D2487" s="33" t="s">
        <v>116</v>
      </c>
      <c r="E2487" s="34">
        <v>4</v>
      </c>
      <c r="F2487" s="35">
        <v>2951.53</v>
      </c>
      <c r="G2487" s="36">
        <v>0.51</v>
      </c>
      <c r="H2487" s="35">
        <f t="shared" si="78"/>
        <v>11806.12</v>
      </c>
      <c r="I2487" s="37">
        <v>45547</v>
      </c>
      <c r="J2487" s="33" t="s">
        <v>43</v>
      </c>
      <c r="K2487" s="33" t="s">
        <v>16</v>
      </c>
      <c r="L2487" s="38">
        <f t="shared" si="79"/>
        <v>5784.9988000000003</v>
      </c>
      <c r="M2487" s="38">
        <v>-492.53</v>
      </c>
      <c r="N2487" s="24">
        <f>_xlfn.XLOOKUP(Snitch_Fashion_Sales_cleaned!$J2487,Table2[City],Table2[City_Key],"not found")</f>
        <v>6</v>
      </c>
      <c r="O2487" s="23">
        <f>_xlfn.XLOOKUP(Snitch_Fashion_Sales_cleaned!$D2487,Table4[Product_Name],Table4[Product_Key],"not found")</f>
        <v>22</v>
      </c>
      <c r="P2487" s="32">
        <f>_xlfn.XLOOKUP(Snitch_Fashion_Sales_cleaned!$I2487,Table3[Order_Date],Table3[Date_Key])</f>
        <v>31</v>
      </c>
    </row>
    <row r="2488" spans="1:16" x14ac:dyDescent="0.3">
      <c r="A2488" s="27">
        <v>3486</v>
      </c>
      <c r="B2488" s="25" t="s">
        <v>2493</v>
      </c>
      <c r="C2488" s="25" t="s">
        <v>31</v>
      </c>
      <c r="D2488" s="26" t="s">
        <v>68</v>
      </c>
      <c r="E2488" s="27">
        <v>4</v>
      </c>
      <c r="F2488" s="28">
        <v>2765.79</v>
      </c>
      <c r="G2488" s="29">
        <v>0.51</v>
      </c>
      <c r="H2488" s="28">
        <f t="shared" si="78"/>
        <v>11063.16</v>
      </c>
      <c r="I2488" s="30">
        <v>45647</v>
      </c>
      <c r="J2488" s="26" t="s">
        <v>52</v>
      </c>
      <c r="K2488" s="26" t="s">
        <v>23</v>
      </c>
      <c r="L2488" s="31">
        <f t="shared" si="79"/>
        <v>5420.9484000000002</v>
      </c>
      <c r="M2488" s="31">
        <v>-439.26</v>
      </c>
      <c r="N2488" s="22">
        <f>_xlfn.XLOOKUP(Snitch_Fashion_Sales_cleaned!$J2488,Table2[City],Table2[City_Key],"not found")</f>
        <v>5</v>
      </c>
      <c r="O2488" s="21">
        <f>_xlfn.XLOOKUP(Snitch_Fashion_Sales_cleaned!$D2488,Table4[Product_Name],Table4[Product_Key],"not found")</f>
        <v>15</v>
      </c>
      <c r="P2488" s="25">
        <f>_xlfn.XLOOKUP(Snitch_Fashion_Sales_cleaned!$I2488,Table3[Order_Date],Table3[Date_Key])</f>
        <v>5</v>
      </c>
    </row>
    <row r="2489" spans="1:16" x14ac:dyDescent="0.3">
      <c r="A2489" s="34">
        <v>3487</v>
      </c>
      <c r="B2489" s="32" t="s">
        <v>2494</v>
      </c>
      <c r="C2489" s="32" t="s">
        <v>31</v>
      </c>
      <c r="D2489" s="33" t="s">
        <v>32</v>
      </c>
      <c r="E2489" s="34">
        <v>5</v>
      </c>
      <c r="F2489" s="35">
        <v>1683.74</v>
      </c>
      <c r="G2489" s="36">
        <v>0.57999999999999996</v>
      </c>
      <c r="H2489" s="35">
        <f t="shared" ref="H2489:H2498" si="80">E2489*F2489</f>
        <v>8418.7000000000007</v>
      </c>
      <c r="I2489" s="37">
        <v>45670</v>
      </c>
      <c r="J2489" s="33" t="s">
        <v>2540</v>
      </c>
      <c r="K2489" s="33" t="s">
        <v>16</v>
      </c>
      <c r="L2489" s="38">
        <f t="shared" ref="L2489:L2498" si="81">H2489*(1-G2489)</f>
        <v>3535.8540000000007</v>
      </c>
      <c r="M2489" s="38">
        <v>419.44</v>
      </c>
      <c r="N2489" s="24">
        <f>_xlfn.XLOOKUP(Snitch_Fashion_Sales_cleaned!$J2489,Table2[City],Table2[City_Key],"not found")</f>
        <v>4</v>
      </c>
      <c r="O2489" s="23">
        <f>_xlfn.XLOOKUP(Snitch_Fashion_Sales_cleaned!$D2489,Table4[Product_Name],Table4[Product_Key],"not found")</f>
        <v>5</v>
      </c>
      <c r="P2489" s="32">
        <f>_xlfn.XLOOKUP(Snitch_Fashion_Sales_cleaned!$I2489,Table3[Order_Date],Table3[Date_Key])</f>
        <v>396</v>
      </c>
    </row>
    <row r="2490" spans="1:16" x14ac:dyDescent="0.3">
      <c r="A2490" s="27">
        <v>3488</v>
      </c>
      <c r="B2490" s="25" t="s">
        <v>2495</v>
      </c>
      <c r="C2490" s="25" t="s">
        <v>28</v>
      </c>
      <c r="D2490" s="26" t="s">
        <v>116</v>
      </c>
      <c r="E2490" s="27">
        <v>4</v>
      </c>
      <c r="F2490" s="28">
        <v>3029.54</v>
      </c>
      <c r="G2490" s="29">
        <v>0.51</v>
      </c>
      <c r="H2490" s="28">
        <f t="shared" si="80"/>
        <v>12118.16</v>
      </c>
      <c r="I2490" s="30">
        <v>45641</v>
      </c>
      <c r="J2490" s="26" t="s">
        <v>22</v>
      </c>
      <c r="K2490" s="26" t="s">
        <v>23</v>
      </c>
      <c r="L2490" s="31">
        <f t="shared" si="81"/>
        <v>5937.8984</v>
      </c>
      <c r="M2490" s="31">
        <v>2537.46</v>
      </c>
      <c r="N2490" s="22">
        <f>_xlfn.XLOOKUP(Snitch_Fashion_Sales_cleaned!$J2490,Table2[City],Table2[City_Key],"not found")</f>
        <v>3</v>
      </c>
      <c r="O2490" s="21">
        <f>_xlfn.XLOOKUP(Snitch_Fashion_Sales_cleaned!$D2490,Table4[Product_Name],Table4[Product_Key],"not found")</f>
        <v>22</v>
      </c>
      <c r="P2490" s="25">
        <f>_xlfn.XLOOKUP(Snitch_Fashion_Sales_cleaned!$I2490,Table3[Order_Date],Table3[Date_Key])</f>
        <v>99</v>
      </c>
    </row>
    <row r="2491" spans="1:16" x14ac:dyDescent="0.3">
      <c r="A2491" s="34">
        <v>3489</v>
      </c>
      <c r="B2491" s="32" t="s">
        <v>2496</v>
      </c>
      <c r="C2491" s="32" t="s">
        <v>20</v>
      </c>
      <c r="D2491" s="33" t="s">
        <v>76</v>
      </c>
      <c r="E2491" s="34">
        <v>2</v>
      </c>
      <c r="F2491" s="35">
        <v>599.07000000000005</v>
      </c>
      <c r="G2491" s="36">
        <v>0.15</v>
      </c>
      <c r="H2491" s="35">
        <f t="shared" si="80"/>
        <v>1198.1400000000001</v>
      </c>
      <c r="I2491" s="37">
        <v>45647</v>
      </c>
      <c r="J2491" s="33" t="s">
        <v>15</v>
      </c>
      <c r="K2491" s="33" t="s">
        <v>23</v>
      </c>
      <c r="L2491" s="38">
        <f t="shared" si="81"/>
        <v>1018.4190000000001</v>
      </c>
      <c r="M2491" s="38">
        <v>254.60475000000002</v>
      </c>
      <c r="N2491" s="24">
        <f>_xlfn.XLOOKUP(Snitch_Fashion_Sales_cleaned!$J2491,Table2[City],Table2[City_Key],"not found")</f>
        <v>1</v>
      </c>
      <c r="O2491" s="23">
        <f>_xlfn.XLOOKUP(Snitch_Fashion_Sales_cleaned!$D2491,Table4[Product_Name],Table4[Product_Key],"not found")</f>
        <v>16</v>
      </c>
      <c r="P2491" s="32">
        <f>_xlfn.XLOOKUP(Snitch_Fashion_Sales_cleaned!$I2491,Table3[Order_Date],Table3[Date_Key])</f>
        <v>5</v>
      </c>
    </row>
    <row r="2492" spans="1:16" x14ac:dyDescent="0.3">
      <c r="A2492" s="27">
        <v>3490</v>
      </c>
      <c r="B2492" s="25" t="s">
        <v>2497</v>
      </c>
      <c r="C2492" s="25" t="s">
        <v>36</v>
      </c>
      <c r="D2492" s="26" t="s">
        <v>87</v>
      </c>
      <c r="E2492" s="27">
        <v>4</v>
      </c>
      <c r="F2492" s="28">
        <v>2784.76</v>
      </c>
      <c r="G2492" s="29">
        <v>0.86</v>
      </c>
      <c r="H2492" s="28">
        <f t="shared" si="80"/>
        <v>11139.04</v>
      </c>
      <c r="I2492" s="30">
        <v>45246</v>
      </c>
      <c r="J2492" s="26" t="s">
        <v>52</v>
      </c>
      <c r="K2492" s="26" t="s">
        <v>23</v>
      </c>
      <c r="L2492" s="31">
        <f t="shared" si="81"/>
        <v>1559.4656000000002</v>
      </c>
      <c r="M2492" s="31">
        <v>1373.37</v>
      </c>
      <c r="N2492" s="22">
        <f>_xlfn.XLOOKUP(Snitch_Fashion_Sales_cleaned!$J2492,Table2[City],Table2[City_Key],"not found")</f>
        <v>5</v>
      </c>
      <c r="O2492" s="21">
        <f>_xlfn.XLOOKUP(Snitch_Fashion_Sales_cleaned!$D2492,Table4[Product_Name],Table4[Product_Key],"not found")</f>
        <v>20</v>
      </c>
      <c r="P2492" s="25">
        <f>_xlfn.XLOOKUP(Snitch_Fashion_Sales_cleaned!$I2492,Table3[Order_Date],Table3[Date_Key])</f>
        <v>162</v>
      </c>
    </row>
    <row r="2493" spans="1:16" x14ac:dyDescent="0.3">
      <c r="A2493" s="34">
        <v>3491</v>
      </c>
      <c r="B2493" s="32" t="s">
        <v>2498</v>
      </c>
      <c r="C2493" s="32" t="s">
        <v>13</v>
      </c>
      <c r="D2493" s="33" t="s">
        <v>34</v>
      </c>
      <c r="E2493" s="34">
        <v>3</v>
      </c>
      <c r="F2493" s="35">
        <v>4126.3900000000003</v>
      </c>
      <c r="G2493" s="36">
        <v>0.51</v>
      </c>
      <c r="H2493" s="35">
        <f t="shared" si="80"/>
        <v>12379.170000000002</v>
      </c>
      <c r="I2493" s="37">
        <v>45621</v>
      </c>
      <c r="J2493" s="33" t="s">
        <v>22</v>
      </c>
      <c r="K2493" s="33" t="s">
        <v>23</v>
      </c>
      <c r="L2493" s="38">
        <f t="shared" si="81"/>
        <v>6065.7933000000012</v>
      </c>
      <c r="M2493" s="38">
        <v>638.9</v>
      </c>
      <c r="N2493" s="24">
        <f>_xlfn.XLOOKUP(Snitch_Fashion_Sales_cleaned!$J2493,Table2[City],Table2[City_Key],"not found")</f>
        <v>3</v>
      </c>
      <c r="O2493" s="23">
        <f>_xlfn.XLOOKUP(Snitch_Fashion_Sales_cleaned!$D2493,Table4[Product_Name],Table4[Product_Key],"not found")</f>
        <v>6</v>
      </c>
      <c r="P2493" s="32">
        <f>_xlfn.XLOOKUP(Snitch_Fashion_Sales_cleaned!$I2493,Table3[Order_Date],Table3[Date_Key])</f>
        <v>106</v>
      </c>
    </row>
    <row r="2494" spans="1:16" x14ac:dyDescent="0.3">
      <c r="A2494" s="27">
        <v>3492</v>
      </c>
      <c r="B2494" s="25" t="s">
        <v>2499</v>
      </c>
      <c r="C2494" s="25" t="s">
        <v>13</v>
      </c>
      <c r="D2494" s="26" t="s">
        <v>98</v>
      </c>
      <c r="E2494" s="27">
        <v>5</v>
      </c>
      <c r="F2494" s="28">
        <v>3084.73</v>
      </c>
      <c r="G2494" s="29">
        <v>0.86</v>
      </c>
      <c r="H2494" s="28">
        <f t="shared" si="80"/>
        <v>15423.65</v>
      </c>
      <c r="I2494" s="30">
        <v>45647</v>
      </c>
      <c r="J2494" s="26" t="s">
        <v>22</v>
      </c>
      <c r="K2494" s="26" t="s">
        <v>23</v>
      </c>
      <c r="L2494" s="31">
        <f t="shared" si="81"/>
        <v>2159.3110000000001</v>
      </c>
      <c r="M2494" s="31">
        <v>539.82775000000004</v>
      </c>
      <c r="N2494" s="22">
        <f>_xlfn.XLOOKUP(Snitch_Fashion_Sales_cleaned!$J2494,Table2[City],Table2[City_Key],"not found")</f>
        <v>3</v>
      </c>
      <c r="O2494" s="21">
        <f>_xlfn.XLOOKUP(Snitch_Fashion_Sales_cleaned!$D2494,Table4[Product_Name],Table4[Product_Key],"not found")</f>
        <v>21</v>
      </c>
      <c r="P2494" s="25">
        <f>_xlfn.XLOOKUP(Snitch_Fashion_Sales_cleaned!$I2494,Table3[Order_Date],Table3[Date_Key])</f>
        <v>5</v>
      </c>
    </row>
    <row r="2495" spans="1:16" x14ac:dyDescent="0.3">
      <c r="A2495" s="34">
        <v>3493</v>
      </c>
      <c r="B2495" s="32" t="s">
        <v>2500</v>
      </c>
      <c r="C2495" s="32" t="s">
        <v>36</v>
      </c>
      <c r="D2495" s="33" t="s">
        <v>37</v>
      </c>
      <c r="E2495" s="34">
        <v>5</v>
      </c>
      <c r="F2495" s="35">
        <v>2935.56</v>
      </c>
      <c r="G2495" s="36">
        <v>0.51</v>
      </c>
      <c r="H2495" s="35">
        <f t="shared" si="80"/>
        <v>14677.8</v>
      </c>
      <c r="I2495" s="37">
        <v>45678</v>
      </c>
      <c r="J2495" s="33" t="s">
        <v>15</v>
      </c>
      <c r="K2495" s="33" t="s">
        <v>23</v>
      </c>
      <c r="L2495" s="38">
        <f t="shared" si="81"/>
        <v>7192.1219999999994</v>
      </c>
      <c r="M2495" s="38">
        <v>-410.86</v>
      </c>
      <c r="N2495" s="24">
        <f>_xlfn.XLOOKUP(Snitch_Fashion_Sales_cleaned!$J2495,Table2[City],Table2[City_Key],"not found")</f>
        <v>1</v>
      </c>
      <c r="O2495" s="23">
        <f>_xlfn.XLOOKUP(Snitch_Fashion_Sales_cleaned!$D2495,Table4[Product_Name],Table4[Product_Key],"not found")</f>
        <v>7</v>
      </c>
      <c r="P2495" s="32">
        <f>_xlfn.XLOOKUP(Snitch_Fashion_Sales_cleaned!$I2495,Table3[Order_Date],Table3[Date_Key])</f>
        <v>208</v>
      </c>
    </row>
    <row r="2496" spans="1:16" x14ac:dyDescent="0.3">
      <c r="A2496" s="27">
        <v>3494</v>
      </c>
      <c r="B2496" s="25" t="s">
        <v>2501</v>
      </c>
      <c r="C2496" s="25" t="s">
        <v>13</v>
      </c>
      <c r="D2496" s="26" t="s">
        <v>14</v>
      </c>
      <c r="E2496" s="27">
        <v>4</v>
      </c>
      <c r="F2496" s="28">
        <v>2366.6149999999998</v>
      </c>
      <c r="G2496" s="29">
        <v>0.51</v>
      </c>
      <c r="H2496" s="28">
        <f t="shared" si="80"/>
        <v>9466.4599999999991</v>
      </c>
      <c r="I2496" s="30">
        <v>45647</v>
      </c>
      <c r="J2496" s="26" t="s">
        <v>18</v>
      </c>
      <c r="K2496" s="26" t="s">
        <v>23</v>
      </c>
      <c r="L2496" s="31">
        <f t="shared" si="81"/>
        <v>4638.5653999999995</v>
      </c>
      <c r="M2496" s="31">
        <v>-219.82</v>
      </c>
      <c r="N2496" s="22">
        <f>_xlfn.XLOOKUP(Snitch_Fashion_Sales_cleaned!$J2496,Table2[City],Table2[City_Key],"not found")</f>
        <v>2</v>
      </c>
      <c r="O2496" s="21">
        <f>_xlfn.XLOOKUP(Snitch_Fashion_Sales_cleaned!$D2496,Table4[Product_Name],Table4[Product_Key],"not found")</f>
        <v>1</v>
      </c>
      <c r="P2496" s="25">
        <f>_xlfn.XLOOKUP(Snitch_Fashion_Sales_cleaned!$I2496,Table3[Order_Date],Table3[Date_Key])</f>
        <v>5</v>
      </c>
    </row>
    <row r="2497" spans="1:16" x14ac:dyDescent="0.3">
      <c r="A2497" s="34">
        <v>3495</v>
      </c>
      <c r="B2497" s="32" t="s">
        <v>2502</v>
      </c>
      <c r="C2497" s="32" t="s">
        <v>31</v>
      </c>
      <c r="D2497" s="33" t="s">
        <v>41</v>
      </c>
      <c r="E2497" s="34">
        <v>3</v>
      </c>
      <c r="F2497" s="35">
        <v>848.79</v>
      </c>
      <c r="G2497" s="36">
        <v>0.51</v>
      </c>
      <c r="H2497" s="35">
        <f t="shared" si="80"/>
        <v>2546.37</v>
      </c>
      <c r="I2497" s="37">
        <v>45647</v>
      </c>
      <c r="J2497" s="33" t="s">
        <v>22</v>
      </c>
      <c r="K2497" s="33" t="s">
        <v>23</v>
      </c>
      <c r="L2497" s="38">
        <f t="shared" si="81"/>
        <v>1247.7212999999999</v>
      </c>
      <c r="M2497" s="38">
        <v>311.93032499999998</v>
      </c>
      <c r="N2497" s="24">
        <f>_xlfn.XLOOKUP(Snitch_Fashion_Sales_cleaned!$J2497,Table2[City],Table2[City_Key],"not found")</f>
        <v>3</v>
      </c>
      <c r="O2497" s="23">
        <f>_xlfn.XLOOKUP(Snitch_Fashion_Sales_cleaned!$D2497,Table4[Product_Name],Table4[Product_Key],"not found")</f>
        <v>9</v>
      </c>
      <c r="P2497" s="32">
        <f>_xlfn.XLOOKUP(Snitch_Fashion_Sales_cleaned!$I2497,Table3[Order_Date],Table3[Date_Key])</f>
        <v>5</v>
      </c>
    </row>
    <row r="2498" spans="1:16" x14ac:dyDescent="0.3">
      <c r="A2498" s="27">
        <v>3496</v>
      </c>
      <c r="B2498" s="25" t="s">
        <v>2503</v>
      </c>
      <c r="C2498" s="25" t="s">
        <v>25</v>
      </c>
      <c r="D2498" s="26" t="s">
        <v>26</v>
      </c>
      <c r="E2498" s="27">
        <v>4</v>
      </c>
      <c r="F2498" s="28">
        <v>2933.45</v>
      </c>
      <c r="G2498" s="29">
        <v>0.51</v>
      </c>
      <c r="H2498" s="28">
        <f t="shared" si="80"/>
        <v>11733.8</v>
      </c>
      <c r="I2498" s="30">
        <v>45361</v>
      </c>
      <c r="J2498" s="26" t="s">
        <v>52</v>
      </c>
      <c r="K2498" s="26" t="s">
        <v>23</v>
      </c>
      <c r="L2498" s="31">
        <f t="shared" si="81"/>
        <v>5749.5619999999999</v>
      </c>
      <c r="M2498" s="31">
        <v>2232.98</v>
      </c>
      <c r="N2498" s="22">
        <f>_xlfn.XLOOKUP(Snitch_Fashion_Sales_cleaned!$J2498,Table2[City],Table2[City_Key],"not found")</f>
        <v>5</v>
      </c>
      <c r="O2498" s="21">
        <f>_xlfn.XLOOKUP(Snitch_Fashion_Sales_cleaned!$D2498,Table4[Product_Name],Table4[Product_Key],"not found")</f>
        <v>3</v>
      </c>
      <c r="P2498" s="25">
        <f>_xlfn.XLOOKUP(Snitch_Fashion_Sales_cleaned!$I2498,Table3[Order_Date],Table3[Date_Key])</f>
        <v>316</v>
      </c>
    </row>
    <row r="2499" spans="1:16" x14ac:dyDescent="0.3">
      <c r="A2499" s="34">
        <v>3497</v>
      </c>
      <c r="B2499" s="32" t="s">
        <v>2504</v>
      </c>
      <c r="C2499" s="32" t="s">
        <v>20</v>
      </c>
      <c r="D2499" s="33" t="s">
        <v>76</v>
      </c>
      <c r="E2499" s="34">
        <v>3</v>
      </c>
      <c r="F2499" s="35">
        <v>3389.24</v>
      </c>
      <c r="G2499" s="36">
        <v>0.51</v>
      </c>
      <c r="H2499" s="35">
        <f t="shared" ref="H2499:H2501" si="82">E2499*F2499</f>
        <v>10167.719999999999</v>
      </c>
      <c r="I2499" s="37">
        <v>45647</v>
      </c>
      <c r="J2499" s="33" t="s">
        <v>18</v>
      </c>
      <c r="K2499" s="33" t="s">
        <v>16</v>
      </c>
      <c r="L2499" s="38">
        <f t="shared" ref="L2499:L2501" si="83">H2499*(1-G2499)</f>
        <v>4982.1827999999996</v>
      </c>
      <c r="M2499" s="38">
        <v>1955.31</v>
      </c>
      <c r="N2499" s="24">
        <f>_xlfn.XLOOKUP(Snitch_Fashion_Sales_cleaned!$J2499,Table2[City],Table2[City_Key],"not found")</f>
        <v>2</v>
      </c>
      <c r="O2499" s="23">
        <f>_xlfn.XLOOKUP(Snitch_Fashion_Sales_cleaned!$D2499,Table4[Product_Name],Table4[Product_Key],"not found")</f>
        <v>16</v>
      </c>
      <c r="P2499" s="32">
        <f>_xlfn.XLOOKUP(Snitch_Fashion_Sales_cleaned!$I2499,Table3[Order_Date],Table3[Date_Key])</f>
        <v>5</v>
      </c>
    </row>
    <row r="2500" spans="1:16" x14ac:dyDescent="0.3">
      <c r="A2500" s="27">
        <v>3498</v>
      </c>
      <c r="B2500" s="25" t="s">
        <v>2505</v>
      </c>
      <c r="C2500" s="25" t="s">
        <v>13</v>
      </c>
      <c r="D2500" s="26" t="s">
        <v>46</v>
      </c>
      <c r="E2500" s="27">
        <v>5</v>
      </c>
      <c r="F2500" s="28">
        <v>3844.19</v>
      </c>
      <c r="G2500" s="29">
        <v>0.51</v>
      </c>
      <c r="H2500" s="28">
        <f t="shared" si="82"/>
        <v>19220.95</v>
      </c>
      <c r="I2500" s="30">
        <v>45497</v>
      </c>
      <c r="J2500" s="26" t="s">
        <v>52</v>
      </c>
      <c r="K2500" s="26" t="s">
        <v>23</v>
      </c>
      <c r="L2500" s="31">
        <f t="shared" si="83"/>
        <v>9418.2654999999995</v>
      </c>
      <c r="M2500" s="31">
        <v>2967</v>
      </c>
      <c r="N2500" s="22">
        <f>_xlfn.XLOOKUP(Snitch_Fashion_Sales_cleaned!$J2500,Table2[City],Table2[City_Key],"not found")</f>
        <v>5</v>
      </c>
      <c r="O2500" s="21">
        <f>_xlfn.XLOOKUP(Snitch_Fashion_Sales_cleaned!$D2500,Table4[Product_Name],Table4[Product_Key],"not found")</f>
        <v>10</v>
      </c>
      <c r="P2500" s="25">
        <f>_xlfn.XLOOKUP(Snitch_Fashion_Sales_cleaned!$I2500,Table3[Order_Date],Table3[Date_Key])</f>
        <v>449</v>
      </c>
    </row>
    <row r="2501" spans="1:16" x14ac:dyDescent="0.3">
      <c r="A2501" s="34">
        <v>3499</v>
      </c>
      <c r="B2501" s="32" t="s">
        <v>2506</v>
      </c>
      <c r="C2501" s="32" t="s">
        <v>31</v>
      </c>
      <c r="D2501" s="33" t="s">
        <v>78</v>
      </c>
      <c r="E2501" s="34">
        <v>6</v>
      </c>
      <c r="F2501" s="35">
        <v>1239.75</v>
      </c>
      <c r="G2501" s="36">
        <v>0.51</v>
      </c>
      <c r="H2501" s="35">
        <f t="shared" si="82"/>
        <v>7438.5</v>
      </c>
      <c r="I2501" s="37">
        <v>45647</v>
      </c>
      <c r="J2501" s="33" t="s">
        <v>22</v>
      </c>
      <c r="K2501" s="33" t="s">
        <v>16</v>
      </c>
      <c r="L2501" s="38">
        <f t="shared" si="83"/>
        <v>3644.8649999999998</v>
      </c>
      <c r="M2501" s="38">
        <v>715.15</v>
      </c>
      <c r="N2501" s="24">
        <f>_xlfn.XLOOKUP(Snitch_Fashion_Sales_cleaned!$J2501,Table2[City],Table2[City_Key],"not found")</f>
        <v>3</v>
      </c>
      <c r="O2501" s="23">
        <f>_xlfn.XLOOKUP(Snitch_Fashion_Sales_cleaned!$D2501,Table4[Product_Name],Table4[Product_Key],"not found")</f>
        <v>17</v>
      </c>
      <c r="P2501" s="32">
        <f>_xlfn.XLOOKUP(Snitch_Fashion_Sales_cleaned!$I2501,Table3[Order_Date],Table3[Date_Key])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B126-A3A3-46EE-95E1-19C773CA2C8A}">
  <dimension ref="A1:C25"/>
  <sheetViews>
    <sheetView workbookViewId="0">
      <selection activeCell="B3" sqref="B3"/>
    </sheetView>
  </sheetViews>
  <sheetFormatPr defaultRowHeight="14.4" x14ac:dyDescent="0.3"/>
  <cols>
    <col min="1" max="1" width="13.5546875" bestFit="1" customWidth="1"/>
    <col min="2" max="2" width="20.21875" bestFit="1" customWidth="1"/>
    <col min="3" max="3" width="17.88671875" bestFit="1" customWidth="1"/>
  </cols>
  <sheetData>
    <row r="1" spans="1:3" x14ac:dyDescent="0.3">
      <c r="A1" t="s">
        <v>2535</v>
      </c>
      <c r="B1" s="14" t="s">
        <v>2</v>
      </c>
      <c r="C1" s="14" t="s">
        <v>3</v>
      </c>
    </row>
    <row r="2" spans="1:3" x14ac:dyDescent="0.3">
      <c r="A2">
        <v>1</v>
      </c>
      <c r="B2" s="15" t="s">
        <v>13</v>
      </c>
      <c r="C2" s="17" t="s">
        <v>14</v>
      </c>
    </row>
    <row r="3" spans="1:3" x14ac:dyDescent="0.3">
      <c r="A3">
        <v>2</v>
      </c>
      <c r="B3" s="15" t="s">
        <v>20</v>
      </c>
      <c r="C3" s="17" t="s">
        <v>21</v>
      </c>
    </row>
    <row r="4" spans="1:3" x14ac:dyDescent="0.3">
      <c r="A4">
        <v>3</v>
      </c>
      <c r="B4" s="16" t="s">
        <v>25</v>
      </c>
      <c r="C4" s="18" t="s">
        <v>26</v>
      </c>
    </row>
    <row r="5" spans="1:3" x14ac:dyDescent="0.3">
      <c r="A5">
        <v>4</v>
      </c>
      <c r="B5" s="15" t="s">
        <v>28</v>
      </c>
      <c r="C5" s="17" t="s">
        <v>29</v>
      </c>
    </row>
    <row r="6" spans="1:3" x14ac:dyDescent="0.3">
      <c r="A6">
        <v>5</v>
      </c>
      <c r="B6" s="16" t="s">
        <v>31</v>
      </c>
      <c r="C6" s="18" t="s">
        <v>32</v>
      </c>
    </row>
    <row r="7" spans="1:3" x14ac:dyDescent="0.3">
      <c r="A7">
        <v>6</v>
      </c>
      <c r="B7" s="15" t="s">
        <v>13</v>
      </c>
      <c r="C7" s="17" t="s">
        <v>34</v>
      </c>
    </row>
    <row r="8" spans="1:3" x14ac:dyDescent="0.3">
      <c r="A8">
        <v>7</v>
      </c>
      <c r="B8" s="16" t="s">
        <v>36</v>
      </c>
      <c r="C8" s="18" t="s">
        <v>37</v>
      </c>
    </row>
    <row r="9" spans="1:3" x14ac:dyDescent="0.3">
      <c r="A9">
        <v>8</v>
      </c>
      <c r="B9" s="15" t="s">
        <v>28</v>
      </c>
      <c r="C9" s="17" t="s">
        <v>39</v>
      </c>
    </row>
    <row r="10" spans="1:3" x14ac:dyDescent="0.3">
      <c r="A10">
        <v>9</v>
      </c>
      <c r="B10" s="16" t="s">
        <v>31</v>
      </c>
      <c r="C10" s="18" t="s">
        <v>41</v>
      </c>
    </row>
    <row r="11" spans="1:3" x14ac:dyDescent="0.3">
      <c r="A11">
        <v>10</v>
      </c>
      <c r="B11" s="15" t="s">
        <v>13</v>
      </c>
      <c r="C11" s="17" t="s">
        <v>46</v>
      </c>
    </row>
    <row r="12" spans="1:3" x14ac:dyDescent="0.3">
      <c r="A12">
        <v>11</v>
      </c>
      <c r="B12" s="16" t="s">
        <v>25</v>
      </c>
      <c r="C12" s="18" t="s">
        <v>50</v>
      </c>
    </row>
    <row r="13" spans="1:3" x14ac:dyDescent="0.3">
      <c r="A13">
        <v>12</v>
      </c>
      <c r="B13" s="15" t="s">
        <v>36</v>
      </c>
      <c r="C13" s="17" t="s">
        <v>55</v>
      </c>
    </row>
    <row r="14" spans="1:3" x14ac:dyDescent="0.3">
      <c r="A14">
        <v>13</v>
      </c>
      <c r="B14" s="16" t="s">
        <v>36</v>
      </c>
      <c r="C14" s="18" t="s">
        <v>59</v>
      </c>
    </row>
    <row r="15" spans="1:3" x14ac:dyDescent="0.3">
      <c r="A15">
        <v>14</v>
      </c>
      <c r="B15" s="16" t="s">
        <v>25</v>
      </c>
      <c r="C15" s="18" t="s">
        <v>62</v>
      </c>
    </row>
    <row r="16" spans="1:3" x14ac:dyDescent="0.3">
      <c r="A16">
        <v>15</v>
      </c>
      <c r="B16" s="15" t="s">
        <v>31</v>
      </c>
      <c r="C16" s="17" t="s">
        <v>68</v>
      </c>
    </row>
    <row r="17" spans="1:3" x14ac:dyDescent="0.3">
      <c r="A17">
        <v>16</v>
      </c>
      <c r="B17" s="16" t="s">
        <v>20</v>
      </c>
      <c r="C17" s="18" t="s">
        <v>76</v>
      </c>
    </row>
    <row r="18" spans="1:3" x14ac:dyDescent="0.3">
      <c r="A18">
        <v>17</v>
      </c>
      <c r="B18" s="15" t="s">
        <v>31</v>
      </c>
      <c r="C18" s="17" t="s">
        <v>78</v>
      </c>
    </row>
    <row r="19" spans="1:3" x14ac:dyDescent="0.3">
      <c r="A19">
        <v>18</v>
      </c>
      <c r="B19" s="16" t="s">
        <v>25</v>
      </c>
      <c r="C19" s="18" t="s">
        <v>82</v>
      </c>
    </row>
    <row r="20" spans="1:3" x14ac:dyDescent="0.3">
      <c r="A20">
        <v>19</v>
      </c>
      <c r="B20" s="15" t="s">
        <v>20</v>
      </c>
      <c r="C20" s="17" t="s">
        <v>84</v>
      </c>
    </row>
    <row r="21" spans="1:3" x14ac:dyDescent="0.3">
      <c r="A21">
        <v>20</v>
      </c>
      <c r="B21" s="15" t="s">
        <v>36</v>
      </c>
      <c r="C21" s="17" t="s">
        <v>87</v>
      </c>
    </row>
    <row r="22" spans="1:3" x14ac:dyDescent="0.3">
      <c r="A22">
        <v>21</v>
      </c>
      <c r="B22" s="15" t="s">
        <v>13</v>
      </c>
      <c r="C22" s="17" t="s">
        <v>98</v>
      </c>
    </row>
    <row r="23" spans="1:3" x14ac:dyDescent="0.3">
      <c r="A23">
        <v>22</v>
      </c>
      <c r="B23" s="16" t="s">
        <v>28</v>
      </c>
      <c r="C23" s="18" t="s">
        <v>116</v>
      </c>
    </row>
    <row r="24" spans="1:3" x14ac:dyDescent="0.3">
      <c r="A24">
        <v>23</v>
      </c>
      <c r="B24" s="15" t="s">
        <v>20</v>
      </c>
      <c r="C24" s="17" t="s">
        <v>118</v>
      </c>
    </row>
    <row r="25" spans="1:3" x14ac:dyDescent="0.3">
      <c r="A25">
        <v>24</v>
      </c>
      <c r="B25" s="15" t="s">
        <v>28</v>
      </c>
      <c r="C25" s="17" t="s">
        <v>137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C943-6880-463B-846A-DEBED53E779B}">
  <dimension ref="A1:E563"/>
  <sheetViews>
    <sheetView workbookViewId="0">
      <selection sqref="A1:E563"/>
    </sheetView>
  </sheetViews>
  <sheetFormatPr defaultRowHeight="14.4" x14ac:dyDescent="0.3"/>
  <cols>
    <col min="1" max="1" width="10.5546875" customWidth="1"/>
    <col min="2" max="2" width="12.33203125" customWidth="1"/>
    <col min="5" max="5" width="15.5546875" customWidth="1"/>
  </cols>
  <sheetData>
    <row r="1" spans="1:5" x14ac:dyDescent="0.3">
      <c r="A1" t="s">
        <v>2536</v>
      </c>
      <c r="B1" t="s">
        <v>8</v>
      </c>
      <c r="C1" t="s">
        <v>2537</v>
      </c>
      <c r="D1" t="s">
        <v>2532</v>
      </c>
      <c r="E1" t="s">
        <v>2538</v>
      </c>
    </row>
    <row r="2" spans="1:5" x14ac:dyDescent="0.3">
      <c r="A2">
        <v>1</v>
      </c>
      <c r="B2" s="19">
        <v>45715</v>
      </c>
      <c r="C2">
        <f>YEAR(B2)</f>
        <v>2025</v>
      </c>
      <c r="D2" t="str">
        <f>TEXT(B2,"mmmm")</f>
        <v>February</v>
      </c>
      <c r="E2">
        <f>MONTH(B2)</f>
        <v>2</v>
      </c>
    </row>
    <row r="3" spans="1:5" x14ac:dyDescent="0.3">
      <c r="A3">
        <v>2</v>
      </c>
      <c r="B3" s="20">
        <v>45853</v>
      </c>
      <c r="C3">
        <f t="shared" ref="C3:C66" si="0">YEAR(B3)</f>
        <v>2025</v>
      </c>
      <c r="D3" t="str">
        <f t="shared" ref="D3:D66" si="1">TEXT(B3,"mmmm")</f>
        <v>July</v>
      </c>
      <c r="E3">
        <f t="shared" ref="E3:E66" si="2">MONTH(B3)</f>
        <v>7</v>
      </c>
    </row>
    <row r="4" spans="1:5" x14ac:dyDescent="0.3">
      <c r="A4">
        <v>3</v>
      </c>
      <c r="B4" s="19">
        <v>45659</v>
      </c>
      <c r="C4">
        <f t="shared" si="0"/>
        <v>2025</v>
      </c>
      <c r="D4" t="str">
        <f t="shared" si="1"/>
        <v>January</v>
      </c>
      <c r="E4">
        <f t="shared" si="2"/>
        <v>1</v>
      </c>
    </row>
    <row r="5" spans="1:5" x14ac:dyDescent="0.3">
      <c r="A5">
        <v>4</v>
      </c>
      <c r="B5" s="20">
        <v>45826</v>
      </c>
      <c r="C5">
        <f t="shared" si="0"/>
        <v>2025</v>
      </c>
      <c r="D5" t="str">
        <f t="shared" si="1"/>
        <v>June</v>
      </c>
      <c r="E5">
        <f t="shared" si="2"/>
        <v>6</v>
      </c>
    </row>
    <row r="6" spans="1:5" x14ac:dyDescent="0.3">
      <c r="A6">
        <v>5</v>
      </c>
      <c r="B6" s="19">
        <v>45647</v>
      </c>
      <c r="C6">
        <f t="shared" si="0"/>
        <v>2024</v>
      </c>
      <c r="D6" t="str">
        <f t="shared" si="1"/>
        <v>December</v>
      </c>
      <c r="E6">
        <f t="shared" si="2"/>
        <v>12</v>
      </c>
    </row>
    <row r="7" spans="1:5" x14ac:dyDescent="0.3">
      <c r="A7">
        <v>6</v>
      </c>
      <c r="B7" s="20">
        <v>45265</v>
      </c>
      <c r="C7">
        <f t="shared" si="0"/>
        <v>2023</v>
      </c>
      <c r="D7" t="str">
        <f t="shared" si="1"/>
        <v>December</v>
      </c>
      <c r="E7">
        <f t="shared" si="2"/>
        <v>12</v>
      </c>
    </row>
    <row r="8" spans="1:5" x14ac:dyDescent="0.3">
      <c r="A8">
        <v>7</v>
      </c>
      <c r="B8" s="19">
        <v>45384</v>
      </c>
      <c r="C8">
        <f t="shared" si="0"/>
        <v>2024</v>
      </c>
      <c r="D8" t="str">
        <f t="shared" si="1"/>
        <v>April</v>
      </c>
      <c r="E8">
        <f t="shared" si="2"/>
        <v>4</v>
      </c>
    </row>
    <row r="9" spans="1:5" x14ac:dyDescent="0.3">
      <c r="A9">
        <v>8</v>
      </c>
      <c r="B9" s="20">
        <v>45858</v>
      </c>
      <c r="C9">
        <f t="shared" si="0"/>
        <v>2025</v>
      </c>
      <c r="D9" t="str">
        <f t="shared" si="1"/>
        <v>July</v>
      </c>
      <c r="E9">
        <f t="shared" si="2"/>
        <v>7</v>
      </c>
    </row>
    <row r="10" spans="1:5" x14ac:dyDescent="0.3">
      <c r="A10">
        <v>9</v>
      </c>
      <c r="B10" s="20">
        <v>45804</v>
      </c>
      <c r="C10">
        <f t="shared" si="0"/>
        <v>2025</v>
      </c>
      <c r="D10" t="str">
        <f t="shared" si="1"/>
        <v>May</v>
      </c>
      <c r="E10">
        <f t="shared" si="2"/>
        <v>5</v>
      </c>
    </row>
    <row r="11" spans="1:5" x14ac:dyDescent="0.3">
      <c r="A11">
        <v>10</v>
      </c>
      <c r="B11" s="19">
        <v>45526</v>
      </c>
      <c r="C11">
        <f t="shared" si="0"/>
        <v>2024</v>
      </c>
      <c r="D11" t="str">
        <f t="shared" si="1"/>
        <v>August</v>
      </c>
      <c r="E11">
        <f t="shared" si="2"/>
        <v>8</v>
      </c>
    </row>
    <row r="12" spans="1:5" x14ac:dyDescent="0.3">
      <c r="A12">
        <v>11</v>
      </c>
      <c r="B12" s="19">
        <v>45556</v>
      </c>
      <c r="C12">
        <f t="shared" si="0"/>
        <v>2024</v>
      </c>
      <c r="D12" t="str">
        <f t="shared" si="1"/>
        <v>September</v>
      </c>
      <c r="E12">
        <f t="shared" si="2"/>
        <v>9</v>
      </c>
    </row>
    <row r="13" spans="1:5" x14ac:dyDescent="0.3">
      <c r="A13">
        <v>12</v>
      </c>
      <c r="B13" s="19">
        <v>45591</v>
      </c>
      <c r="C13">
        <f t="shared" si="0"/>
        <v>2024</v>
      </c>
      <c r="D13" t="str">
        <f t="shared" si="1"/>
        <v>October</v>
      </c>
      <c r="E13">
        <f t="shared" si="2"/>
        <v>10</v>
      </c>
    </row>
    <row r="14" spans="1:5" x14ac:dyDescent="0.3">
      <c r="A14">
        <v>13</v>
      </c>
      <c r="B14" s="19">
        <v>45395</v>
      </c>
      <c r="C14">
        <f t="shared" si="0"/>
        <v>2024</v>
      </c>
      <c r="D14" t="str">
        <f t="shared" si="1"/>
        <v>April</v>
      </c>
      <c r="E14">
        <f t="shared" si="2"/>
        <v>4</v>
      </c>
    </row>
    <row r="15" spans="1:5" x14ac:dyDescent="0.3">
      <c r="A15">
        <v>14</v>
      </c>
      <c r="B15" s="20">
        <v>45587</v>
      </c>
      <c r="C15">
        <f t="shared" si="0"/>
        <v>2024</v>
      </c>
      <c r="D15" t="str">
        <f t="shared" si="1"/>
        <v>October</v>
      </c>
      <c r="E15">
        <f t="shared" si="2"/>
        <v>10</v>
      </c>
    </row>
    <row r="16" spans="1:5" x14ac:dyDescent="0.3">
      <c r="A16">
        <v>15</v>
      </c>
      <c r="B16" s="19">
        <v>45735</v>
      </c>
      <c r="C16">
        <f t="shared" si="0"/>
        <v>2025</v>
      </c>
      <c r="D16" t="str">
        <f t="shared" si="1"/>
        <v>March</v>
      </c>
      <c r="E16">
        <f t="shared" si="2"/>
        <v>3</v>
      </c>
    </row>
    <row r="17" spans="1:5" x14ac:dyDescent="0.3">
      <c r="A17">
        <v>16</v>
      </c>
      <c r="B17" s="20">
        <v>45417</v>
      </c>
      <c r="C17">
        <f t="shared" si="0"/>
        <v>2024</v>
      </c>
      <c r="D17" t="str">
        <f t="shared" si="1"/>
        <v>May</v>
      </c>
      <c r="E17">
        <f t="shared" si="2"/>
        <v>5</v>
      </c>
    </row>
    <row r="18" spans="1:5" x14ac:dyDescent="0.3">
      <c r="A18">
        <v>17</v>
      </c>
      <c r="B18" s="19">
        <v>45707</v>
      </c>
      <c r="C18">
        <f t="shared" si="0"/>
        <v>2025</v>
      </c>
      <c r="D18" t="str">
        <f t="shared" si="1"/>
        <v>February</v>
      </c>
      <c r="E18">
        <f t="shared" si="2"/>
        <v>2</v>
      </c>
    </row>
    <row r="19" spans="1:5" x14ac:dyDescent="0.3">
      <c r="A19">
        <v>18</v>
      </c>
      <c r="B19" s="20">
        <v>45856</v>
      </c>
      <c r="C19">
        <f t="shared" si="0"/>
        <v>2025</v>
      </c>
      <c r="D19" t="str">
        <f t="shared" si="1"/>
        <v>July</v>
      </c>
      <c r="E19">
        <f t="shared" si="2"/>
        <v>7</v>
      </c>
    </row>
    <row r="20" spans="1:5" x14ac:dyDescent="0.3">
      <c r="A20">
        <v>19</v>
      </c>
      <c r="B20" s="19">
        <v>45172</v>
      </c>
      <c r="C20">
        <f t="shared" si="0"/>
        <v>2023</v>
      </c>
      <c r="D20" t="str">
        <f t="shared" si="1"/>
        <v>September</v>
      </c>
      <c r="E20">
        <f t="shared" si="2"/>
        <v>9</v>
      </c>
    </row>
    <row r="21" spans="1:5" x14ac:dyDescent="0.3">
      <c r="A21">
        <v>20</v>
      </c>
      <c r="B21" s="20">
        <v>45688</v>
      </c>
      <c r="C21">
        <f t="shared" si="0"/>
        <v>2025</v>
      </c>
      <c r="D21" t="str">
        <f t="shared" si="1"/>
        <v>January</v>
      </c>
      <c r="E21">
        <f t="shared" si="2"/>
        <v>1</v>
      </c>
    </row>
    <row r="22" spans="1:5" x14ac:dyDescent="0.3">
      <c r="A22">
        <v>21</v>
      </c>
      <c r="B22" s="19">
        <v>45682</v>
      </c>
      <c r="C22">
        <f t="shared" si="0"/>
        <v>2025</v>
      </c>
      <c r="D22" t="str">
        <f t="shared" si="1"/>
        <v>January</v>
      </c>
      <c r="E22">
        <f t="shared" si="2"/>
        <v>1</v>
      </c>
    </row>
    <row r="23" spans="1:5" x14ac:dyDescent="0.3">
      <c r="A23">
        <v>22</v>
      </c>
      <c r="B23" s="20">
        <v>45609</v>
      </c>
      <c r="C23">
        <f t="shared" si="0"/>
        <v>2024</v>
      </c>
      <c r="D23" t="str">
        <f t="shared" si="1"/>
        <v>November</v>
      </c>
      <c r="E23">
        <f t="shared" si="2"/>
        <v>11</v>
      </c>
    </row>
    <row r="24" spans="1:5" x14ac:dyDescent="0.3">
      <c r="A24">
        <v>23</v>
      </c>
      <c r="B24" s="19">
        <v>45851</v>
      </c>
      <c r="C24">
        <f t="shared" si="0"/>
        <v>2025</v>
      </c>
      <c r="D24" t="str">
        <f t="shared" si="1"/>
        <v>July</v>
      </c>
      <c r="E24">
        <f t="shared" si="2"/>
        <v>7</v>
      </c>
    </row>
    <row r="25" spans="1:5" x14ac:dyDescent="0.3">
      <c r="A25">
        <v>24</v>
      </c>
      <c r="B25" s="19">
        <v>45388</v>
      </c>
      <c r="C25">
        <f t="shared" si="0"/>
        <v>2024</v>
      </c>
      <c r="D25" t="str">
        <f t="shared" si="1"/>
        <v>April</v>
      </c>
      <c r="E25">
        <f t="shared" si="2"/>
        <v>4</v>
      </c>
    </row>
    <row r="26" spans="1:5" x14ac:dyDescent="0.3">
      <c r="A26">
        <v>25</v>
      </c>
      <c r="B26" s="19">
        <v>45311</v>
      </c>
      <c r="C26">
        <f t="shared" si="0"/>
        <v>2024</v>
      </c>
      <c r="D26" t="str">
        <f t="shared" si="1"/>
        <v>January</v>
      </c>
      <c r="E26">
        <f t="shared" si="2"/>
        <v>1</v>
      </c>
    </row>
    <row r="27" spans="1:5" x14ac:dyDescent="0.3">
      <c r="A27">
        <v>26</v>
      </c>
      <c r="B27" s="20">
        <v>45797</v>
      </c>
      <c r="C27">
        <f t="shared" si="0"/>
        <v>2025</v>
      </c>
      <c r="D27" t="str">
        <f t="shared" si="1"/>
        <v>May</v>
      </c>
      <c r="E27">
        <f t="shared" si="2"/>
        <v>5</v>
      </c>
    </row>
    <row r="28" spans="1:5" x14ac:dyDescent="0.3">
      <c r="A28">
        <v>27</v>
      </c>
      <c r="B28" s="19">
        <v>45611</v>
      </c>
      <c r="C28">
        <f t="shared" si="0"/>
        <v>2024</v>
      </c>
      <c r="D28" t="str">
        <f t="shared" si="1"/>
        <v>November</v>
      </c>
      <c r="E28">
        <f t="shared" si="2"/>
        <v>11</v>
      </c>
    </row>
    <row r="29" spans="1:5" x14ac:dyDescent="0.3">
      <c r="A29">
        <v>28</v>
      </c>
      <c r="B29" s="20">
        <v>45723</v>
      </c>
      <c r="C29">
        <f t="shared" si="0"/>
        <v>2025</v>
      </c>
      <c r="D29" t="str">
        <f t="shared" si="1"/>
        <v>March</v>
      </c>
      <c r="E29">
        <f t="shared" si="2"/>
        <v>3</v>
      </c>
    </row>
    <row r="30" spans="1:5" x14ac:dyDescent="0.3">
      <c r="A30">
        <v>29</v>
      </c>
      <c r="B30" s="19">
        <v>45759</v>
      </c>
      <c r="C30">
        <f t="shared" si="0"/>
        <v>2025</v>
      </c>
      <c r="D30" t="str">
        <f t="shared" si="1"/>
        <v>April</v>
      </c>
      <c r="E30">
        <f t="shared" si="2"/>
        <v>4</v>
      </c>
    </row>
    <row r="31" spans="1:5" x14ac:dyDescent="0.3">
      <c r="A31">
        <v>30</v>
      </c>
      <c r="B31" s="20">
        <v>45752</v>
      </c>
      <c r="C31">
        <f t="shared" si="0"/>
        <v>2025</v>
      </c>
      <c r="D31" t="str">
        <f t="shared" si="1"/>
        <v>April</v>
      </c>
      <c r="E31">
        <f t="shared" si="2"/>
        <v>4</v>
      </c>
    </row>
    <row r="32" spans="1:5" x14ac:dyDescent="0.3">
      <c r="A32">
        <v>31</v>
      </c>
      <c r="B32" s="19">
        <v>45547</v>
      </c>
      <c r="C32">
        <f t="shared" si="0"/>
        <v>2024</v>
      </c>
      <c r="D32" t="str">
        <f t="shared" si="1"/>
        <v>September</v>
      </c>
      <c r="E32">
        <f t="shared" si="2"/>
        <v>9</v>
      </c>
    </row>
    <row r="33" spans="1:5" x14ac:dyDescent="0.3">
      <c r="A33">
        <v>32</v>
      </c>
      <c r="B33" s="20">
        <v>45698</v>
      </c>
      <c r="C33">
        <f t="shared" si="0"/>
        <v>2025</v>
      </c>
      <c r="D33" t="str">
        <f t="shared" si="1"/>
        <v>February</v>
      </c>
      <c r="E33">
        <f t="shared" si="2"/>
        <v>2</v>
      </c>
    </row>
    <row r="34" spans="1:5" x14ac:dyDescent="0.3">
      <c r="A34">
        <v>33</v>
      </c>
      <c r="B34" s="20">
        <v>45820</v>
      </c>
      <c r="C34">
        <f t="shared" si="0"/>
        <v>2025</v>
      </c>
      <c r="D34" t="str">
        <f t="shared" si="1"/>
        <v>June</v>
      </c>
      <c r="E34">
        <f t="shared" si="2"/>
        <v>6</v>
      </c>
    </row>
    <row r="35" spans="1:5" x14ac:dyDescent="0.3">
      <c r="A35">
        <v>34</v>
      </c>
      <c r="B35" s="19">
        <v>45581</v>
      </c>
      <c r="C35">
        <f t="shared" si="0"/>
        <v>2024</v>
      </c>
      <c r="D35" t="str">
        <f t="shared" si="1"/>
        <v>October</v>
      </c>
      <c r="E35">
        <f t="shared" si="2"/>
        <v>10</v>
      </c>
    </row>
    <row r="36" spans="1:5" x14ac:dyDescent="0.3">
      <c r="A36">
        <v>35</v>
      </c>
      <c r="B36" s="19">
        <v>45846</v>
      </c>
      <c r="C36">
        <f t="shared" si="0"/>
        <v>2025</v>
      </c>
      <c r="D36" t="str">
        <f t="shared" si="1"/>
        <v>July</v>
      </c>
      <c r="E36">
        <f t="shared" si="2"/>
        <v>7</v>
      </c>
    </row>
    <row r="37" spans="1:5" x14ac:dyDescent="0.3">
      <c r="A37">
        <v>36</v>
      </c>
      <c r="B37" s="20">
        <v>45773</v>
      </c>
      <c r="C37">
        <f t="shared" si="0"/>
        <v>2025</v>
      </c>
      <c r="D37" t="str">
        <f t="shared" si="1"/>
        <v>April</v>
      </c>
      <c r="E37">
        <f t="shared" si="2"/>
        <v>4</v>
      </c>
    </row>
    <row r="38" spans="1:5" x14ac:dyDescent="0.3">
      <c r="A38">
        <v>37</v>
      </c>
      <c r="B38" s="19">
        <v>45268</v>
      </c>
      <c r="C38">
        <f t="shared" si="0"/>
        <v>2023</v>
      </c>
      <c r="D38" t="str">
        <f t="shared" si="1"/>
        <v>December</v>
      </c>
      <c r="E38">
        <f t="shared" si="2"/>
        <v>12</v>
      </c>
    </row>
    <row r="39" spans="1:5" x14ac:dyDescent="0.3">
      <c r="A39">
        <v>38</v>
      </c>
      <c r="B39" s="20">
        <v>45859</v>
      </c>
      <c r="C39">
        <f t="shared" si="0"/>
        <v>2025</v>
      </c>
      <c r="D39" t="str">
        <f t="shared" si="1"/>
        <v>July</v>
      </c>
      <c r="E39">
        <f t="shared" si="2"/>
        <v>7</v>
      </c>
    </row>
    <row r="40" spans="1:5" x14ac:dyDescent="0.3">
      <c r="A40">
        <v>39</v>
      </c>
      <c r="B40" s="19">
        <v>45700</v>
      </c>
      <c r="C40">
        <f t="shared" si="0"/>
        <v>2025</v>
      </c>
      <c r="D40" t="str">
        <f t="shared" si="1"/>
        <v>February</v>
      </c>
      <c r="E40">
        <f t="shared" si="2"/>
        <v>2</v>
      </c>
    </row>
    <row r="41" spans="1:5" x14ac:dyDescent="0.3">
      <c r="A41">
        <v>40</v>
      </c>
      <c r="B41" s="20">
        <v>45353</v>
      </c>
      <c r="C41">
        <f t="shared" si="0"/>
        <v>2024</v>
      </c>
      <c r="D41" t="str">
        <f t="shared" si="1"/>
        <v>March</v>
      </c>
      <c r="E41">
        <f t="shared" si="2"/>
        <v>3</v>
      </c>
    </row>
    <row r="42" spans="1:5" x14ac:dyDescent="0.3">
      <c r="A42">
        <v>41</v>
      </c>
      <c r="B42" s="19">
        <v>45849</v>
      </c>
      <c r="C42">
        <f t="shared" si="0"/>
        <v>2025</v>
      </c>
      <c r="D42" t="str">
        <f t="shared" si="1"/>
        <v>July</v>
      </c>
      <c r="E42">
        <f t="shared" si="2"/>
        <v>7</v>
      </c>
    </row>
    <row r="43" spans="1:5" x14ac:dyDescent="0.3">
      <c r="A43">
        <v>42</v>
      </c>
      <c r="B43" s="20">
        <v>45649</v>
      </c>
      <c r="C43">
        <f t="shared" si="0"/>
        <v>2024</v>
      </c>
      <c r="D43" t="str">
        <f t="shared" si="1"/>
        <v>December</v>
      </c>
      <c r="E43">
        <f t="shared" si="2"/>
        <v>12</v>
      </c>
    </row>
    <row r="44" spans="1:5" x14ac:dyDescent="0.3">
      <c r="A44">
        <v>43</v>
      </c>
      <c r="B44" s="19">
        <v>45518</v>
      </c>
      <c r="C44">
        <f t="shared" si="0"/>
        <v>2024</v>
      </c>
      <c r="D44" t="str">
        <f t="shared" si="1"/>
        <v>August</v>
      </c>
      <c r="E44">
        <f t="shared" si="2"/>
        <v>8</v>
      </c>
    </row>
    <row r="45" spans="1:5" x14ac:dyDescent="0.3">
      <c r="A45">
        <v>44</v>
      </c>
      <c r="B45" s="19">
        <v>45852</v>
      </c>
      <c r="C45">
        <f t="shared" si="0"/>
        <v>2025</v>
      </c>
      <c r="D45" t="str">
        <f t="shared" si="1"/>
        <v>July</v>
      </c>
      <c r="E45">
        <f t="shared" si="2"/>
        <v>7</v>
      </c>
    </row>
    <row r="46" spans="1:5" x14ac:dyDescent="0.3">
      <c r="A46">
        <v>45</v>
      </c>
      <c r="B46" s="20">
        <v>45601</v>
      </c>
      <c r="C46">
        <f t="shared" si="0"/>
        <v>2024</v>
      </c>
      <c r="D46" t="str">
        <f t="shared" si="1"/>
        <v>November</v>
      </c>
      <c r="E46">
        <f t="shared" si="2"/>
        <v>11</v>
      </c>
    </row>
    <row r="47" spans="1:5" x14ac:dyDescent="0.3">
      <c r="A47">
        <v>46</v>
      </c>
      <c r="B47" s="20">
        <v>45836</v>
      </c>
      <c r="C47">
        <f t="shared" si="0"/>
        <v>2025</v>
      </c>
      <c r="D47" t="str">
        <f t="shared" si="1"/>
        <v>June</v>
      </c>
      <c r="E47">
        <f t="shared" si="2"/>
        <v>6</v>
      </c>
    </row>
    <row r="48" spans="1:5" x14ac:dyDescent="0.3">
      <c r="A48">
        <v>47</v>
      </c>
      <c r="B48" s="20">
        <v>45440</v>
      </c>
      <c r="C48">
        <f t="shared" si="0"/>
        <v>2024</v>
      </c>
      <c r="D48" t="str">
        <f t="shared" si="1"/>
        <v>May</v>
      </c>
      <c r="E48">
        <f t="shared" si="2"/>
        <v>5</v>
      </c>
    </row>
    <row r="49" spans="1:5" x14ac:dyDescent="0.3">
      <c r="A49">
        <v>48</v>
      </c>
      <c r="B49" s="19">
        <v>45672</v>
      </c>
      <c r="C49">
        <f t="shared" si="0"/>
        <v>2025</v>
      </c>
      <c r="D49" t="str">
        <f t="shared" si="1"/>
        <v>January</v>
      </c>
      <c r="E49">
        <f t="shared" si="2"/>
        <v>1</v>
      </c>
    </row>
    <row r="50" spans="1:5" x14ac:dyDescent="0.3">
      <c r="A50">
        <v>49</v>
      </c>
      <c r="B50" s="20">
        <v>45838</v>
      </c>
      <c r="C50">
        <f t="shared" si="0"/>
        <v>2025</v>
      </c>
      <c r="D50" t="str">
        <f t="shared" si="1"/>
        <v>June</v>
      </c>
      <c r="E50">
        <f t="shared" si="2"/>
        <v>6</v>
      </c>
    </row>
    <row r="51" spans="1:5" x14ac:dyDescent="0.3">
      <c r="A51">
        <v>50</v>
      </c>
      <c r="B51" s="20">
        <v>45362</v>
      </c>
      <c r="C51">
        <f t="shared" si="0"/>
        <v>2024</v>
      </c>
      <c r="D51" t="str">
        <f t="shared" si="1"/>
        <v>March</v>
      </c>
      <c r="E51">
        <f t="shared" si="2"/>
        <v>3</v>
      </c>
    </row>
    <row r="52" spans="1:5" x14ac:dyDescent="0.3">
      <c r="A52">
        <v>51</v>
      </c>
      <c r="B52" s="19">
        <v>45753</v>
      </c>
      <c r="C52">
        <f t="shared" si="0"/>
        <v>2025</v>
      </c>
      <c r="D52" t="str">
        <f t="shared" si="1"/>
        <v>April</v>
      </c>
      <c r="E52">
        <f t="shared" si="2"/>
        <v>4</v>
      </c>
    </row>
    <row r="53" spans="1:5" x14ac:dyDescent="0.3">
      <c r="A53">
        <v>52</v>
      </c>
      <c r="B53" s="19">
        <v>45664</v>
      </c>
      <c r="C53">
        <f t="shared" si="0"/>
        <v>2025</v>
      </c>
      <c r="D53" t="str">
        <f t="shared" si="1"/>
        <v>January</v>
      </c>
      <c r="E53">
        <f t="shared" si="2"/>
        <v>1</v>
      </c>
    </row>
    <row r="54" spans="1:5" x14ac:dyDescent="0.3">
      <c r="A54">
        <v>53</v>
      </c>
      <c r="B54" s="20">
        <v>45555</v>
      </c>
      <c r="C54">
        <f t="shared" si="0"/>
        <v>2024</v>
      </c>
      <c r="D54" t="str">
        <f t="shared" si="1"/>
        <v>September</v>
      </c>
      <c r="E54">
        <f t="shared" si="2"/>
        <v>9</v>
      </c>
    </row>
    <row r="55" spans="1:5" x14ac:dyDescent="0.3">
      <c r="A55">
        <v>54</v>
      </c>
      <c r="B55" s="19">
        <v>45701</v>
      </c>
      <c r="C55">
        <f t="shared" si="0"/>
        <v>2025</v>
      </c>
      <c r="D55" t="str">
        <f t="shared" si="1"/>
        <v>February</v>
      </c>
      <c r="E55">
        <f t="shared" si="2"/>
        <v>2</v>
      </c>
    </row>
    <row r="56" spans="1:5" x14ac:dyDescent="0.3">
      <c r="A56">
        <v>55</v>
      </c>
      <c r="B56" s="19">
        <v>45650</v>
      </c>
      <c r="C56">
        <f t="shared" si="0"/>
        <v>2024</v>
      </c>
      <c r="D56" t="str">
        <f t="shared" si="1"/>
        <v>December</v>
      </c>
      <c r="E56">
        <f t="shared" si="2"/>
        <v>12</v>
      </c>
    </row>
    <row r="57" spans="1:5" x14ac:dyDescent="0.3">
      <c r="A57">
        <v>56</v>
      </c>
      <c r="B57" s="20">
        <v>45217</v>
      </c>
      <c r="C57">
        <f t="shared" si="0"/>
        <v>2023</v>
      </c>
      <c r="D57" t="str">
        <f t="shared" si="1"/>
        <v>October</v>
      </c>
      <c r="E57">
        <f t="shared" si="2"/>
        <v>10</v>
      </c>
    </row>
    <row r="58" spans="1:5" x14ac:dyDescent="0.3">
      <c r="A58">
        <v>57</v>
      </c>
      <c r="B58" s="19">
        <v>45732</v>
      </c>
      <c r="C58">
        <f t="shared" si="0"/>
        <v>2025</v>
      </c>
      <c r="D58" t="str">
        <f t="shared" si="1"/>
        <v>March</v>
      </c>
      <c r="E58">
        <f t="shared" si="2"/>
        <v>3</v>
      </c>
    </row>
    <row r="59" spans="1:5" x14ac:dyDescent="0.3">
      <c r="A59">
        <v>58</v>
      </c>
      <c r="B59" s="19">
        <v>45785</v>
      </c>
      <c r="C59">
        <f t="shared" si="0"/>
        <v>2025</v>
      </c>
      <c r="D59" t="str">
        <f t="shared" si="1"/>
        <v>May</v>
      </c>
      <c r="E59">
        <f t="shared" si="2"/>
        <v>5</v>
      </c>
    </row>
    <row r="60" spans="1:5" x14ac:dyDescent="0.3">
      <c r="A60">
        <v>59</v>
      </c>
      <c r="B60" s="20">
        <v>45710</v>
      </c>
      <c r="C60">
        <f t="shared" si="0"/>
        <v>2025</v>
      </c>
      <c r="D60" t="str">
        <f t="shared" si="1"/>
        <v>February</v>
      </c>
      <c r="E60">
        <f t="shared" si="2"/>
        <v>2</v>
      </c>
    </row>
    <row r="61" spans="1:5" x14ac:dyDescent="0.3">
      <c r="A61">
        <v>60</v>
      </c>
      <c r="B61" s="19">
        <v>45605</v>
      </c>
      <c r="C61">
        <f t="shared" si="0"/>
        <v>2024</v>
      </c>
      <c r="D61" t="str">
        <f t="shared" si="1"/>
        <v>November</v>
      </c>
      <c r="E61">
        <f t="shared" si="2"/>
        <v>11</v>
      </c>
    </row>
    <row r="62" spans="1:5" x14ac:dyDescent="0.3">
      <c r="A62">
        <v>61</v>
      </c>
      <c r="B62" s="20">
        <v>45135</v>
      </c>
      <c r="C62">
        <f t="shared" si="0"/>
        <v>2023</v>
      </c>
      <c r="D62" t="str">
        <f t="shared" si="1"/>
        <v>July</v>
      </c>
      <c r="E62">
        <f t="shared" si="2"/>
        <v>7</v>
      </c>
    </row>
    <row r="63" spans="1:5" x14ac:dyDescent="0.3">
      <c r="A63">
        <v>62</v>
      </c>
      <c r="B63" s="20">
        <v>45629</v>
      </c>
      <c r="C63">
        <f t="shared" si="0"/>
        <v>2024</v>
      </c>
      <c r="D63" t="str">
        <f t="shared" si="1"/>
        <v>December</v>
      </c>
      <c r="E63">
        <f t="shared" si="2"/>
        <v>12</v>
      </c>
    </row>
    <row r="64" spans="1:5" x14ac:dyDescent="0.3">
      <c r="A64">
        <v>63</v>
      </c>
      <c r="B64" s="20">
        <v>45661</v>
      </c>
      <c r="C64">
        <f t="shared" si="0"/>
        <v>2025</v>
      </c>
      <c r="D64" t="str">
        <f t="shared" si="1"/>
        <v>January</v>
      </c>
      <c r="E64">
        <f t="shared" si="2"/>
        <v>1</v>
      </c>
    </row>
    <row r="65" spans="1:5" x14ac:dyDescent="0.3">
      <c r="A65">
        <v>64</v>
      </c>
      <c r="B65" s="20">
        <v>45675</v>
      </c>
      <c r="C65">
        <f t="shared" si="0"/>
        <v>2025</v>
      </c>
      <c r="D65" t="str">
        <f t="shared" si="1"/>
        <v>January</v>
      </c>
      <c r="E65">
        <f t="shared" si="2"/>
        <v>1</v>
      </c>
    </row>
    <row r="66" spans="1:5" x14ac:dyDescent="0.3">
      <c r="A66">
        <v>65</v>
      </c>
      <c r="B66" s="19">
        <v>45543</v>
      </c>
      <c r="C66">
        <f t="shared" si="0"/>
        <v>2024</v>
      </c>
      <c r="D66" t="str">
        <f t="shared" si="1"/>
        <v>September</v>
      </c>
      <c r="E66">
        <f t="shared" si="2"/>
        <v>9</v>
      </c>
    </row>
    <row r="67" spans="1:5" x14ac:dyDescent="0.3">
      <c r="A67">
        <v>66</v>
      </c>
      <c r="B67" s="20">
        <v>45344</v>
      </c>
      <c r="C67">
        <f t="shared" ref="C67:C130" si="3">YEAR(B67)</f>
        <v>2024</v>
      </c>
      <c r="D67" t="str">
        <f t="shared" ref="D67:D130" si="4">TEXT(B67,"mmmm")</f>
        <v>February</v>
      </c>
      <c r="E67">
        <f t="shared" ref="E67:E130" si="5">MONTH(B67)</f>
        <v>2</v>
      </c>
    </row>
    <row r="68" spans="1:5" x14ac:dyDescent="0.3">
      <c r="A68">
        <v>67</v>
      </c>
      <c r="B68" s="19">
        <v>45656</v>
      </c>
      <c r="C68">
        <f t="shared" si="3"/>
        <v>2024</v>
      </c>
      <c r="D68" t="str">
        <f t="shared" si="4"/>
        <v>December</v>
      </c>
      <c r="E68">
        <f t="shared" si="5"/>
        <v>12</v>
      </c>
    </row>
    <row r="69" spans="1:5" x14ac:dyDescent="0.3">
      <c r="A69">
        <v>68</v>
      </c>
      <c r="B69" s="20">
        <v>45720</v>
      </c>
      <c r="C69">
        <f t="shared" si="3"/>
        <v>2025</v>
      </c>
      <c r="D69" t="str">
        <f t="shared" si="4"/>
        <v>March</v>
      </c>
      <c r="E69">
        <f t="shared" si="5"/>
        <v>3</v>
      </c>
    </row>
    <row r="70" spans="1:5" x14ac:dyDescent="0.3">
      <c r="A70">
        <v>69</v>
      </c>
      <c r="B70" s="19">
        <v>45762</v>
      </c>
      <c r="C70">
        <f t="shared" si="3"/>
        <v>2025</v>
      </c>
      <c r="D70" t="str">
        <f t="shared" si="4"/>
        <v>April</v>
      </c>
      <c r="E70">
        <f t="shared" si="5"/>
        <v>4</v>
      </c>
    </row>
    <row r="71" spans="1:5" x14ac:dyDescent="0.3">
      <c r="A71">
        <v>70</v>
      </c>
      <c r="B71" s="20">
        <v>45819</v>
      </c>
      <c r="C71">
        <f t="shared" si="3"/>
        <v>2025</v>
      </c>
      <c r="D71" t="str">
        <f t="shared" si="4"/>
        <v>June</v>
      </c>
      <c r="E71">
        <f t="shared" si="5"/>
        <v>6</v>
      </c>
    </row>
    <row r="72" spans="1:5" x14ac:dyDescent="0.3">
      <c r="A72">
        <v>71</v>
      </c>
      <c r="B72" s="19">
        <v>45454</v>
      </c>
      <c r="C72">
        <f t="shared" si="3"/>
        <v>2024</v>
      </c>
      <c r="D72" t="str">
        <f t="shared" si="4"/>
        <v>June</v>
      </c>
      <c r="E72">
        <f t="shared" si="5"/>
        <v>6</v>
      </c>
    </row>
    <row r="73" spans="1:5" x14ac:dyDescent="0.3">
      <c r="A73">
        <v>72</v>
      </c>
      <c r="B73" s="19">
        <v>45748</v>
      </c>
      <c r="C73">
        <f t="shared" si="3"/>
        <v>2025</v>
      </c>
      <c r="D73" t="str">
        <f t="shared" si="4"/>
        <v>April</v>
      </c>
      <c r="E73">
        <f t="shared" si="5"/>
        <v>4</v>
      </c>
    </row>
    <row r="74" spans="1:5" x14ac:dyDescent="0.3">
      <c r="A74">
        <v>73</v>
      </c>
      <c r="B74" s="19">
        <v>45642</v>
      </c>
      <c r="C74">
        <f t="shared" si="3"/>
        <v>2024</v>
      </c>
      <c r="D74" t="str">
        <f t="shared" si="4"/>
        <v>December</v>
      </c>
      <c r="E74">
        <f t="shared" si="5"/>
        <v>12</v>
      </c>
    </row>
    <row r="75" spans="1:5" x14ac:dyDescent="0.3">
      <c r="A75">
        <v>74</v>
      </c>
      <c r="B75" s="20">
        <v>45779</v>
      </c>
      <c r="C75">
        <f t="shared" si="3"/>
        <v>2025</v>
      </c>
      <c r="D75" t="str">
        <f t="shared" si="4"/>
        <v>May</v>
      </c>
      <c r="E75">
        <f t="shared" si="5"/>
        <v>5</v>
      </c>
    </row>
    <row r="76" spans="1:5" x14ac:dyDescent="0.3">
      <c r="A76">
        <v>75</v>
      </c>
      <c r="B76" s="19">
        <v>45834</v>
      </c>
      <c r="C76">
        <f t="shared" si="3"/>
        <v>2025</v>
      </c>
      <c r="D76" t="str">
        <f t="shared" si="4"/>
        <v>June</v>
      </c>
      <c r="E76">
        <f t="shared" si="5"/>
        <v>6</v>
      </c>
    </row>
    <row r="77" spans="1:5" x14ac:dyDescent="0.3">
      <c r="A77">
        <v>76</v>
      </c>
      <c r="B77" s="19">
        <v>45706</v>
      </c>
      <c r="C77">
        <f t="shared" si="3"/>
        <v>2025</v>
      </c>
      <c r="D77" t="str">
        <f t="shared" si="4"/>
        <v>February</v>
      </c>
      <c r="E77">
        <f t="shared" si="5"/>
        <v>2</v>
      </c>
    </row>
    <row r="78" spans="1:5" x14ac:dyDescent="0.3">
      <c r="A78">
        <v>77</v>
      </c>
      <c r="B78" s="19">
        <v>45718</v>
      </c>
      <c r="C78">
        <f t="shared" si="3"/>
        <v>2025</v>
      </c>
      <c r="D78" t="str">
        <f t="shared" si="4"/>
        <v>March</v>
      </c>
      <c r="E78">
        <f t="shared" si="5"/>
        <v>3</v>
      </c>
    </row>
    <row r="79" spans="1:5" x14ac:dyDescent="0.3">
      <c r="A79">
        <v>78</v>
      </c>
      <c r="B79" s="19">
        <v>45778</v>
      </c>
      <c r="C79">
        <f t="shared" si="3"/>
        <v>2025</v>
      </c>
      <c r="D79" t="str">
        <f t="shared" si="4"/>
        <v>May</v>
      </c>
      <c r="E79">
        <f t="shared" si="5"/>
        <v>5</v>
      </c>
    </row>
    <row r="80" spans="1:5" x14ac:dyDescent="0.3">
      <c r="A80">
        <v>79</v>
      </c>
      <c r="B80" s="20">
        <v>45791</v>
      </c>
      <c r="C80">
        <f t="shared" si="3"/>
        <v>2025</v>
      </c>
      <c r="D80" t="str">
        <f t="shared" si="4"/>
        <v>May</v>
      </c>
      <c r="E80">
        <f t="shared" si="5"/>
        <v>5</v>
      </c>
    </row>
    <row r="81" spans="1:5" x14ac:dyDescent="0.3">
      <c r="A81">
        <v>80</v>
      </c>
      <c r="B81" s="19">
        <v>45782</v>
      </c>
      <c r="C81">
        <f t="shared" si="3"/>
        <v>2025</v>
      </c>
      <c r="D81" t="str">
        <f t="shared" si="4"/>
        <v>May</v>
      </c>
      <c r="E81">
        <f t="shared" si="5"/>
        <v>5</v>
      </c>
    </row>
    <row r="82" spans="1:5" x14ac:dyDescent="0.3">
      <c r="A82">
        <v>81</v>
      </c>
      <c r="B82" s="20">
        <v>45393</v>
      </c>
      <c r="C82">
        <f t="shared" si="3"/>
        <v>2024</v>
      </c>
      <c r="D82" t="str">
        <f t="shared" si="4"/>
        <v>April</v>
      </c>
      <c r="E82">
        <f t="shared" si="5"/>
        <v>4</v>
      </c>
    </row>
    <row r="83" spans="1:5" x14ac:dyDescent="0.3">
      <c r="A83">
        <v>82</v>
      </c>
      <c r="B83" s="19">
        <v>45657</v>
      </c>
      <c r="C83">
        <f t="shared" si="3"/>
        <v>2024</v>
      </c>
      <c r="D83" t="str">
        <f t="shared" si="4"/>
        <v>December</v>
      </c>
      <c r="E83">
        <f t="shared" si="5"/>
        <v>12</v>
      </c>
    </row>
    <row r="84" spans="1:5" x14ac:dyDescent="0.3">
      <c r="A84">
        <v>83</v>
      </c>
      <c r="B84" s="20">
        <v>45511</v>
      </c>
      <c r="C84">
        <f t="shared" si="3"/>
        <v>2024</v>
      </c>
      <c r="D84" t="str">
        <f t="shared" si="4"/>
        <v>August</v>
      </c>
      <c r="E84">
        <f t="shared" si="5"/>
        <v>8</v>
      </c>
    </row>
    <row r="85" spans="1:5" x14ac:dyDescent="0.3">
      <c r="A85">
        <v>84</v>
      </c>
      <c r="B85" s="20">
        <v>45835</v>
      </c>
      <c r="C85">
        <f t="shared" si="3"/>
        <v>2025</v>
      </c>
      <c r="D85" t="str">
        <f t="shared" si="4"/>
        <v>June</v>
      </c>
      <c r="E85">
        <f t="shared" si="5"/>
        <v>6</v>
      </c>
    </row>
    <row r="86" spans="1:5" x14ac:dyDescent="0.3">
      <c r="A86">
        <v>85</v>
      </c>
      <c r="B86" s="20">
        <v>45588</v>
      </c>
      <c r="C86">
        <f t="shared" si="3"/>
        <v>2024</v>
      </c>
      <c r="D86" t="str">
        <f t="shared" si="4"/>
        <v>October</v>
      </c>
      <c r="E86">
        <f t="shared" si="5"/>
        <v>10</v>
      </c>
    </row>
    <row r="87" spans="1:5" x14ac:dyDescent="0.3">
      <c r="A87">
        <v>86</v>
      </c>
      <c r="B87" s="19">
        <v>45318</v>
      </c>
      <c r="C87">
        <f t="shared" si="3"/>
        <v>2024</v>
      </c>
      <c r="D87" t="str">
        <f t="shared" si="4"/>
        <v>January</v>
      </c>
      <c r="E87">
        <f t="shared" si="5"/>
        <v>1</v>
      </c>
    </row>
    <row r="88" spans="1:5" x14ac:dyDescent="0.3">
      <c r="A88">
        <v>87</v>
      </c>
      <c r="B88" s="20">
        <v>45770</v>
      </c>
      <c r="C88">
        <f t="shared" si="3"/>
        <v>2025</v>
      </c>
      <c r="D88" t="str">
        <f t="shared" si="4"/>
        <v>April</v>
      </c>
      <c r="E88">
        <f t="shared" si="5"/>
        <v>4</v>
      </c>
    </row>
    <row r="89" spans="1:5" x14ac:dyDescent="0.3">
      <c r="A89">
        <v>88</v>
      </c>
      <c r="B89" s="20">
        <v>45593</v>
      </c>
      <c r="C89">
        <f t="shared" si="3"/>
        <v>2024</v>
      </c>
      <c r="D89" t="str">
        <f t="shared" si="4"/>
        <v>October</v>
      </c>
      <c r="E89">
        <f t="shared" si="5"/>
        <v>10</v>
      </c>
    </row>
    <row r="90" spans="1:5" x14ac:dyDescent="0.3">
      <c r="A90">
        <v>89</v>
      </c>
      <c r="B90" s="19">
        <v>45517</v>
      </c>
      <c r="C90">
        <f t="shared" si="3"/>
        <v>2024</v>
      </c>
      <c r="D90" t="str">
        <f t="shared" si="4"/>
        <v>August</v>
      </c>
      <c r="E90">
        <f t="shared" si="5"/>
        <v>8</v>
      </c>
    </row>
    <row r="91" spans="1:5" x14ac:dyDescent="0.3">
      <c r="A91">
        <v>90</v>
      </c>
      <c r="B91" s="20">
        <v>45401</v>
      </c>
      <c r="C91">
        <f t="shared" si="3"/>
        <v>2024</v>
      </c>
      <c r="D91" t="str">
        <f t="shared" si="4"/>
        <v>April</v>
      </c>
      <c r="E91">
        <f t="shared" si="5"/>
        <v>4</v>
      </c>
    </row>
    <row r="92" spans="1:5" x14ac:dyDescent="0.3">
      <c r="A92">
        <v>91</v>
      </c>
      <c r="B92" s="20">
        <v>45602</v>
      </c>
      <c r="C92">
        <f t="shared" si="3"/>
        <v>2024</v>
      </c>
      <c r="D92" t="str">
        <f t="shared" si="4"/>
        <v>November</v>
      </c>
      <c r="E92">
        <f t="shared" si="5"/>
        <v>11</v>
      </c>
    </row>
    <row r="93" spans="1:5" x14ac:dyDescent="0.3">
      <c r="A93">
        <v>92</v>
      </c>
      <c r="B93" s="19">
        <v>45719</v>
      </c>
      <c r="C93">
        <f t="shared" si="3"/>
        <v>2025</v>
      </c>
      <c r="D93" t="str">
        <f t="shared" si="4"/>
        <v>March</v>
      </c>
      <c r="E93">
        <f t="shared" si="5"/>
        <v>3</v>
      </c>
    </row>
    <row r="94" spans="1:5" x14ac:dyDescent="0.3">
      <c r="A94">
        <v>93</v>
      </c>
      <c r="B94" s="20">
        <v>45632</v>
      </c>
      <c r="C94">
        <f t="shared" si="3"/>
        <v>2024</v>
      </c>
      <c r="D94" t="str">
        <f t="shared" si="4"/>
        <v>December</v>
      </c>
      <c r="E94">
        <f t="shared" si="5"/>
        <v>12</v>
      </c>
    </row>
    <row r="95" spans="1:5" x14ac:dyDescent="0.3">
      <c r="A95">
        <v>94</v>
      </c>
      <c r="B95" s="19">
        <v>45680</v>
      </c>
      <c r="C95">
        <f t="shared" si="3"/>
        <v>2025</v>
      </c>
      <c r="D95" t="str">
        <f t="shared" si="4"/>
        <v>January</v>
      </c>
      <c r="E95">
        <f t="shared" si="5"/>
        <v>1</v>
      </c>
    </row>
    <row r="96" spans="1:5" x14ac:dyDescent="0.3">
      <c r="A96">
        <v>95</v>
      </c>
      <c r="B96" s="20">
        <v>45570</v>
      </c>
      <c r="C96">
        <f t="shared" si="3"/>
        <v>2024</v>
      </c>
      <c r="D96" t="str">
        <f t="shared" si="4"/>
        <v>October</v>
      </c>
      <c r="E96">
        <f t="shared" si="5"/>
        <v>10</v>
      </c>
    </row>
    <row r="97" spans="1:5" x14ac:dyDescent="0.3">
      <c r="A97">
        <v>96</v>
      </c>
      <c r="B97" s="19">
        <v>45582</v>
      </c>
      <c r="C97">
        <f t="shared" si="3"/>
        <v>2024</v>
      </c>
      <c r="D97" t="str">
        <f t="shared" si="4"/>
        <v>October</v>
      </c>
      <c r="E97">
        <f t="shared" si="5"/>
        <v>10</v>
      </c>
    </row>
    <row r="98" spans="1:5" x14ac:dyDescent="0.3">
      <c r="A98">
        <v>97</v>
      </c>
      <c r="B98" s="20">
        <v>45855</v>
      </c>
      <c r="C98">
        <f t="shared" si="3"/>
        <v>2025</v>
      </c>
      <c r="D98" t="str">
        <f t="shared" si="4"/>
        <v>July</v>
      </c>
      <c r="E98">
        <f t="shared" si="5"/>
        <v>7</v>
      </c>
    </row>
    <row r="99" spans="1:5" x14ac:dyDescent="0.3">
      <c r="A99">
        <v>98</v>
      </c>
      <c r="B99" s="19">
        <v>45599</v>
      </c>
      <c r="C99">
        <f t="shared" si="3"/>
        <v>2024</v>
      </c>
      <c r="D99" t="str">
        <f t="shared" si="4"/>
        <v>November</v>
      </c>
      <c r="E99">
        <f t="shared" si="5"/>
        <v>11</v>
      </c>
    </row>
    <row r="100" spans="1:5" x14ac:dyDescent="0.3">
      <c r="A100">
        <v>99</v>
      </c>
      <c r="B100" s="20">
        <v>45641</v>
      </c>
      <c r="C100">
        <f t="shared" si="3"/>
        <v>2024</v>
      </c>
      <c r="D100" t="str">
        <f t="shared" si="4"/>
        <v>December</v>
      </c>
      <c r="E100">
        <f t="shared" si="5"/>
        <v>12</v>
      </c>
    </row>
    <row r="101" spans="1:5" x14ac:dyDescent="0.3">
      <c r="A101">
        <v>100</v>
      </c>
      <c r="B101" s="19">
        <v>45575</v>
      </c>
      <c r="C101">
        <f t="shared" si="3"/>
        <v>2024</v>
      </c>
      <c r="D101" t="str">
        <f t="shared" si="4"/>
        <v>October</v>
      </c>
      <c r="E101">
        <f t="shared" si="5"/>
        <v>10</v>
      </c>
    </row>
    <row r="102" spans="1:5" x14ac:dyDescent="0.3">
      <c r="A102">
        <v>101</v>
      </c>
      <c r="B102" s="20">
        <v>45604</v>
      </c>
      <c r="C102">
        <f t="shared" si="3"/>
        <v>2024</v>
      </c>
      <c r="D102" t="str">
        <f t="shared" si="4"/>
        <v>November</v>
      </c>
      <c r="E102">
        <f t="shared" si="5"/>
        <v>11</v>
      </c>
    </row>
    <row r="103" spans="1:5" x14ac:dyDescent="0.3">
      <c r="A103">
        <v>102</v>
      </c>
      <c r="B103" s="20">
        <v>45833</v>
      </c>
      <c r="C103">
        <f t="shared" si="3"/>
        <v>2025</v>
      </c>
      <c r="D103" t="str">
        <f t="shared" si="4"/>
        <v>June</v>
      </c>
      <c r="E103">
        <f t="shared" si="5"/>
        <v>6</v>
      </c>
    </row>
    <row r="104" spans="1:5" x14ac:dyDescent="0.3">
      <c r="A104">
        <v>103</v>
      </c>
      <c r="B104" s="19">
        <v>45844</v>
      </c>
      <c r="C104">
        <f t="shared" si="3"/>
        <v>2025</v>
      </c>
      <c r="D104" t="str">
        <f t="shared" si="4"/>
        <v>July</v>
      </c>
      <c r="E104">
        <f t="shared" si="5"/>
        <v>7</v>
      </c>
    </row>
    <row r="105" spans="1:5" x14ac:dyDescent="0.3">
      <c r="A105">
        <v>104</v>
      </c>
      <c r="B105" s="19">
        <v>45607</v>
      </c>
      <c r="C105">
        <f t="shared" si="3"/>
        <v>2024</v>
      </c>
      <c r="D105" t="str">
        <f t="shared" si="4"/>
        <v>November</v>
      </c>
      <c r="E105">
        <f t="shared" si="5"/>
        <v>11</v>
      </c>
    </row>
    <row r="106" spans="1:5" x14ac:dyDescent="0.3">
      <c r="A106">
        <v>105</v>
      </c>
      <c r="B106" s="20">
        <v>45352</v>
      </c>
      <c r="C106">
        <f t="shared" si="3"/>
        <v>2024</v>
      </c>
      <c r="D106" t="str">
        <f t="shared" si="4"/>
        <v>March</v>
      </c>
      <c r="E106">
        <f t="shared" si="5"/>
        <v>3</v>
      </c>
    </row>
    <row r="107" spans="1:5" x14ac:dyDescent="0.3">
      <c r="A107">
        <v>106</v>
      </c>
      <c r="B107" s="19">
        <v>45621</v>
      </c>
      <c r="C107">
        <f t="shared" si="3"/>
        <v>2024</v>
      </c>
      <c r="D107" t="str">
        <f t="shared" si="4"/>
        <v>November</v>
      </c>
      <c r="E107">
        <f t="shared" si="5"/>
        <v>11</v>
      </c>
    </row>
    <row r="108" spans="1:5" x14ac:dyDescent="0.3">
      <c r="A108">
        <v>107</v>
      </c>
      <c r="B108" s="20">
        <v>45666</v>
      </c>
      <c r="C108">
        <f t="shared" si="3"/>
        <v>2025</v>
      </c>
      <c r="D108" t="str">
        <f t="shared" si="4"/>
        <v>January</v>
      </c>
      <c r="E108">
        <f t="shared" si="5"/>
        <v>1</v>
      </c>
    </row>
    <row r="109" spans="1:5" x14ac:dyDescent="0.3">
      <c r="A109">
        <v>108</v>
      </c>
      <c r="B109" s="20">
        <v>45569</v>
      </c>
      <c r="C109">
        <f t="shared" si="3"/>
        <v>2024</v>
      </c>
      <c r="D109" t="str">
        <f t="shared" si="4"/>
        <v>October</v>
      </c>
      <c r="E109">
        <f t="shared" si="5"/>
        <v>10</v>
      </c>
    </row>
    <row r="110" spans="1:5" x14ac:dyDescent="0.3">
      <c r="A110">
        <v>109</v>
      </c>
      <c r="B110" s="19">
        <v>45165</v>
      </c>
      <c r="C110">
        <f t="shared" si="3"/>
        <v>2023</v>
      </c>
      <c r="D110" t="str">
        <f t="shared" si="4"/>
        <v>August</v>
      </c>
      <c r="E110">
        <f t="shared" si="5"/>
        <v>8</v>
      </c>
    </row>
    <row r="111" spans="1:5" x14ac:dyDescent="0.3">
      <c r="A111">
        <v>110</v>
      </c>
      <c r="B111" s="20">
        <v>45824</v>
      </c>
      <c r="C111">
        <f t="shared" si="3"/>
        <v>2025</v>
      </c>
      <c r="D111" t="str">
        <f t="shared" si="4"/>
        <v>June</v>
      </c>
      <c r="E111">
        <f t="shared" si="5"/>
        <v>6</v>
      </c>
    </row>
    <row r="112" spans="1:5" x14ac:dyDescent="0.3">
      <c r="A112">
        <v>111</v>
      </c>
      <c r="B112" s="20">
        <v>45566</v>
      </c>
      <c r="C112">
        <f t="shared" si="3"/>
        <v>2024</v>
      </c>
      <c r="D112" t="str">
        <f t="shared" si="4"/>
        <v>October</v>
      </c>
      <c r="E112">
        <f t="shared" si="5"/>
        <v>10</v>
      </c>
    </row>
    <row r="113" spans="1:5" x14ac:dyDescent="0.3">
      <c r="A113">
        <v>112</v>
      </c>
      <c r="B113" s="20">
        <v>45746</v>
      </c>
      <c r="C113">
        <f t="shared" si="3"/>
        <v>2025</v>
      </c>
      <c r="D113" t="str">
        <f t="shared" si="4"/>
        <v>March</v>
      </c>
      <c r="E113">
        <f t="shared" si="5"/>
        <v>3</v>
      </c>
    </row>
    <row r="114" spans="1:5" x14ac:dyDescent="0.3">
      <c r="A114">
        <v>113</v>
      </c>
      <c r="B114" s="20">
        <v>45751</v>
      </c>
      <c r="C114">
        <f t="shared" si="3"/>
        <v>2025</v>
      </c>
      <c r="D114" t="str">
        <f t="shared" si="4"/>
        <v>April</v>
      </c>
      <c r="E114">
        <f t="shared" si="5"/>
        <v>4</v>
      </c>
    </row>
    <row r="115" spans="1:5" x14ac:dyDescent="0.3">
      <c r="A115">
        <v>114</v>
      </c>
      <c r="B115" s="19">
        <v>45510</v>
      </c>
      <c r="C115">
        <f t="shared" si="3"/>
        <v>2024</v>
      </c>
      <c r="D115" t="str">
        <f t="shared" si="4"/>
        <v>August</v>
      </c>
      <c r="E115">
        <f t="shared" si="5"/>
        <v>8</v>
      </c>
    </row>
    <row r="116" spans="1:5" x14ac:dyDescent="0.3">
      <c r="A116">
        <v>115</v>
      </c>
      <c r="B116" s="20">
        <v>45378</v>
      </c>
      <c r="C116">
        <f t="shared" si="3"/>
        <v>2024</v>
      </c>
      <c r="D116" t="str">
        <f t="shared" si="4"/>
        <v>March</v>
      </c>
      <c r="E116">
        <f t="shared" si="5"/>
        <v>3</v>
      </c>
    </row>
    <row r="117" spans="1:5" x14ac:dyDescent="0.3">
      <c r="A117">
        <v>116</v>
      </c>
      <c r="B117" s="19">
        <v>45829</v>
      </c>
      <c r="C117">
        <f t="shared" si="3"/>
        <v>2025</v>
      </c>
      <c r="D117" t="str">
        <f t="shared" si="4"/>
        <v>June</v>
      </c>
      <c r="E117">
        <f t="shared" si="5"/>
        <v>6</v>
      </c>
    </row>
    <row r="118" spans="1:5" x14ac:dyDescent="0.3">
      <c r="A118">
        <v>117</v>
      </c>
      <c r="B118" s="19">
        <v>45531</v>
      </c>
      <c r="C118">
        <f t="shared" si="3"/>
        <v>2024</v>
      </c>
      <c r="D118" t="str">
        <f t="shared" si="4"/>
        <v>August</v>
      </c>
      <c r="E118">
        <f t="shared" si="5"/>
        <v>8</v>
      </c>
    </row>
    <row r="119" spans="1:5" x14ac:dyDescent="0.3">
      <c r="A119">
        <v>118</v>
      </c>
      <c r="B119" s="20">
        <v>45685</v>
      </c>
      <c r="C119">
        <f t="shared" si="3"/>
        <v>2025</v>
      </c>
      <c r="D119" t="str">
        <f t="shared" si="4"/>
        <v>January</v>
      </c>
      <c r="E119">
        <f t="shared" si="5"/>
        <v>1</v>
      </c>
    </row>
    <row r="120" spans="1:5" x14ac:dyDescent="0.3">
      <c r="A120">
        <v>119</v>
      </c>
      <c r="B120" s="20">
        <v>45512</v>
      </c>
      <c r="C120">
        <f t="shared" si="3"/>
        <v>2024</v>
      </c>
      <c r="D120" t="str">
        <f t="shared" si="4"/>
        <v>August</v>
      </c>
      <c r="E120">
        <f t="shared" si="5"/>
        <v>8</v>
      </c>
    </row>
    <row r="121" spans="1:5" x14ac:dyDescent="0.3">
      <c r="A121">
        <v>120</v>
      </c>
      <c r="B121" s="19">
        <v>45847</v>
      </c>
      <c r="C121">
        <f t="shared" si="3"/>
        <v>2025</v>
      </c>
      <c r="D121" t="str">
        <f t="shared" si="4"/>
        <v>July</v>
      </c>
      <c r="E121">
        <f t="shared" si="5"/>
        <v>7</v>
      </c>
    </row>
    <row r="122" spans="1:5" x14ac:dyDescent="0.3">
      <c r="A122">
        <v>121</v>
      </c>
      <c r="B122" s="19">
        <v>45764</v>
      </c>
      <c r="C122">
        <f t="shared" si="3"/>
        <v>2025</v>
      </c>
      <c r="D122" t="str">
        <f t="shared" si="4"/>
        <v>April</v>
      </c>
      <c r="E122">
        <f t="shared" si="5"/>
        <v>4</v>
      </c>
    </row>
    <row r="123" spans="1:5" x14ac:dyDescent="0.3">
      <c r="A123">
        <v>122</v>
      </c>
      <c r="B123" s="20">
        <v>45690</v>
      </c>
      <c r="C123">
        <f t="shared" si="3"/>
        <v>2025</v>
      </c>
      <c r="D123" t="str">
        <f t="shared" si="4"/>
        <v>February</v>
      </c>
      <c r="E123">
        <f t="shared" si="5"/>
        <v>2</v>
      </c>
    </row>
    <row r="124" spans="1:5" x14ac:dyDescent="0.3">
      <c r="A124">
        <v>123</v>
      </c>
      <c r="B124" s="20">
        <v>45667</v>
      </c>
      <c r="C124">
        <f t="shared" si="3"/>
        <v>2025</v>
      </c>
      <c r="D124" t="str">
        <f t="shared" si="4"/>
        <v>January</v>
      </c>
      <c r="E124">
        <f t="shared" si="5"/>
        <v>1</v>
      </c>
    </row>
    <row r="125" spans="1:5" x14ac:dyDescent="0.3">
      <c r="A125">
        <v>124</v>
      </c>
      <c r="B125" s="19">
        <v>45739</v>
      </c>
      <c r="C125">
        <f t="shared" si="3"/>
        <v>2025</v>
      </c>
      <c r="D125" t="str">
        <f t="shared" si="4"/>
        <v>March</v>
      </c>
      <c r="E125">
        <f t="shared" si="5"/>
        <v>3</v>
      </c>
    </row>
    <row r="126" spans="1:5" x14ac:dyDescent="0.3">
      <c r="A126">
        <v>125</v>
      </c>
      <c r="B126" s="20">
        <v>45671</v>
      </c>
      <c r="C126">
        <f t="shared" si="3"/>
        <v>2025</v>
      </c>
      <c r="D126" t="str">
        <f t="shared" si="4"/>
        <v>January</v>
      </c>
      <c r="E126">
        <f t="shared" si="5"/>
        <v>1</v>
      </c>
    </row>
    <row r="127" spans="1:5" x14ac:dyDescent="0.3">
      <c r="A127">
        <v>126</v>
      </c>
      <c r="B127" s="19">
        <v>45608</v>
      </c>
      <c r="C127">
        <f t="shared" si="3"/>
        <v>2024</v>
      </c>
      <c r="D127" t="str">
        <f t="shared" si="4"/>
        <v>November</v>
      </c>
      <c r="E127">
        <f t="shared" si="5"/>
        <v>11</v>
      </c>
    </row>
    <row r="128" spans="1:5" x14ac:dyDescent="0.3">
      <c r="A128">
        <v>127</v>
      </c>
      <c r="B128" s="19">
        <v>45747</v>
      </c>
      <c r="C128">
        <f t="shared" si="3"/>
        <v>2025</v>
      </c>
      <c r="D128" t="str">
        <f t="shared" si="4"/>
        <v>March</v>
      </c>
      <c r="E128">
        <f t="shared" si="5"/>
        <v>3</v>
      </c>
    </row>
    <row r="129" spans="1:5" x14ac:dyDescent="0.3">
      <c r="A129">
        <v>128</v>
      </c>
      <c r="B129" s="20">
        <v>45433</v>
      </c>
      <c r="C129">
        <f t="shared" si="3"/>
        <v>2024</v>
      </c>
      <c r="D129" t="str">
        <f t="shared" si="4"/>
        <v>May</v>
      </c>
      <c r="E129">
        <f t="shared" si="5"/>
        <v>5</v>
      </c>
    </row>
    <row r="130" spans="1:5" x14ac:dyDescent="0.3">
      <c r="A130">
        <v>129</v>
      </c>
      <c r="B130" s="19">
        <v>45803</v>
      </c>
      <c r="C130">
        <f t="shared" si="3"/>
        <v>2025</v>
      </c>
      <c r="D130" t="str">
        <f t="shared" si="4"/>
        <v>May</v>
      </c>
      <c r="E130">
        <f t="shared" si="5"/>
        <v>5</v>
      </c>
    </row>
    <row r="131" spans="1:5" x14ac:dyDescent="0.3">
      <c r="A131">
        <v>130</v>
      </c>
      <c r="B131" s="20">
        <v>45630</v>
      </c>
      <c r="C131">
        <f t="shared" ref="C131:C194" si="6">YEAR(B131)</f>
        <v>2024</v>
      </c>
      <c r="D131" t="str">
        <f t="shared" ref="D131:D194" si="7">TEXT(B131,"mmmm")</f>
        <v>December</v>
      </c>
      <c r="E131">
        <f t="shared" ref="E131:E194" si="8">MONTH(B131)</f>
        <v>12</v>
      </c>
    </row>
    <row r="132" spans="1:5" x14ac:dyDescent="0.3">
      <c r="A132">
        <v>131</v>
      </c>
      <c r="B132" s="20">
        <v>45684</v>
      </c>
      <c r="C132">
        <f t="shared" si="6"/>
        <v>2025</v>
      </c>
      <c r="D132" t="str">
        <f t="shared" si="7"/>
        <v>January</v>
      </c>
      <c r="E132">
        <f t="shared" si="8"/>
        <v>1</v>
      </c>
    </row>
    <row r="133" spans="1:5" x14ac:dyDescent="0.3">
      <c r="A133">
        <v>132</v>
      </c>
      <c r="B133" s="19">
        <v>45495</v>
      </c>
      <c r="C133">
        <f t="shared" si="6"/>
        <v>2024</v>
      </c>
      <c r="D133" t="str">
        <f t="shared" si="7"/>
        <v>July</v>
      </c>
      <c r="E133">
        <f t="shared" si="8"/>
        <v>7</v>
      </c>
    </row>
    <row r="134" spans="1:5" x14ac:dyDescent="0.3">
      <c r="A134">
        <v>133</v>
      </c>
      <c r="B134" s="20">
        <v>45624</v>
      </c>
      <c r="C134">
        <f t="shared" si="6"/>
        <v>2024</v>
      </c>
      <c r="D134" t="str">
        <f t="shared" si="7"/>
        <v>November</v>
      </c>
      <c r="E134">
        <f t="shared" si="8"/>
        <v>11</v>
      </c>
    </row>
    <row r="135" spans="1:5" x14ac:dyDescent="0.3">
      <c r="A135">
        <v>134</v>
      </c>
      <c r="B135" s="20">
        <v>45563</v>
      </c>
      <c r="C135">
        <f t="shared" si="6"/>
        <v>2024</v>
      </c>
      <c r="D135" t="str">
        <f t="shared" si="7"/>
        <v>September</v>
      </c>
      <c r="E135">
        <f t="shared" si="8"/>
        <v>9</v>
      </c>
    </row>
    <row r="136" spans="1:5" x14ac:dyDescent="0.3">
      <c r="A136">
        <v>135</v>
      </c>
      <c r="B136" s="19">
        <v>45595</v>
      </c>
      <c r="C136">
        <f t="shared" si="6"/>
        <v>2024</v>
      </c>
      <c r="D136" t="str">
        <f t="shared" si="7"/>
        <v>October</v>
      </c>
      <c r="E136">
        <f t="shared" si="8"/>
        <v>10</v>
      </c>
    </row>
    <row r="137" spans="1:5" x14ac:dyDescent="0.3">
      <c r="A137">
        <v>136</v>
      </c>
      <c r="B137" s="19">
        <v>45737</v>
      </c>
      <c r="C137">
        <f t="shared" si="6"/>
        <v>2025</v>
      </c>
      <c r="D137" t="str">
        <f t="shared" si="7"/>
        <v>March</v>
      </c>
      <c r="E137">
        <f t="shared" si="8"/>
        <v>3</v>
      </c>
    </row>
    <row r="138" spans="1:5" x14ac:dyDescent="0.3">
      <c r="A138">
        <v>137</v>
      </c>
      <c r="B138" s="20">
        <v>45356</v>
      </c>
      <c r="C138">
        <f t="shared" si="6"/>
        <v>2024</v>
      </c>
      <c r="D138" t="str">
        <f t="shared" si="7"/>
        <v>March</v>
      </c>
      <c r="E138">
        <f t="shared" si="8"/>
        <v>3</v>
      </c>
    </row>
    <row r="139" spans="1:5" x14ac:dyDescent="0.3">
      <c r="A139">
        <v>138</v>
      </c>
      <c r="B139" s="19">
        <v>45743</v>
      </c>
      <c r="C139">
        <f t="shared" si="6"/>
        <v>2025</v>
      </c>
      <c r="D139" t="str">
        <f t="shared" si="7"/>
        <v>March</v>
      </c>
      <c r="E139">
        <f t="shared" si="8"/>
        <v>3</v>
      </c>
    </row>
    <row r="140" spans="1:5" x14ac:dyDescent="0.3">
      <c r="A140">
        <v>139</v>
      </c>
      <c r="B140" s="19">
        <v>45183</v>
      </c>
      <c r="C140">
        <f t="shared" si="6"/>
        <v>2023</v>
      </c>
      <c r="D140" t="str">
        <f t="shared" si="7"/>
        <v>September</v>
      </c>
      <c r="E140">
        <f t="shared" si="8"/>
        <v>9</v>
      </c>
    </row>
    <row r="141" spans="1:5" x14ac:dyDescent="0.3">
      <c r="A141">
        <v>140</v>
      </c>
      <c r="B141" s="20">
        <v>45772</v>
      </c>
      <c r="C141">
        <f t="shared" si="6"/>
        <v>2025</v>
      </c>
      <c r="D141" t="str">
        <f t="shared" si="7"/>
        <v>April</v>
      </c>
      <c r="E141">
        <f t="shared" si="8"/>
        <v>4</v>
      </c>
    </row>
    <row r="142" spans="1:5" x14ac:dyDescent="0.3">
      <c r="A142">
        <v>141</v>
      </c>
      <c r="B142" s="19">
        <v>45832</v>
      </c>
      <c r="C142">
        <f t="shared" si="6"/>
        <v>2025</v>
      </c>
      <c r="D142" t="str">
        <f t="shared" si="7"/>
        <v>June</v>
      </c>
      <c r="E142">
        <f t="shared" si="8"/>
        <v>6</v>
      </c>
    </row>
    <row r="143" spans="1:5" x14ac:dyDescent="0.3">
      <c r="A143">
        <v>142</v>
      </c>
      <c r="B143" s="19">
        <v>45765</v>
      </c>
      <c r="C143">
        <f t="shared" si="6"/>
        <v>2025</v>
      </c>
      <c r="D143" t="str">
        <f t="shared" si="7"/>
        <v>April</v>
      </c>
      <c r="E143">
        <f t="shared" si="8"/>
        <v>4</v>
      </c>
    </row>
    <row r="144" spans="1:5" x14ac:dyDescent="0.3">
      <c r="A144">
        <v>143</v>
      </c>
      <c r="B144" s="20">
        <v>45817</v>
      </c>
      <c r="C144">
        <f t="shared" si="6"/>
        <v>2025</v>
      </c>
      <c r="D144" t="str">
        <f t="shared" si="7"/>
        <v>June</v>
      </c>
      <c r="E144">
        <f t="shared" si="8"/>
        <v>6</v>
      </c>
    </row>
    <row r="145" spans="1:5" x14ac:dyDescent="0.3">
      <c r="A145">
        <v>144</v>
      </c>
      <c r="B145" s="20">
        <v>45585</v>
      </c>
      <c r="C145">
        <f t="shared" si="6"/>
        <v>2024</v>
      </c>
      <c r="D145" t="str">
        <f t="shared" si="7"/>
        <v>October</v>
      </c>
      <c r="E145">
        <f t="shared" si="8"/>
        <v>10</v>
      </c>
    </row>
    <row r="146" spans="1:5" x14ac:dyDescent="0.3">
      <c r="A146">
        <v>145</v>
      </c>
      <c r="B146" s="19">
        <v>45136</v>
      </c>
      <c r="C146">
        <f t="shared" si="6"/>
        <v>2023</v>
      </c>
      <c r="D146" t="str">
        <f t="shared" si="7"/>
        <v>July</v>
      </c>
      <c r="E146">
        <f t="shared" si="8"/>
        <v>7</v>
      </c>
    </row>
    <row r="147" spans="1:5" x14ac:dyDescent="0.3">
      <c r="A147">
        <v>146</v>
      </c>
      <c r="B147" s="20">
        <v>45465</v>
      </c>
      <c r="C147">
        <f t="shared" si="6"/>
        <v>2024</v>
      </c>
      <c r="D147" t="str">
        <f t="shared" si="7"/>
        <v>June</v>
      </c>
      <c r="E147">
        <f t="shared" si="8"/>
        <v>6</v>
      </c>
    </row>
    <row r="148" spans="1:5" x14ac:dyDescent="0.3">
      <c r="A148">
        <v>147</v>
      </c>
      <c r="B148" s="20">
        <v>45628</v>
      </c>
      <c r="C148">
        <f t="shared" si="6"/>
        <v>2024</v>
      </c>
      <c r="D148" t="str">
        <f t="shared" si="7"/>
        <v>December</v>
      </c>
      <c r="E148">
        <f t="shared" si="8"/>
        <v>12</v>
      </c>
    </row>
    <row r="149" spans="1:5" x14ac:dyDescent="0.3">
      <c r="A149">
        <v>148</v>
      </c>
      <c r="B149" s="19">
        <v>45472</v>
      </c>
      <c r="C149">
        <f t="shared" si="6"/>
        <v>2024</v>
      </c>
      <c r="D149" t="str">
        <f t="shared" si="7"/>
        <v>June</v>
      </c>
      <c r="E149">
        <f t="shared" si="8"/>
        <v>6</v>
      </c>
    </row>
    <row r="150" spans="1:5" x14ac:dyDescent="0.3">
      <c r="A150">
        <v>149</v>
      </c>
      <c r="B150" s="20">
        <v>45639</v>
      </c>
      <c r="C150">
        <f t="shared" si="6"/>
        <v>2024</v>
      </c>
      <c r="D150" t="str">
        <f t="shared" si="7"/>
        <v>December</v>
      </c>
      <c r="E150">
        <f t="shared" si="8"/>
        <v>12</v>
      </c>
    </row>
    <row r="151" spans="1:5" x14ac:dyDescent="0.3">
      <c r="A151">
        <v>150</v>
      </c>
      <c r="B151" s="19">
        <v>45130</v>
      </c>
      <c r="C151">
        <f t="shared" si="6"/>
        <v>2023</v>
      </c>
      <c r="D151" t="str">
        <f t="shared" si="7"/>
        <v>July</v>
      </c>
      <c r="E151">
        <f t="shared" si="8"/>
        <v>7</v>
      </c>
    </row>
    <row r="152" spans="1:5" x14ac:dyDescent="0.3">
      <c r="A152">
        <v>151</v>
      </c>
      <c r="B152" s="20">
        <v>45545</v>
      </c>
      <c r="C152">
        <f t="shared" si="6"/>
        <v>2024</v>
      </c>
      <c r="D152" t="str">
        <f t="shared" si="7"/>
        <v>September</v>
      </c>
      <c r="E152">
        <f t="shared" si="8"/>
        <v>9</v>
      </c>
    </row>
    <row r="153" spans="1:5" x14ac:dyDescent="0.3">
      <c r="A153">
        <v>152</v>
      </c>
      <c r="B153" s="20">
        <v>45692</v>
      </c>
      <c r="C153">
        <f t="shared" si="6"/>
        <v>2025</v>
      </c>
      <c r="D153" t="str">
        <f t="shared" si="7"/>
        <v>February</v>
      </c>
      <c r="E153">
        <f t="shared" si="8"/>
        <v>2</v>
      </c>
    </row>
    <row r="154" spans="1:5" x14ac:dyDescent="0.3">
      <c r="A154">
        <v>153</v>
      </c>
      <c r="B154" s="19">
        <v>45749</v>
      </c>
      <c r="C154">
        <f t="shared" si="6"/>
        <v>2025</v>
      </c>
      <c r="D154" t="str">
        <f t="shared" si="7"/>
        <v>April</v>
      </c>
      <c r="E154">
        <f t="shared" si="8"/>
        <v>4</v>
      </c>
    </row>
    <row r="155" spans="1:5" x14ac:dyDescent="0.3">
      <c r="A155">
        <v>154</v>
      </c>
      <c r="B155" s="19">
        <v>45702</v>
      </c>
      <c r="C155">
        <f t="shared" si="6"/>
        <v>2025</v>
      </c>
      <c r="D155" t="str">
        <f t="shared" si="7"/>
        <v>February</v>
      </c>
      <c r="E155">
        <f t="shared" si="8"/>
        <v>2</v>
      </c>
    </row>
    <row r="156" spans="1:5" x14ac:dyDescent="0.3">
      <c r="A156">
        <v>155</v>
      </c>
      <c r="B156" s="19">
        <v>45614</v>
      </c>
      <c r="C156">
        <f t="shared" si="6"/>
        <v>2024</v>
      </c>
      <c r="D156" t="str">
        <f t="shared" si="7"/>
        <v>November</v>
      </c>
      <c r="E156">
        <f t="shared" si="8"/>
        <v>11</v>
      </c>
    </row>
    <row r="157" spans="1:5" x14ac:dyDescent="0.3">
      <c r="A157">
        <v>156</v>
      </c>
      <c r="B157" s="19">
        <v>45728</v>
      </c>
      <c r="C157">
        <f t="shared" si="6"/>
        <v>2025</v>
      </c>
      <c r="D157" t="str">
        <f t="shared" si="7"/>
        <v>March</v>
      </c>
      <c r="E157">
        <f t="shared" si="8"/>
        <v>3</v>
      </c>
    </row>
    <row r="158" spans="1:5" x14ac:dyDescent="0.3">
      <c r="A158">
        <v>157</v>
      </c>
      <c r="B158" s="19">
        <v>45741</v>
      </c>
      <c r="C158">
        <f t="shared" si="6"/>
        <v>2025</v>
      </c>
      <c r="D158" t="str">
        <f t="shared" si="7"/>
        <v>March</v>
      </c>
      <c r="E158">
        <f t="shared" si="8"/>
        <v>3</v>
      </c>
    </row>
    <row r="159" spans="1:5" x14ac:dyDescent="0.3">
      <c r="A159">
        <v>158</v>
      </c>
      <c r="B159" s="19">
        <v>45598</v>
      </c>
      <c r="C159">
        <f t="shared" si="6"/>
        <v>2024</v>
      </c>
      <c r="D159" t="str">
        <f t="shared" si="7"/>
        <v>November</v>
      </c>
      <c r="E159">
        <f t="shared" si="8"/>
        <v>11</v>
      </c>
    </row>
    <row r="160" spans="1:5" x14ac:dyDescent="0.3">
      <c r="A160">
        <v>159</v>
      </c>
      <c r="B160" s="19">
        <v>45592</v>
      </c>
      <c r="C160">
        <f t="shared" si="6"/>
        <v>2024</v>
      </c>
      <c r="D160" t="str">
        <f t="shared" si="7"/>
        <v>October</v>
      </c>
      <c r="E160">
        <f t="shared" si="8"/>
        <v>10</v>
      </c>
    </row>
    <row r="161" spans="1:5" x14ac:dyDescent="0.3">
      <c r="A161">
        <v>160</v>
      </c>
      <c r="B161" s="20">
        <v>45740</v>
      </c>
      <c r="C161">
        <f t="shared" si="6"/>
        <v>2025</v>
      </c>
      <c r="D161" t="str">
        <f t="shared" si="7"/>
        <v>March</v>
      </c>
      <c r="E161">
        <f t="shared" si="8"/>
        <v>3</v>
      </c>
    </row>
    <row r="162" spans="1:5" x14ac:dyDescent="0.3">
      <c r="A162">
        <v>161</v>
      </c>
      <c r="B162" s="19">
        <v>45224</v>
      </c>
      <c r="C162">
        <f t="shared" si="6"/>
        <v>2023</v>
      </c>
      <c r="D162" t="str">
        <f t="shared" si="7"/>
        <v>October</v>
      </c>
      <c r="E162">
        <f t="shared" si="8"/>
        <v>10</v>
      </c>
    </row>
    <row r="163" spans="1:5" x14ac:dyDescent="0.3">
      <c r="A163">
        <v>162</v>
      </c>
      <c r="B163" s="20">
        <v>45246</v>
      </c>
      <c r="C163">
        <f t="shared" si="6"/>
        <v>2023</v>
      </c>
      <c r="D163" t="str">
        <f t="shared" si="7"/>
        <v>November</v>
      </c>
      <c r="E163">
        <f t="shared" si="8"/>
        <v>11</v>
      </c>
    </row>
    <row r="164" spans="1:5" x14ac:dyDescent="0.3">
      <c r="A164">
        <v>163</v>
      </c>
      <c r="B164" s="19">
        <v>45837</v>
      </c>
      <c r="C164">
        <f t="shared" si="6"/>
        <v>2025</v>
      </c>
      <c r="D164" t="str">
        <f t="shared" si="7"/>
        <v>June</v>
      </c>
      <c r="E164">
        <f t="shared" si="8"/>
        <v>6</v>
      </c>
    </row>
    <row r="165" spans="1:5" x14ac:dyDescent="0.3">
      <c r="A165">
        <v>164</v>
      </c>
      <c r="B165" s="20">
        <v>45425</v>
      </c>
      <c r="C165">
        <f t="shared" si="6"/>
        <v>2024</v>
      </c>
      <c r="D165" t="str">
        <f t="shared" si="7"/>
        <v>May</v>
      </c>
      <c r="E165">
        <f t="shared" si="8"/>
        <v>5</v>
      </c>
    </row>
    <row r="166" spans="1:5" x14ac:dyDescent="0.3">
      <c r="A166">
        <v>165</v>
      </c>
      <c r="B166" s="19">
        <v>45272</v>
      </c>
      <c r="C166">
        <f t="shared" si="6"/>
        <v>2023</v>
      </c>
      <c r="D166" t="str">
        <f t="shared" si="7"/>
        <v>December</v>
      </c>
      <c r="E166">
        <f t="shared" si="8"/>
        <v>12</v>
      </c>
    </row>
    <row r="167" spans="1:5" x14ac:dyDescent="0.3">
      <c r="A167">
        <v>166</v>
      </c>
      <c r="B167" s="20">
        <v>45348</v>
      </c>
      <c r="C167">
        <f t="shared" si="6"/>
        <v>2024</v>
      </c>
      <c r="D167" t="str">
        <f t="shared" si="7"/>
        <v>February</v>
      </c>
      <c r="E167">
        <f t="shared" si="8"/>
        <v>2</v>
      </c>
    </row>
    <row r="168" spans="1:5" x14ac:dyDescent="0.3">
      <c r="A168">
        <v>167</v>
      </c>
      <c r="B168" s="20">
        <v>45540</v>
      </c>
      <c r="C168">
        <f t="shared" si="6"/>
        <v>2024</v>
      </c>
      <c r="D168" t="str">
        <f t="shared" si="7"/>
        <v>September</v>
      </c>
      <c r="E168">
        <f t="shared" si="8"/>
        <v>9</v>
      </c>
    </row>
    <row r="169" spans="1:5" x14ac:dyDescent="0.3">
      <c r="A169">
        <v>168</v>
      </c>
      <c r="B169" s="19">
        <v>45558</v>
      </c>
      <c r="C169">
        <f t="shared" si="6"/>
        <v>2024</v>
      </c>
      <c r="D169" t="str">
        <f t="shared" si="7"/>
        <v>September</v>
      </c>
      <c r="E169">
        <f t="shared" si="8"/>
        <v>9</v>
      </c>
    </row>
    <row r="170" spans="1:5" x14ac:dyDescent="0.3">
      <c r="A170">
        <v>169</v>
      </c>
      <c r="B170" s="20">
        <v>45525</v>
      </c>
      <c r="C170">
        <f t="shared" si="6"/>
        <v>2024</v>
      </c>
      <c r="D170" t="str">
        <f t="shared" si="7"/>
        <v>August</v>
      </c>
      <c r="E170">
        <f t="shared" si="8"/>
        <v>8</v>
      </c>
    </row>
    <row r="171" spans="1:5" x14ac:dyDescent="0.3">
      <c r="A171">
        <v>170</v>
      </c>
      <c r="B171" s="19">
        <v>45578</v>
      </c>
      <c r="C171">
        <f t="shared" si="6"/>
        <v>2024</v>
      </c>
      <c r="D171" t="str">
        <f t="shared" si="7"/>
        <v>October</v>
      </c>
      <c r="E171">
        <f t="shared" si="8"/>
        <v>10</v>
      </c>
    </row>
    <row r="172" spans="1:5" x14ac:dyDescent="0.3">
      <c r="A172">
        <v>171</v>
      </c>
      <c r="B172" s="20">
        <v>45603</v>
      </c>
      <c r="C172">
        <f t="shared" si="6"/>
        <v>2024</v>
      </c>
      <c r="D172" t="str">
        <f t="shared" si="7"/>
        <v>November</v>
      </c>
      <c r="E172">
        <f t="shared" si="8"/>
        <v>11</v>
      </c>
    </row>
    <row r="173" spans="1:5" x14ac:dyDescent="0.3">
      <c r="A173">
        <v>172</v>
      </c>
      <c r="B173" s="19">
        <v>45676</v>
      </c>
      <c r="C173">
        <f t="shared" si="6"/>
        <v>2025</v>
      </c>
      <c r="D173" t="str">
        <f t="shared" si="7"/>
        <v>January</v>
      </c>
      <c r="E173">
        <f t="shared" si="8"/>
        <v>1</v>
      </c>
    </row>
    <row r="174" spans="1:5" x14ac:dyDescent="0.3">
      <c r="A174">
        <v>173</v>
      </c>
      <c r="B174" s="19">
        <v>45430</v>
      </c>
      <c r="C174">
        <f t="shared" si="6"/>
        <v>2024</v>
      </c>
      <c r="D174" t="str">
        <f t="shared" si="7"/>
        <v>May</v>
      </c>
      <c r="E174">
        <f t="shared" si="8"/>
        <v>5</v>
      </c>
    </row>
    <row r="175" spans="1:5" x14ac:dyDescent="0.3">
      <c r="A175">
        <v>174</v>
      </c>
      <c r="B175" s="19">
        <v>45651</v>
      </c>
      <c r="C175">
        <f t="shared" si="6"/>
        <v>2024</v>
      </c>
      <c r="D175" t="str">
        <f t="shared" si="7"/>
        <v>December</v>
      </c>
      <c r="E175">
        <f t="shared" si="8"/>
        <v>12</v>
      </c>
    </row>
    <row r="176" spans="1:5" x14ac:dyDescent="0.3">
      <c r="A176">
        <v>175</v>
      </c>
      <c r="B176" s="20">
        <v>45694</v>
      </c>
      <c r="C176">
        <f t="shared" si="6"/>
        <v>2025</v>
      </c>
      <c r="D176" t="str">
        <f t="shared" si="7"/>
        <v>February</v>
      </c>
      <c r="E176">
        <f t="shared" si="8"/>
        <v>2</v>
      </c>
    </row>
    <row r="177" spans="1:5" x14ac:dyDescent="0.3">
      <c r="A177">
        <v>176</v>
      </c>
      <c r="B177" s="20">
        <v>45499</v>
      </c>
      <c r="C177">
        <f t="shared" si="6"/>
        <v>2024</v>
      </c>
      <c r="D177" t="str">
        <f t="shared" si="7"/>
        <v>July</v>
      </c>
      <c r="E177">
        <f t="shared" si="8"/>
        <v>7</v>
      </c>
    </row>
    <row r="178" spans="1:5" x14ac:dyDescent="0.3">
      <c r="A178">
        <v>177</v>
      </c>
      <c r="B178" s="19">
        <v>45742</v>
      </c>
      <c r="C178">
        <f t="shared" si="6"/>
        <v>2025</v>
      </c>
      <c r="D178" t="str">
        <f t="shared" si="7"/>
        <v>March</v>
      </c>
      <c r="E178">
        <f t="shared" si="8"/>
        <v>3</v>
      </c>
    </row>
    <row r="179" spans="1:5" x14ac:dyDescent="0.3">
      <c r="A179">
        <v>178</v>
      </c>
      <c r="B179" s="20">
        <v>45506</v>
      </c>
      <c r="C179">
        <f t="shared" si="6"/>
        <v>2024</v>
      </c>
      <c r="D179" t="str">
        <f t="shared" si="7"/>
        <v>August</v>
      </c>
      <c r="E179">
        <f t="shared" si="8"/>
        <v>8</v>
      </c>
    </row>
    <row r="180" spans="1:5" x14ac:dyDescent="0.3">
      <c r="A180">
        <v>179</v>
      </c>
      <c r="B180" s="20">
        <v>45843</v>
      </c>
      <c r="C180">
        <f t="shared" si="6"/>
        <v>2025</v>
      </c>
      <c r="D180" t="str">
        <f t="shared" si="7"/>
        <v>July</v>
      </c>
      <c r="E180">
        <f t="shared" si="8"/>
        <v>7</v>
      </c>
    </row>
    <row r="181" spans="1:5" x14ac:dyDescent="0.3">
      <c r="A181">
        <v>180</v>
      </c>
      <c r="B181" s="19">
        <v>45810</v>
      </c>
      <c r="C181">
        <f t="shared" si="6"/>
        <v>2025</v>
      </c>
      <c r="D181" t="str">
        <f t="shared" si="7"/>
        <v>June</v>
      </c>
      <c r="E181">
        <f t="shared" si="8"/>
        <v>6</v>
      </c>
    </row>
    <row r="182" spans="1:5" x14ac:dyDescent="0.3">
      <c r="A182">
        <v>181</v>
      </c>
      <c r="B182" s="20">
        <v>45157</v>
      </c>
      <c r="C182">
        <f t="shared" si="6"/>
        <v>2023</v>
      </c>
      <c r="D182" t="str">
        <f t="shared" si="7"/>
        <v>August</v>
      </c>
      <c r="E182">
        <f t="shared" si="8"/>
        <v>8</v>
      </c>
    </row>
    <row r="183" spans="1:5" x14ac:dyDescent="0.3">
      <c r="A183">
        <v>182</v>
      </c>
      <c r="B183" s="19">
        <v>45755</v>
      </c>
      <c r="C183">
        <f t="shared" si="6"/>
        <v>2025</v>
      </c>
      <c r="D183" t="str">
        <f t="shared" si="7"/>
        <v>April</v>
      </c>
      <c r="E183">
        <f t="shared" si="8"/>
        <v>4</v>
      </c>
    </row>
    <row r="184" spans="1:5" x14ac:dyDescent="0.3">
      <c r="A184">
        <v>183</v>
      </c>
      <c r="B184" s="19">
        <v>45806</v>
      </c>
      <c r="C184">
        <f t="shared" si="6"/>
        <v>2025</v>
      </c>
      <c r="D184" t="str">
        <f t="shared" si="7"/>
        <v>May</v>
      </c>
      <c r="E184">
        <f t="shared" si="8"/>
        <v>5</v>
      </c>
    </row>
    <row r="185" spans="1:5" x14ac:dyDescent="0.3">
      <c r="A185">
        <v>184</v>
      </c>
      <c r="B185" s="20">
        <v>45284</v>
      </c>
      <c r="C185">
        <f t="shared" si="6"/>
        <v>2023</v>
      </c>
      <c r="D185" t="str">
        <f t="shared" si="7"/>
        <v>December</v>
      </c>
      <c r="E185">
        <f t="shared" si="8"/>
        <v>12</v>
      </c>
    </row>
    <row r="186" spans="1:5" x14ac:dyDescent="0.3">
      <c r="A186">
        <v>185</v>
      </c>
      <c r="B186" s="19">
        <v>45626</v>
      </c>
      <c r="C186">
        <f t="shared" si="6"/>
        <v>2024</v>
      </c>
      <c r="D186" t="str">
        <f t="shared" si="7"/>
        <v>November</v>
      </c>
      <c r="E186">
        <f t="shared" si="8"/>
        <v>11</v>
      </c>
    </row>
    <row r="187" spans="1:5" x14ac:dyDescent="0.3">
      <c r="A187">
        <v>186</v>
      </c>
      <c r="B187" s="20">
        <v>45473</v>
      </c>
      <c r="C187">
        <f t="shared" si="6"/>
        <v>2024</v>
      </c>
      <c r="D187" t="str">
        <f t="shared" si="7"/>
        <v>June</v>
      </c>
      <c r="E187">
        <f t="shared" si="8"/>
        <v>6</v>
      </c>
    </row>
    <row r="188" spans="1:5" x14ac:dyDescent="0.3">
      <c r="A188">
        <v>187</v>
      </c>
      <c r="B188" s="19">
        <v>45769</v>
      </c>
      <c r="C188">
        <f t="shared" si="6"/>
        <v>2025</v>
      </c>
      <c r="D188" t="str">
        <f t="shared" si="7"/>
        <v>April</v>
      </c>
      <c r="E188">
        <f t="shared" si="8"/>
        <v>4</v>
      </c>
    </row>
    <row r="189" spans="1:5" x14ac:dyDescent="0.3">
      <c r="A189">
        <v>188</v>
      </c>
      <c r="B189" s="20">
        <v>45508</v>
      </c>
      <c r="C189">
        <f t="shared" si="6"/>
        <v>2024</v>
      </c>
      <c r="D189" t="str">
        <f t="shared" si="7"/>
        <v>August</v>
      </c>
      <c r="E189">
        <f t="shared" si="8"/>
        <v>8</v>
      </c>
    </row>
    <row r="190" spans="1:5" x14ac:dyDescent="0.3">
      <c r="A190">
        <v>189</v>
      </c>
      <c r="B190" s="20">
        <v>45358</v>
      </c>
      <c r="C190">
        <f t="shared" si="6"/>
        <v>2024</v>
      </c>
      <c r="D190" t="str">
        <f t="shared" si="7"/>
        <v>March</v>
      </c>
      <c r="E190">
        <f t="shared" si="8"/>
        <v>3</v>
      </c>
    </row>
    <row r="191" spans="1:5" x14ac:dyDescent="0.3">
      <c r="A191">
        <v>190</v>
      </c>
      <c r="B191" s="20">
        <v>45561</v>
      </c>
      <c r="C191">
        <f t="shared" si="6"/>
        <v>2024</v>
      </c>
      <c r="D191" t="str">
        <f t="shared" si="7"/>
        <v>September</v>
      </c>
      <c r="E191">
        <f t="shared" si="8"/>
        <v>9</v>
      </c>
    </row>
    <row r="192" spans="1:5" x14ac:dyDescent="0.3">
      <c r="A192">
        <v>191</v>
      </c>
      <c r="B192" s="20">
        <v>45412</v>
      </c>
      <c r="C192">
        <f t="shared" si="6"/>
        <v>2024</v>
      </c>
      <c r="D192" t="str">
        <f t="shared" si="7"/>
        <v>April</v>
      </c>
      <c r="E192">
        <f t="shared" si="8"/>
        <v>4</v>
      </c>
    </row>
    <row r="193" spans="1:5" x14ac:dyDescent="0.3">
      <c r="A193">
        <v>192</v>
      </c>
      <c r="B193" s="19">
        <v>45638</v>
      </c>
      <c r="C193">
        <f t="shared" si="6"/>
        <v>2024</v>
      </c>
      <c r="D193" t="str">
        <f t="shared" si="7"/>
        <v>December</v>
      </c>
      <c r="E193">
        <f t="shared" si="8"/>
        <v>12</v>
      </c>
    </row>
    <row r="194" spans="1:5" x14ac:dyDescent="0.3">
      <c r="A194">
        <v>193</v>
      </c>
      <c r="B194" s="19">
        <v>45648</v>
      </c>
      <c r="C194">
        <f t="shared" si="6"/>
        <v>2024</v>
      </c>
      <c r="D194" t="str">
        <f t="shared" si="7"/>
        <v>December</v>
      </c>
      <c r="E194">
        <f t="shared" si="8"/>
        <v>12</v>
      </c>
    </row>
    <row r="195" spans="1:5" x14ac:dyDescent="0.3">
      <c r="A195">
        <v>194</v>
      </c>
      <c r="B195" s="20">
        <v>45144</v>
      </c>
      <c r="C195">
        <f t="shared" ref="C195:C258" si="9">YEAR(B195)</f>
        <v>2023</v>
      </c>
      <c r="D195" t="str">
        <f t="shared" ref="D195:D258" si="10">TEXT(B195,"mmmm")</f>
        <v>August</v>
      </c>
      <c r="E195">
        <f t="shared" ref="E195:E258" si="11">MONTH(B195)</f>
        <v>8</v>
      </c>
    </row>
    <row r="196" spans="1:5" x14ac:dyDescent="0.3">
      <c r="A196">
        <v>195</v>
      </c>
      <c r="B196" s="20">
        <v>45285</v>
      </c>
      <c r="C196">
        <f t="shared" si="9"/>
        <v>2023</v>
      </c>
      <c r="D196" t="str">
        <f t="shared" si="10"/>
        <v>December</v>
      </c>
      <c r="E196">
        <f t="shared" si="11"/>
        <v>12</v>
      </c>
    </row>
    <row r="197" spans="1:5" x14ac:dyDescent="0.3">
      <c r="A197">
        <v>196</v>
      </c>
      <c r="B197" s="19">
        <v>45788</v>
      </c>
      <c r="C197">
        <f t="shared" si="9"/>
        <v>2025</v>
      </c>
      <c r="D197" t="str">
        <f t="shared" si="10"/>
        <v>May</v>
      </c>
      <c r="E197">
        <f t="shared" si="11"/>
        <v>5</v>
      </c>
    </row>
    <row r="198" spans="1:5" x14ac:dyDescent="0.3">
      <c r="A198">
        <v>197</v>
      </c>
      <c r="B198" s="20">
        <v>45240</v>
      </c>
      <c r="C198">
        <f t="shared" si="9"/>
        <v>2023</v>
      </c>
      <c r="D198" t="str">
        <f t="shared" si="10"/>
        <v>November</v>
      </c>
      <c r="E198">
        <f t="shared" si="11"/>
        <v>11</v>
      </c>
    </row>
    <row r="199" spans="1:5" x14ac:dyDescent="0.3">
      <c r="A199">
        <v>198</v>
      </c>
      <c r="B199" s="19">
        <v>45814</v>
      </c>
      <c r="C199">
        <f t="shared" si="9"/>
        <v>2025</v>
      </c>
      <c r="D199" t="str">
        <f t="shared" si="10"/>
        <v>June</v>
      </c>
      <c r="E199">
        <f t="shared" si="11"/>
        <v>6</v>
      </c>
    </row>
    <row r="200" spans="1:5" x14ac:dyDescent="0.3">
      <c r="A200">
        <v>199</v>
      </c>
      <c r="B200" s="19">
        <v>45617</v>
      </c>
      <c r="C200">
        <f t="shared" si="9"/>
        <v>2024</v>
      </c>
      <c r="D200" t="str">
        <f t="shared" si="10"/>
        <v>November</v>
      </c>
      <c r="E200">
        <f t="shared" si="11"/>
        <v>11</v>
      </c>
    </row>
    <row r="201" spans="1:5" x14ac:dyDescent="0.3">
      <c r="A201">
        <v>200</v>
      </c>
      <c r="B201" s="20">
        <v>45839</v>
      </c>
      <c r="C201">
        <f t="shared" si="9"/>
        <v>2025</v>
      </c>
      <c r="D201" t="str">
        <f t="shared" si="10"/>
        <v>July</v>
      </c>
      <c r="E201">
        <f t="shared" si="11"/>
        <v>7</v>
      </c>
    </row>
    <row r="202" spans="1:5" x14ac:dyDescent="0.3">
      <c r="A202">
        <v>201</v>
      </c>
      <c r="B202" s="20">
        <v>45771</v>
      </c>
      <c r="C202">
        <f t="shared" si="9"/>
        <v>2025</v>
      </c>
      <c r="D202" t="str">
        <f t="shared" si="10"/>
        <v>April</v>
      </c>
      <c r="E202">
        <f t="shared" si="11"/>
        <v>4</v>
      </c>
    </row>
    <row r="203" spans="1:5" x14ac:dyDescent="0.3">
      <c r="A203">
        <v>202</v>
      </c>
      <c r="B203" s="20">
        <v>45705</v>
      </c>
      <c r="C203">
        <f t="shared" si="9"/>
        <v>2025</v>
      </c>
      <c r="D203" t="str">
        <f t="shared" si="10"/>
        <v>February</v>
      </c>
      <c r="E203">
        <f t="shared" si="11"/>
        <v>2</v>
      </c>
    </row>
    <row r="204" spans="1:5" x14ac:dyDescent="0.3">
      <c r="A204">
        <v>203</v>
      </c>
      <c r="B204" s="20">
        <v>45546</v>
      </c>
      <c r="C204">
        <f t="shared" si="9"/>
        <v>2024</v>
      </c>
      <c r="D204" t="str">
        <f t="shared" si="10"/>
        <v>September</v>
      </c>
      <c r="E204">
        <f t="shared" si="11"/>
        <v>9</v>
      </c>
    </row>
    <row r="205" spans="1:5" x14ac:dyDescent="0.3">
      <c r="A205">
        <v>204</v>
      </c>
      <c r="B205" s="19">
        <v>45693</v>
      </c>
      <c r="C205">
        <f t="shared" si="9"/>
        <v>2025</v>
      </c>
      <c r="D205" t="str">
        <f t="shared" si="10"/>
        <v>February</v>
      </c>
      <c r="E205">
        <f t="shared" si="11"/>
        <v>2</v>
      </c>
    </row>
    <row r="206" spans="1:5" x14ac:dyDescent="0.3">
      <c r="A206">
        <v>205</v>
      </c>
      <c r="B206" s="20">
        <v>45816</v>
      </c>
      <c r="C206">
        <f t="shared" si="9"/>
        <v>2025</v>
      </c>
      <c r="D206" t="str">
        <f t="shared" si="10"/>
        <v>June</v>
      </c>
      <c r="E206">
        <f t="shared" si="11"/>
        <v>6</v>
      </c>
    </row>
    <row r="207" spans="1:5" x14ac:dyDescent="0.3">
      <c r="A207">
        <v>206</v>
      </c>
      <c r="B207" s="19">
        <v>45789</v>
      </c>
      <c r="C207">
        <f t="shared" si="9"/>
        <v>2025</v>
      </c>
      <c r="D207" t="str">
        <f t="shared" si="10"/>
        <v>May</v>
      </c>
      <c r="E207">
        <f t="shared" si="11"/>
        <v>5</v>
      </c>
    </row>
    <row r="208" spans="1:5" x14ac:dyDescent="0.3">
      <c r="A208">
        <v>207</v>
      </c>
      <c r="B208" s="19">
        <v>45758</v>
      </c>
      <c r="C208">
        <f t="shared" si="9"/>
        <v>2025</v>
      </c>
      <c r="D208" t="str">
        <f t="shared" si="10"/>
        <v>April</v>
      </c>
      <c r="E208">
        <f t="shared" si="11"/>
        <v>4</v>
      </c>
    </row>
    <row r="209" spans="1:5" x14ac:dyDescent="0.3">
      <c r="A209">
        <v>208</v>
      </c>
      <c r="B209" s="20">
        <v>45678</v>
      </c>
      <c r="C209">
        <f t="shared" si="9"/>
        <v>2025</v>
      </c>
      <c r="D209" t="str">
        <f t="shared" si="10"/>
        <v>January</v>
      </c>
      <c r="E209">
        <f t="shared" si="11"/>
        <v>1</v>
      </c>
    </row>
    <row r="210" spans="1:5" x14ac:dyDescent="0.3">
      <c r="A210">
        <v>209</v>
      </c>
      <c r="B210" s="19">
        <v>45704</v>
      </c>
      <c r="C210">
        <f t="shared" si="9"/>
        <v>2025</v>
      </c>
      <c r="D210" t="str">
        <f t="shared" si="10"/>
        <v>February</v>
      </c>
      <c r="E210">
        <f t="shared" si="11"/>
        <v>2</v>
      </c>
    </row>
    <row r="211" spans="1:5" x14ac:dyDescent="0.3">
      <c r="A211">
        <v>210</v>
      </c>
      <c r="B211" s="20">
        <v>45660</v>
      </c>
      <c r="C211">
        <f t="shared" si="9"/>
        <v>2025</v>
      </c>
      <c r="D211" t="str">
        <f t="shared" si="10"/>
        <v>January</v>
      </c>
      <c r="E211">
        <f t="shared" si="11"/>
        <v>1</v>
      </c>
    </row>
    <row r="212" spans="1:5" x14ac:dyDescent="0.3">
      <c r="A212">
        <v>211</v>
      </c>
      <c r="B212" s="19">
        <v>45633</v>
      </c>
      <c r="C212">
        <f t="shared" si="9"/>
        <v>2024</v>
      </c>
      <c r="D212" t="str">
        <f t="shared" si="10"/>
        <v>December</v>
      </c>
      <c r="E212">
        <f t="shared" si="11"/>
        <v>12</v>
      </c>
    </row>
    <row r="213" spans="1:5" x14ac:dyDescent="0.3">
      <c r="A213">
        <v>212</v>
      </c>
      <c r="B213" s="20">
        <v>45818</v>
      </c>
      <c r="C213">
        <f t="shared" si="9"/>
        <v>2025</v>
      </c>
      <c r="D213" t="str">
        <f t="shared" si="10"/>
        <v>June</v>
      </c>
      <c r="E213">
        <f t="shared" si="11"/>
        <v>6</v>
      </c>
    </row>
    <row r="214" spans="1:5" x14ac:dyDescent="0.3">
      <c r="A214">
        <v>213</v>
      </c>
      <c r="B214" s="19">
        <v>45620</v>
      </c>
      <c r="C214">
        <f t="shared" si="9"/>
        <v>2024</v>
      </c>
      <c r="D214" t="str">
        <f t="shared" si="10"/>
        <v>November</v>
      </c>
      <c r="E214">
        <f t="shared" si="11"/>
        <v>11</v>
      </c>
    </row>
    <row r="215" spans="1:5" x14ac:dyDescent="0.3">
      <c r="A215">
        <v>214</v>
      </c>
      <c r="B215" s="19">
        <v>45652</v>
      </c>
      <c r="C215">
        <f t="shared" si="9"/>
        <v>2024</v>
      </c>
      <c r="D215" t="str">
        <f t="shared" si="10"/>
        <v>December</v>
      </c>
      <c r="E215">
        <f t="shared" si="11"/>
        <v>12</v>
      </c>
    </row>
    <row r="216" spans="1:5" x14ac:dyDescent="0.3">
      <c r="A216">
        <v>215</v>
      </c>
      <c r="B216" s="19">
        <v>45335</v>
      </c>
      <c r="C216">
        <f t="shared" si="9"/>
        <v>2024</v>
      </c>
      <c r="D216" t="str">
        <f t="shared" si="10"/>
        <v>February</v>
      </c>
      <c r="E216">
        <f t="shared" si="11"/>
        <v>2</v>
      </c>
    </row>
    <row r="217" spans="1:5" x14ac:dyDescent="0.3">
      <c r="A217">
        <v>216</v>
      </c>
      <c r="B217" s="19">
        <v>45500</v>
      </c>
      <c r="C217">
        <f t="shared" si="9"/>
        <v>2024</v>
      </c>
      <c r="D217" t="str">
        <f t="shared" si="10"/>
        <v>July</v>
      </c>
      <c r="E217">
        <f t="shared" si="11"/>
        <v>7</v>
      </c>
    </row>
    <row r="218" spans="1:5" x14ac:dyDescent="0.3">
      <c r="A218">
        <v>217</v>
      </c>
      <c r="B218" s="19">
        <v>45679</v>
      </c>
      <c r="C218">
        <f t="shared" si="9"/>
        <v>2025</v>
      </c>
      <c r="D218" t="str">
        <f t="shared" si="10"/>
        <v>January</v>
      </c>
      <c r="E218">
        <f t="shared" si="11"/>
        <v>1</v>
      </c>
    </row>
    <row r="219" spans="1:5" x14ac:dyDescent="0.3">
      <c r="A219">
        <v>218</v>
      </c>
      <c r="B219" s="20">
        <v>45574</v>
      </c>
      <c r="C219">
        <f t="shared" si="9"/>
        <v>2024</v>
      </c>
      <c r="D219" t="str">
        <f t="shared" si="10"/>
        <v>October</v>
      </c>
      <c r="E219">
        <f t="shared" si="11"/>
        <v>10</v>
      </c>
    </row>
    <row r="220" spans="1:5" x14ac:dyDescent="0.3">
      <c r="A220">
        <v>219</v>
      </c>
      <c r="B220" s="20">
        <v>45486</v>
      </c>
      <c r="C220">
        <f t="shared" si="9"/>
        <v>2024</v>
      </c>
      <c r="D220" t="str">
        <f t="shared" si="10"/>
        <v>July</v>
      </c>
      <c r="E220">
        <f t="shared" si="11"/>
        <v>7</v>
      </c>
    </row>
    <row r="221" spans="1:5" x14ac:dyDescent="0.3">
      <c r="A221">
        <v>220</v>
      </c>
      <c r="B221" s="19">
        <v>45549</v>
      </c>
      <c r="C221">
        <f t="shared" si="9"/>
        <v>2024</v>
      </c>
      <c r="D221" t="str">
        <f t="shared" si="10"/>
        <v>September</v>
      </c>
      <c r="E221">
        <f t="shared" si="11"/>
        <v>9</v>
      </c>
    </row>
    <row r="222" spans="1:5" x14ac:dyDescent="0.3">
      <c r="A222">
        <v>221</v>
      </c>
      <c r="B222" s="20">
        <v>45841</v>
      </c>
      <c r="C222">
        <f t="shared" si="9"/>
        <v>2025</v>
      </c>
      <c r="D222" t="str">
        <f t="shared" si="10"/>
        <v>July</v>
      </c>
      <c r="E222">
        <f t="shared" si="11"/>
        <v>7</v>
      </c>
    </row>
    <row r="223" spans="1:5" x14ac:dyDescent="0.3">
      <c r="A223">
        <v>222</v>
      </c>
      <c r="B223" s="20">
        <v>45507</v>
      </c>
      <c r="C223">
        <f t="shared" si="9"/>
        <v>2024</v>
      </c>
      <c r="D223" t="str">
        <f t="shared" si="10"/>
        <v>August</v>
      </c>
      <c r="E223">
        <f t="shared" si="11"/>
        <v>8</v>
      </c>
    </row>
    <row r="224" spans="1:5" x14ac:dyDescent="0.3">
      <c r="A224">
        <v>223</v>
      </c>
      <c r="B224" s="20">
        <v>45132</v>
      </c>
      <c r="C224">
        <f t="shared" si="9"/>
        <v>2023</v>
      </c>
      <c r="D224" t="str">
        <f t="shared" si="10"/>
        <v>July</v>
      </c>
      <c r="E224">
        <f t="shared" si="11"/>
        <v>7</v>
      </c>
    </row>
    <row r="225" spans="1:5" x14ac:dyDescent="0.3">
      <c r="A225">
        <v>224</v>
      </c>
      <c r="B225" s="20">
        <v>45738</v>
      </c>
      <c r="C225">
        <f t="shared" si="9"/>
        <v>2025</v>
      </c>
      <c r="D225" t="str">
        <f t="shared" si="10"/>
        <v>March</v>
      </c>
      <c r="E225">
        <f t="shared" si="11"/>
        <v>3</v>
      </c>
    </row>
    <row r="226" spans="1:5" x14ac:dyDescent="0.3">
      <c r="A226">
        <v>225</v>
      </c>
      <c r="B226" s="19">
        <v>45744</v>
      </c>
      <c r="C226">
        <f t="shared" si="9"/>
        <v>2025</v>
      </c>
      <c r="D226" t="str">
        <f t="shared" si="10"/>
        <v>March</v>
      </c>
      <c r="E226">
        <f t="shared" si="11"/>
        <v>3</v>
      </c>
    </row>
    <row r="227" spans="1:5" x14ac:dyDescent="0.3">
      <c r="A227">
        <v>226</v>
      </c>
      <c r="B227" s="20">
        <v>45596</v>
      </c>
      <c r="C227">
        <f t="shared" si="9"/>
        <v>2024</v>
      </c>
      <c r="D227" t="str">
        <f t="shared" si="10"/>
        <v>October</v>
      </c>
      <c r="E227">
        <f t="shared" si="11"/>
        <v>10</v>
      </c>
    </row>
    <row r="228" spans="1:5" x14ac:dyDescent="0.3">
      <c r="A228">
        <v>227</v>
      </c>
      <c r="B228" s="19">
        <v>45715</v>
      </c>
      <c r="C228">
        <f t="shared" si="9"/>
        <v>2025</v>
      </c>
      <c r="D228" t="str">
        <f t="shared" si="10"/>
        <v>February</v>
      </c>
      <c r="E228">
        <f t="shared" si="11"/>
        <v>2</v>
      </c>
    </row>
    <row r="229" spans="1:5" x14ac:dyDescent="0.3">
      <c r="A229">
        <v>228</v>
      </c>
      <c r="B229" s="19">
        <v>45673</v>
      </c>
      <c r="C229">
        <f t="shared" si="9"/>
        <v>2025</v>
      </c>
      <c r="D229" t="str">
        <f t="shared" si="10"/>
        <v>January</v>
      </c>
      <c r="E229">
        <f t="shared" si="11"/>
        <v>1</v>
      </c>
    </row>
    <row r="230" spans="1:5" x14ac:dyDescent="0.3">
      <c r="A230">
        <v>229</v>
      </c>
      <c r="B230" s="20">
        <v>45828</v>
      </c>
      <c r="C230">
        <f t="shared" si="9"/>
        <v>2025</v>
      </c>
      <c r="D230" t="str">
        <f t="shared" si="10"/>
        <v>June</v>
      </c>
      <c r="E230">
        <f t="shared" si="11"/>
        <v>6</v>
      </c>
    </row>
    <row r="231" spans="1:5" x14ac:dyDescent="0.3">
      <c r="A231">
        <v>230</v>
      </c>
      <c r="B231" s="20">
        <v>45823</v>
      </c>
      <c r="C231">
        <f t="shared" si="9"/>
        <v>2025</v>
      </c>
      <c r="D231" t="str">
        <f t="shared" si="10"/>
        <v>June</v>
      </c>
      <c r="E231">
        <f t="shared" si="11"/>
        <v>6</v>
      </c>
    </row>
    <row r="232" spans="1:5" x14ac:dyDescent="0.3">
      <c r="A232">
        <v>231</v>
      </c>
      <c r="B232" s="19">
        <v>45539</v>
      </c>
      <c r="C232">
        <f t="shared" si="9"/>
        <v>2024</v>
      </c>
      <c r="D232" t="str">
        <f t="shared" si="10"/>
        <v>September</v>
      </c>
      <c r="E232">
        <f t="shared" si="11"/>
        <v>9</v>
      </c>
    </row>
    <row r="233" spans="1:5" x14ac:dyDescent="0.3">
      <c r="A233">
        <v>232</v>
      </c>
      <c r="B233" s="19">
        <v>45533</v>
      </c>
      <c r="C233">
        <f t="shared" si="9"/>
        <v>2024</v>
      </c>
      <c r="D233" t="str">
        <f t="shared" si="10"/>
        <v>August</v>
      </c>
      <c r="E233">
        <f t="shared" si="11"/>
        <v>8</v>
      </c>
    </row>
    <row r="234" spans="1:5" x14ac:dyDescent="0.3">
      <c r="A234">
        <v>233</v>
      </c>
      <c r="B234" s="20">
        <v>45812</v>
      </c>
      <c r="C234">
        <f t="shared" si="9"/>
        <v>2025</v>
      </c>
      <c r="D234" t="str">
        <f t="shared" si="10"/>
        <v>June</v>
      </c>
      <c r="E234">
        <f t="shared" si="11"/>
        <v>6</v>
      </c>
    </row>
    <row r="235" spans="1:5" x14ac:dyDescent="0.3">
      <c r="A235">
        <v>234</v>
      </c>
      <c r="B235" s="19">
        <v>45253</v>
      </c>
      <c r="C235">
        <f t="shared" si="9"/>
        <v>2023</v>
      </c>
      <c r="D235" t="str">
        <f t="shared" si="10"/>
        <v>November</v>
      </c>
      <c r="E235">
        <f t="shared" si="11"/>
        <v>11</v>
      </c>
    </row>
    <row r="236" spans="1:5" x14ac:dyDescent="0.3">
      <c r="A236">
        <v>235</v>
      </c>
      <c r="B236" s="20">
        <v>45515</v>
      </c>
      <c r="C236">
        <f t="shared" si="9"/>
        <v>2024</v>
      </c>
      <c r="D236" t="str">
        <f t="shared" si="10"/>
        <v>August</v>
      </c>
      <c r="E236">
        <f t="shared" si="11"/>
        <v>8</v>
      </c>
    </row>
    <row r="237" spans="1:5" x14ac:dyDescent="0.3">
      <c r="A237">
        <v>236</v>
      </c>
      <c r="B237" s="20">
        <v>45580</v>
      </c>
      <c r="C237">
        <f t="shared" si="9"/>
        <v>2024</v>
      </c>
      <c r="D237" t="str">
        <f t="shared" si="10"/>
        <v>October</v>
      </c>
      <c r="E237">
        <f t="shared" si="11"/>
        <v>10</v>
      </c>
    </row>
    <row r="238" spans="1:5" x14ac:dyDescent="0.3">
      <c r="A238">
        <v>237</v>
      </c>
      <c r="B238" s="19">
        <v>45726</v>
      </c>
      <c r="C238">
        <f t="shared" si="9"/>
        <v>2025</v>
      </c>
      <c r="D238" t="str">
        <f t="shared" si="10"/>
        <v>March</v>
      </c>
      <c r="E238">
        <f t="shared" si="11"/>
        <v>3</v>
      </c>
    </row>
    <row r="239" spans="1:5" x14ac:dyDescent="0.3">
      <c r="A239">
        <v>238</v>
      </c>
      <c r="B239" s="20">
        <v>45568</v>
      </c>
      <c r="C239">
        <f t="shared" si="9"/>
        <v>2024</v>
      </c>
      <c r="D239" t="str">
        <f t="shared" si="10"/>
        <v>October</v>
      </c>
      <c r="E239">
        <f t="shared" si="11"/>
        <v>10</v>
      </c>
    </row>
    <row r="240" spans="1:5" x14ac:dyDescent="0.3">
      <c r="A240">
        <v>239</v>
      </c>
      <c r="B240" s="20">
        <v>45776</v>
      </c>
      <c r="C240">
        <f t="shared" si="9"/>
        <v>2025</v>
      </c>
      <c r="D240" t="str">
        <f t="shared" si="10"/>
        <v>April</v>
      </c>
      <c r="E240">
        <f t="shared" si="11"/>
        <v>4</v>
      </c>
    </row>
    <row r="241" spans="1:5" x14ac:dyDescent="0.3">
      <c r="A241">
        <v>240</v>
      </c>
      <c r="B241" s="19">
        <v>45445</v>
      </c>
      <c r="C241">
        <f t="shared" si="9"/>
        <v>2024</v>
      </c>
      <c r="D241" t="str">
        <f t="shared" si="10"/>
        <v>June</v>
      </c>
      <c r="E241">
        <f t="shared" si="11"/>
        <v>6</v>
      </c>
    </row>
    <row r="242" spans="1:5" x14ac:dyDescent="0.3">
      <c r="A242">
        <v>241</v>
      </c>
      <c r="B242" s="20">
        <v>45763</v>
      </c>
      <c r="C242">
        <f t="shared" si="9"/>
        <v>2025</v>
      </c>
      <c r="D242" t="str">
        <f t="shared" si="10"/>
        <v>April</v>
      </c>
      <c r="E242">
        <f t="shared" si="11"/>
        <v>4</v>
      </c>
    </row>
    <row r="243" spans="1:5" x14ac:dyDescent="0.3">
      <c r="A243">
        <v>242</v>
      </c>
      <c r="B243" s="20">
        <v>45703</v>
      </c>
      <c r="C243">
        <f t="shared" si="9"/>
        <v>2025</v>
      </c>
      <c r="D243" t="str">
        <f t="shared" si="10"/>
        <v>February</v>
      </c>
      <c r="E243">
        <f t="shared" si="11"/>
        <v>2</v>
      </c>
    </row>
    <row r="244" spans="1:5" x14ac:dyDescent="0.3">
      <c r="A244">
        <v>243</v>
      </c>
      <c r="B244" s="19">
        <v>45186</v>
      </c>
      <c r="C244">
        <f t="shared" si="9"/>
        <v>2023</v>
      </c>
      <c r="D244" t="str">
        <f t="shared" si="10"/>
        <v>September</v>
      </c>
      <c r="E244">
        <f t="shared" si="11"/>
        <v>9</v>
      </c>
    </row>
    <row r="245" spans="1:5" x14ac:dyDescent="0.3">
      <c r="A245">
        <v>244</v>
      </c>
      <c r="B245" s="19">
        <v>45860</v>
      </c>
      <c r="C245">
        <f t="shared" si="9"/>
        <v>2025</v>
      </c>
      <c r="D245" t="str">
        <f t="shared" si="10"/>
        <v>July</v>
      </c>
      <c r="E245">
        <f t="shared" si="11"/>
        <v>7</v>
      </c>
    </row>
    <row r="246" spans="1:5" x14ac:dyDescent="0.3">
      <c r="A246">
        <v>245</v>
      </c>
      <c r="B246" s="19">
        <v>45479</v>
      </c>
      <c r="C246">
        <f t="shared" si="9"/>
        <v>2024</v>
      </c>
      <c r="D246" t="str">
        <f t="shared" si="10"/>
        <v>July</v>
      </c>
      <c r="E246">
        <f t="shared" si="11"/>
        <v>7</v>
      </c>
    </row>
    <row r="247" spans="1:5" x14ac:dyDescent="0.3">
      <c r="A247">
        <v>246</v>
      </c>
      <c r="B247" s="20">
        <v>45484</v>
      </c>
      <c r="C247">
        <f t="shared" si="9"/>
        <v>2024</v>
      </c>
      <c r="D247" t="str">
        <f t="shared" si="10"/>
        <v>July</v>
      </c>
      <c r="E247">
        <f t="shared" si="11"/>
        <v>7</v>
      </c>
    </row>
    <row r="248" spans="1:5" x14ac:dyDescent="0.3">
      <c r="A248">
        <v>247</v>
      </c>
      <c r="B248" s="20">
        <v>45827</v>
      </c>
      <c r="C248">
        <f t="shared" si="9"/>
        <v>2025</v>
      </c>
      <c r="D248" t="str">
        <f t="shared" si="10"/>
        <v>June</v>
      </c>
      <c r="E248">
        <f t="shared" si="11"/>
        <v>6</v>
      </c>
    </row>
    <row r="249" spans="1:5" x14ac:dyDescent="0.3">
      <c r="A249">
        <v>248</v>
      </c>
      <c r="B249" s="19">
        <v>45519</v>
      </c>
      <c r="C249">
        <f t="shared" si="9"/>
        <v>2024</v>
      </c>
      <c r="D249" t="str">
        <f t="shared" si="10"/>
        <v>August</v>
      </c>
      <c r="E249">
        <f t="shared" si="11"/>
        <v>8</v>
      </c>
    </row>
    <row r="250" spans="1:5" x14ac:dyDescent="0.3">
      <c r="A250">
        <v>249</v>
      </c>
      <c r="B250" s="20">
        <v>45263</v>
      </c>
      <c r="C250">
        <f t="shared" si="9"/>
        <v>2023</v>
      </c>
      <c r="D250" t="str">
        <f t="shared" si="10"/>
        <v>December</v>
      </c>
      <c r="E250">
        <f t="shared" si="11"/>
        <v>12</v>
      </c>
    </row>
    <row r="251" spans="1:5" x14ac:dyDescent="0.3">
      <c r="A251">
        <v>250</v>
      </c>
      <c r="B251" s="19">
        <v>45269</v>
      </c>
      <c r="C251">
        <f t="shared" si="9"/>
        <v>2023</v>
      </c>
      <c r="D251" t="str">
        <f t="shared" si="10"/>
        <v>December</v>
      </c>
      <c r="E251">
        <f t="shared" si="11"/>
        <v>12</v>
      </c>
    </row>
    <row r="252" spans="1:5" x14ac:dyDescent="0.3">
      <c r="A252">
        <v>251</v>
      </c>
      <c r="B252" s="19">
        <v>45456</v>
      </c>
      <c r="C252">
        <f t="shared" si="9"/>
        <v>2024</v>
      </c>
      <c r="D252" t="str">
        <f t="shared" si="10"/>
        <v>June</v>
      </c>
      <c r="E252">
        <f t="shared" si="11"/>
        <v>6</v>
      </c>
    </row>
    <row r="253" spans="1:5" x14ac:dyDescent="0.3">
      <c r="A253">
        <v>252</v>
      </c>
      <c r="B253" s="20">
        <v>45801</v>
      </c>
      <c r="C253">
        <f t="shared" si="9"/>
        <v>2025</v>
      </c>
      <c r="D253" t="str">
        <f t="shared" si="10"/>
        <v>May</v>
      </c>
      <c r="E253">
        <f t="shared" si="11"/>
        <v>5</v>
      </c>
    </row>
    <row r="254" spans="1:5" x14ac:dyDescent="0.3">
      <c r="A254">
        <v>253</v>
      </c>
      <c r="B254" s="20">
        <v>45308</v>
      </c>
      <c r="C254">
        <f t="shared" si="9"/>
        <v>2024</v>
      </c>
      <c r="D254" t="str">
        <f t="shared" si="10"/>
        <v>January</v>
      </c>
      <c r="E254">
        <f t="shared" si="11"/>
        <v>1</v>
      </c>
    </row>
    <row r="255" spans="1:5" x14ac:dyDescent="0.3">
      <c r="A255">
        <v>254</v>
      </c>
      <c r="B255" s="19">
        <v>45577</v>
      </c>
      <c r="C255">
        <f t="shared" si="9"/>
        <v>2024</v>
      </c>
      <c r="D255" t="str">
        <f t="shared" si="10"/>
        <v>October</v>
      </c>
      <c r="E255">
        <f t="shared" si="11"/>
        <v>10</v>
      </c>
    </row>
    <row r="256" spans="1:5" x14ac:dyDescent="0.3">
      <c r="A256">
        <v>255</v>
      </c>
      <c r="B256" s="19">
        <v>45725</v>
      </c>
      <c r="C256">
        <f t="shared" si="9"/>
        <v>2025</v>
      </c>
      <c r="D256" t="str">
        <f t="shared" si="10"/>
        <v>March</v>
      </c>
      <c r="E256">
        <f t="shared" si="11"/>
        <v>3</v>
      </c>
    </row>
    <row r="257" spans="1:5" x14ac:dyDescent="0.3">
      <c r="A257">
        <v>256</v>
      </c>
      <c r="B257" s="20">
        <v>45825</v>
      </c>
      <c r="C257">
        <f t="shared" si="9"/>
        <v>2025</v>
      </c>
      <c r="D257" t="str">
        <f t="shared" si="10"/>
        <v>June</v>
      </c>
      <c r="E257">
        <f t="shared" si="11"/>
        <v>6</v>
      </c>
    </row>
    <row r="258" spans="1:5" x14ac:dyDescent="0.3">
      <c r="A258">
        <v>257</v>
      </c>
      <c r="B258" s="19">
        <v>45783</v>
      </c>
      <c r="C258">
        <f t="shared" si="9"/>
        <v>2025</v>
      </c>
      <c r="D258" t="str">
        <f t="shared" si="10"/>
        <v>May</v>
      </c>
      <c r="E258">
        <f t="shared" si="11"/>
        <v>5</v>
      </c>
    </row>
    <row r="259" spans="1:5" x14ac:dyDescent="0.3">
      <c r="A259">
        <v>258</v>
      </c>
      <c r="B259" s="20">
        <v>45708</v>
      </c>
      <c r="C259">
        <f t="shared" ref="C259:C322" si="12">YEAR(B259)</f>
        <v>2025</v>
      </c>
      <c r="D259" t="str">
        <f t="shared" ref="D259:D322" si="13">TEXT(B259,"mmmm")</f>
        <v>February</v>
      </c>
      <c r="E259">
        <f t="shared" ref="E259:E322" si="14">MONTH(B259)</f>
        <v>2</v>
      </c>
    </row>
    <row r="260" spans="1:5" x14ac:dyDescent="0.3">
      <c r="A260">
        <v>259</v>
      </c>
      <c r="B260" s="19">
        <v>45176</v>
      </c>
      <c r="C260">
        <f t="shared" si="12"/>
        <v>2023</v>
      </c>
      <c r="D260" t="str">
        <f t="shared" si="13"/>
        <v>September</v>
      </c>
      <c r="E260">
        <f t="shared" si="14"/>
        <v>9</v>
      </c>
    </row>
    <row r="261" spans="1:5" x14ac:dyDescent="0.3">
      <c r="A261">
        <v>260</v>
      </c>
      <c r="B261" s="19">
        <v>45153</v>
      </c>
      <c r="C261">
        <f t="shared" si="12"/>
        <v>2023</v>
      </c>
      <c r="D261" t="str">
        <f t="shared" si="13"/>
        <v>August</v>
      </c>
      <c r="E261">
        <f t="shared" si="14"/>
        <v>8</v>
      </c>
    </row>
    <row r="262" spans="1:5" x14ac:dyDescent="0.3">
      <c r="A262">
        <v>261</v>
      </c>
      <c r="B262" s="20">
        <v>45159</v>
      </c>
      <c r="C262">
        <f t="shared" si="12"/>
        <v>2023</v>
      </c>
      <c r="D262" t="str">
        <f t="shared" si="13"/>
        <v>August</v>
      </c>
      <c r="E262">
        <f t="shared" si="14"/>
        <v>8</v>
      </c>
    </row>
    <row r="263" spans="1:5" x14ac:dyDescent="0.3">
      <c r="A263">
        <v>262</v>
      </c>
      <c r="B263" s="19">
        <v>45681</v>
      </c>
      <c r="C263">
        <f t="shared" si="12"/>
        <v>2025</v>
      </c>
      <c r="D263" t="str">
        <f t="shared" si="13"/>
        <v>January</v>
      </c>
      <c r="E263">
        <f t="shared" si="14"/>
        <v>1</v>
      </c>
    </row>
    <row r="264" spans="1:5" x14ac:dyDescent="0.3">
      <c r="A264">
        <v>263</v>
      </c>
      <c r="B264" s="19">
        <v>45491</v>
      </c>
      <c r="C264">
        <f t="shared" si="12"/>
        <v>2024</v>
      </c>
      <c r="D264" t="str">
        <f t="shared" si="13"/>
        <v>July</v>
      </c>
      <c r="E264">
        <f t="shared" si="14"/>
        <v>7</v>
      </c>
    </row>
    <row r="265" spans="1:5" x14ac:dyDescent="0.3">
      <c r="A265">
        <v>264</v>
      </c>
      <c r="B265" s="19">
        <v>45420</v>
      </c>
      <c r="C265">
        <f t="shared" si="12"/>
        <v>2024</v>
      </c>
      <c r="D265" t="str">
        <f t="shared" si="13"/>
        <v>May</v>
      </c>
      <c r="E265">
        <f t="shared" si="14"/>
        <v>5</v>
      </c>
    </row>
    <row r="266" spans="1:5" x14ac:dyDescent="0.3">
      <c r="A266">
        <v>265</v>
      </c>
      <c r="B266" s="19">
        <v>45289</v>
      </c>
      <c r="C266">
        <f t="shared" si="12"/>
        <v>2023</v>
      </c>
      <c r="D266" t="str">
        <f t="shared" si="13"/>
        <v>December</v>
      </c>
      <c r="E266">
        <f t="shared" si="14"/>
        <v>12</v>
      </c>
    </row>
    <row r="267" spans="1:5" x14ac:dyDescent="0.3">
      <c r="A267">
        <v>266</v>
      </c>
      <c r="B267" s="20">
        <v>45366</v>
      </c>
      <c r="C267">
        <f t="shared" si="12"/>
        <v>2024</v>
      </c>
      <c r="D267" t="str">
        <f t="shared" si="13"/>
        <v>March</v>
      </c>
      <c r="E267">
        <f t="shared" si="14"/>
        <v>3</v>
      </c>
    </row>
    <row r="268" spans="1:5" x14ac:dyDescent="0.3">
      <c r="A268">
        <v>267</v>
      </c>
      <c r="B268" s="19">
        <v>45774</v>
      </c>
      <c r="C268">
        <f t="shared" si="12"/>
        <v>2025</v>
      </c>
      <c r="D268" t="str">
        <f t="shared" si="13"/>
        <v>April</v>
      </c>
      <c r="E268">
        <f t="shared" si="14"/>
        <v>4</v>
      </c>
    </row>
    <row r="269" spans="1:5" x14ac:dyDescent="0.3">
      <c r="A269">
        <v>268</v>
      </c>
      <c r="B269" s="19">
        <v>45734</v>
      </c>
      <c r="C269">
        <f t="shared" si="12"/>
        <v>2025</v>
      </c>
      <c r="D269" t="str">
        <f t="shared" si="13"/>
        <v>March</v>
      </c>
      <c r="E269">
        <f t="shared" si="14"/>
        <v>3</v>
      </c>
    </row>
    <row r="270" spans="1:5" x14ac:dyDescent="0.3">
      <c r="A270">
        <v>269</v>
      </c>
      <c r="B270" s="19">
        <v>45655</v>
      </c>
      <c r="C270">
        <f t="shared" si="12"/>
        <v>2024</v>
      </c>
      <c r="D270" t="str">
        <f t="shared" si="13"/>
        <v>December</v>
      </c>
      <c r="E270">
        <f t="shared" si="14"/>
        <v>12</v>
      </c>
    </row>
    <row r="271" spans="1:5" x14ac:dyDescent="0.3">
      <c r="A271">
        <v>270</v>
      </c>
      <c r="B271" s="19">
        <v>45551</v>
      </c>
      <c r="C271">
        <f t="shared" si="12"/>
        <v>2024</v>
      </c>
      <c r="D271" t="str">
        <f t="shared" si="13"/>
        <v>September</v>
      </c>
      <c r="E271">
        <f t="shared" si="14"/>
        <v>9</v>
      </c>
    </row>
    <row r="272" spans="1:5" x14ac:dyDescent="0.3">
      <c r="A272">
        <v>271</v>
      </c>
      <c r="B272" s="20">
        <v>45795</v>
      </c>
      <c r="C272">
        <f t="shared" si="12"/>
        <v>2025</v>
      </c>
      <c r="D272" t="str">
        <f t="shared" si="13"/>
        <v>May</v>
      </c>
      <c r="E272">
        <f t="shared" si="14"/>
        <v>5</v>
      </c>
    </row>
    <row r="273" spans="1:5" x14ac:dyDescent="0.3">
      <c r="A273">
        <v>272</v>
      </c>
      <c r="B273" s="20">
        <v>45151</v>
      </c>
      <c r="C273">
        <f t="shared" si="12"/>
        <v>2023</v>
      </c>
      <c r="D273" t="str">
        <f t="shared" si="13"/>
        <v>August</v>
      </c>
      <c r="E273">
        <f t="shared" si="14"/>
        <v>8</v>
      </c>
    </row>
    <row r="274" spans="1:5" x14ac:dyDescent="0.3">
      <c r="A274">
        <v>273</v>
      </c>
      <c r="B274" s="19">
        <v>45821</v>
      </c>
      <c r="C274">
        <f t="shared" si="12"/>
        <v>2025</v>
      </c>
      <c r="D274" t="str">
        <f t="shared" si="13"/>
        <v>June</v>
      </c>
      <c r="E274">
        <f t="shared" si="14"/>
        <v>6</v>
      </c>
    </row>
    <row r="275" spans="1:5" x14ac:dyDescent="0.3">
      <c r="A275">
        <v>274</v>
      </c>
      <c r="B275" s="20">
        <v>45560</v>
      </c>
      <c r="C275">
        <f t="shared" si="12"/>
        <v>2024</v>
      </c>
      <c r="D275" t="str">
        <f t="shared" si="13"/>
        <v>September</v>
      </c>
      <c r="E275">
        <f t="shared" si="14"/>
        <v>9</v>
      </c>
    </row>
    <row r="276" spans="1:5" x14ac:dyDescent="0.3">
      <c r="A276">
        <v>275</v>
      </c>
      <c r="B276" s="19">
        <v>45530</v>
      </c>
      <c r="C276">
        <f t="shared" si="12"/>
        <v>2024</v>
      </c>
      <c r="D276" t="str">
        <f t="shared" si="13"/>
        <v>August</v>
      </c>
      <c r="E276">
        <f t="shared" si="14"/>
        <v>8</v>
      </c>
    </row>
    <row r="277" spans="1:5" x14ac:dyDescent="0.3">
      <c r="A277">
        <v>276</v>
      </c>
      <c r="B277" s="20">
        <v>45584</v>
      </c>
      <c r="C277">
        <f t="shared" si="12"/>
        <v>2024</v>
      </c>
      <c r="D277" t="str">
        <f t="shared" si="13"/>
        <v>October</v>
      </c>
      <c r="E277">
        <f t="shared" si="14"/>
        <v>10</v>
      </c>
    </row>
    <row r="278" spans="1:5" x14ac:dyDescent="0.3">
      <c r="A278">
        <v>277</v>
      </c>
      <c r="B278" s="19">
        <v>45781</v>
      </c>
      <c r="C278">
        <f t="shared" si="12"/>
        <v>2025</v>
      </c>
      <c r="D278" t="str">
        <f t="shared" si="13"/>
        <v>May</v>
      </c>
      <c r="E278">
        <f t="shared" si="14"/>
        <v>5</v>
      </c>
    </row>
    <row r="279" spans="1:5" x14ac:dyDescent="0.3">
      <c r="A279">
        <v>278</v>
      </c>
      <c r="B279" s="20">
        <v>45606</v>
      </c>
      <c r="C279">
        <f t="shared" si="12"/>
        <v>2024</v>
      </c>
      <c r="D279" t="str">
        <f t="shared" si="13"/>
        <v>November</v>
      </c>
      <c r="E279">
        <f t="shared" si="14"/>
        <v>11</v>
      </c>
    </row>
    <row r="280" spans="1:5" x14ac:dyDescent="0.3">
      <c r="A280">
        <v>279</v>
      </c>
      <c r="B280" s="19">
        <v>45458</v>
      </c>
      <c r="C280">
        <f t="shared" si="12"/>
        <v>2024</v>
      </c>
      <c r="D280" t="str">
        <f t="shared" si="13"/>
        <v>June</v>
      </c>
      <c r="E280">
        <f t="shared" si="14"/>
        <v>6</v>
      </c>
    </row>
    <row r="281" spans="1:5" x14ac:dyDescent="0.3">
      <c r="A281">
        <v>280</v>
      </c>
      <c r="B281" s="20">
        <v>45402</v>
      </c>
      <c r="C281">
        <f t="shared" si="12"/>
        <v>2024</v>
      </c>
      <c r="D281" t="str">
        <f t="shared" si="13"/>
        <v>April</v>
      </c>
      <c r="E281">
        <f t="shared" si="14"/>
        <v>4</v>
      </c>
    </row>
    <row r="282" spans="1:5" x14ac:dyDescent="0.3">
      <c r="A282">
        <v>281</v>
      </c>
      <c r="B282" s="19">
        <v>45831</v>
      </c>
      <c r="C282">
        <f t="shared" si="12"/>
        <v>2025</v>
      </c>
      <c r="D282" t="str">
        <f t="shared" si="13"/>
        <v>June</v>
      </c>
      <c r="E282">
        <f t="shared" si="14"/>
        <v>6</v>
      </c>
    </row>
    <row r="283" spans="1:5" x14ac:dyDescent="0.3">
      <c r="A283">
        <v>282</v>
      </c>
      <c r="B283" s="19">
        <v>45777</v>
      </c>
      <c r="C283">
        <f t="shared" si="12"/>
        <v>2025</v>
      </c>
      <c r="D283" t="str">
        <f t="shared" si="13"/>
        <v>April</v>
      </c>
      <c r="E283">
        <f t="shared" si="14"/>
        <v>4</v>
      </c>
    </row>
    <row r="284" spans="1:5" x14ac:dyDescent="0.3">
      <c r="A284">
        <v>283</v>
      </c>
      <c r="B284" s="19">
        <v>45503</v>
      </c>
      <c r="C284">
        <f t="shared" si="12"/>
        <v>2024</v>
      </c>
      <c r="D284" t="str">
        <f t="shared" si="13"/>
        <v>July</v>
      </c>
      <c r="E284">
        <f t="shared" si="14"/>
        <v>7</v>
      </c>
    </row>
    <row r="285" spans="1:5" x14ac:dyDescent="0.3">
      <c r="A285">
        <v>284</v>
      </c>
      <c r="B285" s="20">
        <v>45276</v>
      </c>
      <c r="C285">
        <f t="shared" si="12"/>
        <v>2023</v>
      </c>
      <c r="D285" t="str">
        <f t="shared" si="13"/>
        <v>December</v>
      </c>
      <c r="E285">
        <f t="shared" si="14"/>
        <v>12</v>
      </c>
    </row>
    <row r="286" spans="1:5" x14ac:dyDescent="0.3">
      <c r="A286">
        <v>285</v>
      </c>
      <c r="B286" s="19">
        <v>45576</v>
      </c>
      <c r="C286">
        <f t="shared" si="12"/>
        <v>2024</v>
      </c>
      <c r="D286" t="str">
        <f t="shared" si="13"/>
        <v>October</v>
      </c>
      <c r="E286">
        <f t="shared" si="14"/>
        <v>10</v>
      </c>
    </row>
    <row r="287" spans="1:5" x14ac:dyDescent="0.3">
      <c r="A287">
        <v>286</v>
      </c>
      <c r="B287" s="19">
        <v>45230</v>
      </c>
      <c r="C287">
        <f t="shared" si="12"/>
        <v>2023</v>
      </c>
      <c r="D287" t="str">
        <f t="shared" si="13"/>
        <v>October</v>
      </c>
      <c r="E287">
        <f t="shared" si="14"/>
        <v>10</v>
      </c>
    </row>
    <row r="288" spans="1:5" x14ac:dyDescent="0.3">
      <c r="A288">
        <v>287</v>
      </c>
      <c r="B288" s="19">
        <v>45565</v>
      </c>
      <c r="C288">
        <f t="shared" si="12"/>
        <v>2024</v>
      </c>
      <c r="D288" t="str">
        <f t="shared" si="13"/>
        <v>September</v>
      </c>
      <c r="E288">
        <f t="shared" si="14"/>
        <v>9</v>
      </c>
    </row>
    <row r="289" spans="1:5" x14ac:dyDescent="0.3">
      <c r="A289">
        <v>288</v>
      </c>
      <c r="B289" s="19">
        <v>45167</v>
      </c>
      <c r="C289">
        <f t="shared" si="12"/>
        <v>2023</v>
      </c>
      <c r="D289" t="str">
        <f t="shared" si="13"/>
        <v>August</v>
      </c>
      <c r="E289">
        <f t="shared" si="14"/>
        <v>8</v>
      </c>
    </row>
    <row r="290" spans="1:5" x14ac:dyDescent="0.3">
      <c r="A290">
        <v>289</v>
      </c>
      <c r="B290" s="20">
        <v>45637</v>
      </c>
      <c r="C290">
        <f t="shared" si="12"/>
        <v>2024</v>
      </c>
      <c r="D290" t="str">
        <f t="shared" si="13"/>
        <v>December</v>
      </c>
      <c r="E290">
        <f t="shared" si="14"/>
        <v>12</v>
      </c>
    </row>
    <row r="291" spans="1:5" x14ac:dyDescent="0.3">
      <c r="A291">
        <v>290</v>
      </c>
      <c r="B291" s="20">
        <v>45282</v>
      </c>
      <c r="C291">
        <f t="shared" si="12"/>
        <v>2023</v>
      </c>
      <c r="D291" t="str">
        <f t="shared" si="13"/>
        <v>December</v>
      </c>
      <c r="E291">
        <f t="shared" si="14"/>
        <v>12</v>
      </c>
    </row>
    <row r="292" spans="1:5" x14ac:dyDescent="0.3">
      <c r="A292">
        <v>291</v>
      </c>
      <c r="B292" s="19">
        <v>45790</v>
      </c>
      <c r="C292">
        <f t="shared" si="12"/>
        <v>2025</v>
      </c>
      <c r="D292" t="str">
        <f t="shared" si="13"/>
        <v>May</v>
      </c>
      <c r="E292">
        <f t="shared" si="14"/>
        <v>5</v>
      </c>
    </row>
    <row r="293" spans="1:5" x14ac:dyDescent="0.3">
      <c r="A293">
        <v>292</v>
      </c>
      <c r="B293" s="19">
        <v>45663</v>
      </c>
      <c r="C293">
        <f t="shared" si="12"/>
        <v>2025</v>
      </c>
      <c r="D293" t="str">
        <f t="shared" si="13"/>
        <v>January</v>
      </c>
      <c r="E293">
        <f t="shared" si="14"/>
        <v>1</v>
      </c>
    </row>
    <row r="294" spans="1:5" x14ac:dyDescent="0.3">
      <c r="A294">
        <v>293</v>
      </c>
      <c r="B294" s="20">
        <v>45745</v>
      </c>
      <c r="C294">
        <f t="shared" si="12"/>
        <v>2025</v>
      </c>
      <c r="D294" t="str">
        <f t="shared" si="13"/>
        <v>March</v>
      </c>
      <c r="E294">
        <f t="shared" si="14"/>
        <v>3</v>
      </c>
    </row>
    <row r="295" spans="1:5" x14ac:dyDescent="0.3">
      <c r="A295">
        <v>294</v>
      </c>
      <c r="B295" s="19">
        <v>45538</v>
      </c>
      <c r="C295">
        <f t="shared" si="12"/>
        <v>2024</v>
      </c>
      <c r="D295" t="str">
        <f t="shared" si="13"/>
        <v>September</v>
      </c>
      <c r="E295">
        <f t="shared" si="14"/>
        <v>9</v>
      </c>
    </row>
    <row r="296" spans="1:5" x14ac:dyDescent="0.3">
      <c r="A296">
        <v>295</v>
      </c>
      <c r="B296" s="20">
        <v>45792</v>
      </c>
      <c r="C296">
        <f t="shared" si="12"/>
        <v>2025</v>
      </c>
      <c r="D296" t="str">
        <f t="shared" si="13"/>
        <v>May</v>
      </c>
      <c r="E296">
        <f t="shared" si="14"/>
        <v>5</v>
      </c>
    </row>
    <row r="297" spans="1:5" x14ac:dyDescent="0.3">
      <c r="A297">
        <v>296</v>
      </c>
      <c r="B297" s="20">
        <v>45669</v>
      </c>
      <c r="C297">
        <f t="shared" si="12"/>
        <v>2025</v>
      </c>
      <c r="D297" t="str">
        <f t="shared" si="13"/>
        <v>January</v>
      </c>
      <c r="E297">
        <f t="shared" si="14"/>
        <v>1</v>
      </c>
    </row>
    <row r="298" spans="1:5" x14ac:dyDescent="0.3">
      <c r="A298">
        <v>297</v>
      </c>
      <c r="B298" s="19">
        <v>45273</v>
      </c>
      <c r="C298">
        <f t="shared" si="12"/>
        <v>2023</v>
      </c>
      <c r="D298" t="str">
        <f t="shared" si="13"/>
        <v>December</v>
      </c>
      <c r="E298">
        <f t="shared" si="14"/>
        <v>12</v>
      </c>
    </row>
    <row r="299" spans="1:5" x14ac:dyDescent="0.3">
      <c r="A299">
        <v>298</v>
      </c>
      <c r="B299" s="20">
        <v>45668</v>
      </c>
      <c r="C299">
        <f t="shared" si="12"/>
        <v>2025</v>
      </c>
      <c r="D299" t="str">
        <f t="shared" si="13"/>
        <v>January</v>
      </c>
      <c r="E299">
        <f t="shared" si="14"/>
        <v>1</v>
      </c>
    </row>
    <row r="300" spans="1:5" x14ac:dyDescent="0.3">
      <c r="A300">
        <v>299</v>
      </c>
      <c r="B300" s="19">
        <v>45516</v>
      </c>
      <c r="C300">
        <f t="shared" si="12"/>
        <v>2024</v>
      </c>
      <c r="D300" t="str">
        <f t="shared" si="13"/>
        <v>August</v>
      </c>
      <c r="E300">
        <f t="shared" si="14"/>
        <v>8</v>
      </c>
    </row>
    <row r="301" spans="1:5" x14ac:dyDescent="0.3">
      <c r="A301">
        <v>300</v>
      </c>
      <c r="B301" s="20">
        <v>45627</v>
      </c>
      <c r="C301">
        <f t="shared" si="12"/>
        <v>2024</v>
      </c>
      <c r="D301" t="str">
        <f t="shared" si="13"/>
        <v>December</v>
      </c>
      <c r="E301">
        <f t="shared" si="14"/>
        <v>12</v>
      </c>
    </row>
    <row r="302" spans="1:5" x14ac:dyDescent="0.3">
      <c r="A302">
        <v>301</v>
      </c>
      <c r="B302" s="19">
        <v>45729</v>
      </c>
      <c r="C302">
        <f t="shared" si="12"/>
        <v>2025</v>
      </c>
      <c r="D302" t="str">
        <f t="shared" si="13"/>
        <v>March</v>
      </c>
      <c r="E302">
        <f t="shared" si="14"/>
        <v>3</v>
      </c>
    </row>
    <row r="303" spans="1:5" x14ac:dyDescent="0.3">
      <c r="A303">
        <v>302</v>
      </c>
      <c r="B303" s="19">
        <v>45662</v>
      </c>
      <c r="C303">
        <f t="shared" si="12"/>
        <v>2025</v>
      </c>
      <c r="D303" t="str">
        <f t="shared" si="13"/>
        <v>January</v>
      </c>
      <c r="E303">
        <f t="shared" si="14"/>
        <v>1</v>
      </c>
    </row>
    <row r="304" spans="1:5" x14ac:dyDescent="0.3">
      <c r="A304">
        <v>303</v>
      </c>
      <c r="B304" s="19">
        <v>45830</v>
      </c>
      <c r="C304">
        <f t="shared" si="12"/>
        <v>2025</v>
      </c>
      <c r="D304" t="str">
        <f t="shared" si="13"/>
        <v>June</v>
      </c>
      <c r="E304">
        <f t="shared" si="14"/>
        <v>6</v>
      </c>
    </row>
    <row r="305" spans="1:5" x14ac:dyDescent="0.3">
      <c r="A305">
        <v>304</v>
      </c>
      <c r="B305" s="20">
        <v>45380</v>
      </c>
      <c r="C305">
        <f t="shared" si="12"/>
        <v>2024</v>
      </c>
      <c r="D305" t="str">
        <f t="shared" si="13"/>
        <v>March</v>
      </c>
      <c r="E305">
        <f t="shared" si="14"/>
        <v>3</v>
      </c>
    </row>
    <row r="306" spans="1:5" x14ac:dyDescent="0.3">
      <c r="A306">
        <v>305</v>
      </c>
      <c r="B306" s="19">
        <v>45780</v>
      </c>
      <c r="C306">
        <f t="shared" si="12"/>
        <v>2025</v>
      </c>
      <c r="D306" t="str">
        <f t="shared" si="13"/>
        <v>May</v>
      </c>
      <c r="E306">
        <f t="shared" si="14"/>
        <v>5</v>
      </c>
    </row>
    <row r="307" spans="1:5" x14ac:dyDescent="0.3">
      <c r="A307">
        <v>306</v>
      </c>
      <c r="B307" s="20">
        <v>45808</v>
      </c>
      <c r="C307">
        <f t="shared" si="12"/>
        <v>2025</v>
      </c>
      <c r="D307" t="str">
        <f t="shared" si="13"/>
        <v>May</v>
      </c>
      <c r="E307">
        <f t="shared" si="14"/>
        <v>5</v>
      </c>
    </row>
    <row r="308" spans="1:5" x14ac:dyDescent="0.3">
      <c r="A308">
        <v>307</v>
      </c>
      <c r="B308" s="20">
        <v>45721</v>
      </c>
      <c r="C308">
        <f t="shared" si="12"/>
        <v>2025</v>
      </c>
      <c r="D308" t="str">
        <f t="shared" si="13"/>
        <v>March</v>
      </c>
      <c r="E308">
        <f t="shared" si="14"/>
        <v>3</v>
      </c>
    </row>
    <row r="309" spans="1:5" x14ac:dyDescent="0.3">
      <c r="A309">
        <v>308</v>
      </c>
      <c r="B309" s="20">
        <v>45750</v>
      </c>
      <c r="C309">
        <f t="shared" si="12"/>
        <v>2025</v>
      </c>
      <c r="D309" t="str">
        <f t="shared" si="13"/>
        <v>April</v>
      </c>
      <c r="E309">
        <f t="shared" si="14"/>
        <v>4</v>
      </c>
    </row>
    <row r="310" spans="1:5" x14ac:dyDescent="0.3">
      <c r="A310">
        <v>309</v>
      </c>
      <c r="B310" s="19">
        <v>45156</v>
      </c>
      <c r="C310">
        <f t="shared" si="12"/>
        <v>2023</v>
      </c>
      <c r="D310" t="str">
        <f t="shared" si="13"/>
        <v>August</v>
      </c>
      <c r="E310">
        <f t="shared" si="14"/>
        <v>8</v>
      </c>
    </row>
    <row r="311" spans="1:5" x14ac:dyDescent="0.3">
      <c r="A311">
        <v>310</v>
      </c>
      <c r="B311" s="19">
        <v>45552</v>
      </c>
      <c r="C311">
        <f t="shared" si="12"/>
        <v>2024</v>
      </c>
      <c r="D311" t="str">
        <f t="shared" si="13"/>
        <v>September</v>
      </c>
      <c r="E311">
        <f t="shared" si="14"/>
        <v>9</v>
      </c>
    </row>
    <row r="312" spans="1:5" x14ac:dyDescent="0.3">
      <c r="A312">
        <v>311</v>
      </c>
      <c r="B312" s="20">
        <v>45207</v>
      </c>
      <c r="C312">
        <f t="shared" si="12"/>
        <v>2023</v>
      </c>
      <c r="D312" t="str">
        <f t="shared" si="13"/>
        <v>October</v>
      </c>
      <c r="E312">
        <f t="shared" si="14"/>
        <v>10</v>
      </c>
    </row>
    <row r="313" spans="1:5" x14ac:dyDescent="0.3">
      <c r="A313">
        <v>312</v>
      </c>
      <c r="B313" s="19">
        <v>45714</v>
      </c>
      <c r="C313">
        <f t="shared" si="12"/>
        <v>2025</v>
      </c>
      <c r="D313" t="str">
        <f t="shared" si="13"/>
        <v>February</v>
      </c>
      <c r="E313">
        <f t="shared" si="14"/>
        <v>2</v>
      </c>
    </row>
    <row r="314" spans="1:5" x14ac:dyDescent="0.3">
      <c r="A314">
        <v>313</v>
      </c>
      <c r="B314" s="20">
        <v>45665</v>
      </c>
      <c r="C314">
        <f t="shared" si="12"/>
        <v>2025</v>
      </c>
      <c r="D314" t="str">
        <f t="shared" si="13"/>
        <v>January</v>
      </c>
      <c r="E314">
        <f t="shared" si="14"/>
        <v>1</v>
      </c>
    </row>
    <row r="315" spans="1:5" x14ac:dyDescent="0.3">
      <c r="A315">
        <v>314</v>
      </c>
      <c r="B315" s="20">
        <v>45142</v>
      </c>
      <c r="C315">
        <f t="shared" si="12"/>
        <v>2023</v>
      </c>
      <c r="D315" t="str">
        <f t="shared" si="13"/>
        <v>August</v>
      </c>
      <c r="E315">
        <f t="shared" si="14"/>
        <v>8</v>
      </c>
    </row>
    <row r="316" spans="1:5" x14ac:dyDescent="0.3">
      <c r="A316">
        <v>315</v>
      </c>
      <c r="B316" s="19">
        <v>45212</v>
      </c>
      <c r="C316">
        <f t="shared" si="12"/>
        <v>2023</v>
      </c>
      <c r="D316" t="str">
        <f t="shared" si="13"/>
        <v>October</v>
      </c>
      <c r="E316">
        <f t="shared" si="14"/>
        <v>10</v>
      </c>
    </row>
    <row r="317" spans="1:5" x14ac:dyDescent="0.3">
      <c r="A317">
        <v>316</v>
      </c>
      <c r="B317" s="20">
        <v>45361</v>
      </c>
      <c r="C317">
        <f t="shared" si="12"/>
        <v>2024</v>
      </c>
      <c r="D317" t="str">
        <f t="shared" si="13"/>
        <v>March</v>
      </c>
      <c r="E317">
        <f t="shared" si="14"/>
        <v>3</v>
      </c>
    </row>
    <row r="318" spans="1:5" x14ac:dyDescent="0.3">
      <c r="A318">
        <v>317</v>
      </c>
      <c r="B318" s="19">
        <v>45162</v>
      </c>
      <c r="C318">
        <f t="shared" si="12"/>
        <v>2023</v>
      </c>
      <c r="D318" t="str">
        <f t="shared" si="13"/>
        <v>August</v>
      </c>
      <c r="E318">
        <f t="shared" si="14"/>
        <v>8</v>
      </c>
    </row>
    <row r="319" spans="1:5" x14ac:dyDescent="0.3">
      <c r="A319">
        <v>318</v>
      </c>
      <c r="B319" s="20">
        <v>45640</v>
      </c>
      <c r="C319">
        <f t="shared" si="12"/>
        <v>2024</v>
      </c>
      <c r="D319" t="str">
        <f t="shared" si="13"/>
        <v>December</v>
      </c>
      <c r="E319">
        <f t="shared" si="14"/>
        <v>12</v>
      </c>
    </row>
    <row r="320" spans="1:5" x14ac:dyDescent="0.3">
      <c r="A320">
        <v>319</v>
      </c>
      <c r="B320" s="19">
        <v>45397</v>
      </c>
      <c r="C320">
        <f t="shared" si="12"/>
        <v>2024</v>
      </c>
      <c r="D320" t="str">
        <f t="shared" si="13"/>
        <v>April</v>
      </c>
      <c r="E320">
        <f t="shared" si="14"/>
        <v>4</v>
      </c>
    </row>
    <row r="321" spans="1:5" x14ac:dyDescent="0.3">
      <c r="A321">
        <v>320</v>
      </c>
      <c r="B321" s="19">
        <v>45178</v>
      </c>
      <c r="C321">
        <f t="shared" si="12"/>
        <v>2023</v>
      </c>
      <c r="D321" t="str">
        <f t="shared" si="13"/>
        <v>September</v>
      </c>
      <c r="E321">
        <f t="shared" si="14"/>
        <v>9</v>
      </c>
    </row>
    <row r="322" spans="1:5" x14ac:dyDescent="0.3">
      <c r="A322">
        <v>321</v>
      </c>
      <c r="B322" s="20">
        <v>45520</v>
      </c>
      <c r="C322">
        <f t="shared" si="12"/>
        <v>2024</v>
      </c>
      <c r="D322" t="str">
        <f t="shared" si="13"/>
        <v>August</v>
      </c>
      <c r="E322">
        <f t="shared" si="14"/>
        <v>8</v>
      </c>
    </row>
    <row r="323" spans="1:5" x14ac:dyDescent="0.3">
      <c r="A323">
        <v>322</v>
      </c>
      <c r="B323" s="20">
        <v>45840</v>
      </c>
      <c r="C323">
        <f t="shared" ref="C323:C386" si="15">YEAR(B323)</f>
        <v>2025</v>
      </c>
      <c r="D323" t="str">
        <f t="shared" ref="D323:D386" si="16">TEXT(B323,"mmmm")</f>
        <v>July</v>
      </c>
      <c r="E323">
        <f t="shared" ref="E323:E386" si="17">MONTH(B323)</f>
        <v>7</v>
      </c>
    </row>
    <row r="324" spans="1:5" x14ac:dyDescent="0.3">
      <c r="A324">
        <v>323</v>
      </c>
      <c r="B324" s="20">
        <v>45559</v>
      </c>
      <c r="C324">
        <f t="shared" si="15"/>
        <v>2024</v>
      </c>
      <c r="D324" t="str">
        <f t="shared" si="16"/>
        <v>September</v>
      </c>
      <c r="E324">
        <f t="shared" si="17"/>
        <v>9</v>
      </c>
    </row>
    <row r="325" spans="1:5" x14ac:dyDescent="0.3">
      <c r="A325">
        <v>324</v>
      </c>
      <c r="B325" s="19">
        <v>45695</v>
      </c>
      <c r="C325">
        <f t="shared" si="15"/>
        <v>2025</v>
      </c>
      <c r="D325" t="str">
        <f t="shared" si="16"/>
        <v>February</v>
      </c>
      <c r="E325">
        <f t="shared" si="17"/>
        <v>2</v>
      </c>
    </row>
    <row r="326" spans="1:5" x14ac:dyDescent="0.3">
      <c r="A326">
        <v>325</v>
      </c>
      <c r="B326" s="20">
        <v>45822</v>
      </c>
      <c r="C326">
        <f t="shared" si="15"/>
        <v>2025</v>
      </c>
      <c r="D326" t="str">
        <f t="shared" si="16"/>
        <v>June</v>
      </c>
      <c r="E326">
        <f t="shared" si="17"/>
        <v>6</v>
      </c>
    </row>
    <row r="327" spans="1:5" x14ac:dyDescent="0.3">
      <c r="A327">
        <v>326</v>
      </c>
      <c r="B327" s="19">
        <v>45523</v>
      </c>
      <c r="C327">
        <f t="shared" si="15"/>
        <v>2024</v>
      </c>
      <c r="D327" t="str">
        <f t="shared" si="16"/>
        <v>August</v>
      </c>
      <c r="E327">
        <f t="shared" si="17"/>
        <v>8</v>
      </c>
    </row>
    <row r="328" spans="1:5" x14ac:dyDescent="0.3">
      <c r="A328">
        <v>327</v>
      </c>
      <c r="B328" s="20">
        <v>45809</v>
      </c>
      <c r="C328">
        <f t="shared" si="15"/>
        <v>2025</v>
      </c>
      <c r="D328" t="str">
        <f t="shared" si="16"/>
        <v>June</v>
      </c>
      <c r="E328">
        <f t="shared" si="17"/>
        <v>6</v>
      </c>
    </row>
    <row r="329" spans="1:5" x14ac:dyDescent="0.3">
      <c r="A329">
        <v>328</v>
      </c>
      <c r="B329" s="20">
        <v>45514</v>
      </c>
      <c r="C329">
        <f t="shared" si="15"/>
        <v>2024</v>
      </c>
      <c r="D329" t="str">
        <f t="shared" si="16"/>
        <v>August</v>
      </c>
      <c r="E329">
        <f t="shared" si="17"/>
        <v>8</v>
      </c>
    </row>
    <row r="330" spans="1:5" x14ac:dyDescent="0.3">
      <c r="A330">
        <v>329</v>
      </c>
      <c r="B330" s="20">
        <v>45209</v>
      </c>
      <c r="C330">
        <f t="shared" si="15"/>
        <v>2023</v>
      </c>
      <c r="D330" t="str">
        <f t="shared" si="16"/>
        <v>October</v>
      </c>
      <c r="E330">
        <f t="shared" si="17"/>
        <v>10</v>
      </c>
    </row>
    <row r="331" spans="1:5" x14ac:dyDescent="0.3">
      <c r="A331">
        <v>330</v>
      </c>
      <c r="B331" s="19">
        <v>45610</v>
      </c>
      <c r="C331">
        <f t="shared" si="15"/>
        <v>2024</v>
      </c>
      <c r="D331" t="str">
        <f t="shared" si="16"/>
        <v>November</v>
      </c>
      <c r="E331">
        <f t="shared" si="17"/>
        <v>11</v>
      </c>
    </row>
    <row r="332" spans="1:5" x14ac:dyDescent="0.3">
      <c r="A332">
        <v>331</v>
      </c>
      <c r="B332" s="20">
        <v>45494</v>
      </c>
      <c r="C332">
        <f t="shared" si="15"/>
        <v>2024</v>
      </c>
      <c r="D332" t="str">
        <f t="shared" si="16"/>
        <v>July</v>
      </c>
      <c r="E332">
        <f t="shared" si="17"/>
        <v>7</v>
      </c>
    </row>
    <row r="333" spans="1:5" x14ac:dyDescent="0.3">
      <c r="A333">
        <v>332</v>
      </c>
      <c r="B333" s="20">
        <v>45337</v>
      </c>
      <c r="C333">
        <f t="shared" si="15"/>
        <v>2024</v>
      </c>
      <c r="D333" t="str">
        <f t="shared" si="16"/>
        <v>February</v>
      </c>
      <c r="E333">
        <f t="shared" si="17"/>
        <v>2</v>
      </c>
    </row>
    <row r="334" spans="1:5" x14ac:dyDescent="0.3">
      <c r="A334">
        <v>333</v>
      </c>
      <c r="B334" s="19">
        <v>45654</v>
      </c>
      <c r="C334">
        <f t="shared" si="15"/>
        <v>2024</v>
      </c>
      <c r="D334" t="str">
        <f t="shared" si="16"/>
        <v>December</v>
      </c>
      <c r="E334">
        <f t="shared" si="17"/>
        <v>12</v>
      </c>
    </row>
    <row r="335" spans="1:5" x14ac:dyDescent="0.3">
      <c r="A335">
        <v>334</v>
      </c>
      <c r="B335" s="19">
        <v>45509</v>
      </c>
      <c r="C335">
        <f t="shared" si="15"/>
        <v>2024</v>
      </c>
      <c r="D335" t="str">
        <f t="shared" si="16"/>
        <v>August</v>
      </c>
      <c r="E335">
        <f t="shared" si="17"/>
        <v>8</v>
      </c>
    </row>
    <row r="336" spans="1:5" x14ac:dyDescent="0.3">
      <c r="A336">
        <v>335</v>
      </c>
      <c r="B336" s="20">
        <v>45850</v>
      </c>
      <c r="C336">
        <f t="shared" si="15"/>
        <v>2025</v>
      </c>
      <c r="D336" t="str">
        <f t="shared" si="16"/>
        <v>July</v>
      </c>
      <c r="E336">
        <f t="shared" si="17"/>
        <v>7</v>
      </c>
    </row>
    <row r="337" spans="1:5" x14ac:dyDescent="0.3">
      <c r="A337">
        <v>336</v>
      </c>
      <c r="B337" s="19">
        <v>45567</v>
      </c>
      <c r="C337">
        <f t="shared" si="15"/>
        <v>2024</v>
      </c>
      <c r="D337" t="str">
        <f t="shared" si="16"/>
        <v>October</v>
      </c>
      <c r="E337">
        <f t="shared" si="17"/>
        <v>10</v>
      </c>
    </row>
    <row r="338" spans="1:5" x14ac:dyDescent="0.3">
      <c r="A338">
        <v>337</v>
      </c>
      <c r="B338" s="20">
        <v>45562</v>
      </c>
      <c r="C338">
        <f t="shared" si="15"/>
        <v>2024</v>
      </c>
      <c r="D338" t="str">
        <f t="shared" si="16"/>
        <v>September</v>
      </c>
      <c r="E338">
        <f t="shared" si="17"/>
        <v>9</v>
      </c>
    </row>
    <row r="339" spans="1:5" x14ac:dyDescent="0.3">
      <c r="A339">
        <v>338</v>
      </c>
      <c r="B339" s="19">
        <v>45502</v>
      </c>
      <c r="C339">
        <f t="shared" si="15"/>
        <v>2024</v>
      </c>
      <c r="D339" t="str">
        <f t="shared" si="16"/>
        <v>July</v>
      </c>
      <c r="E339">
        <f t="shared" si="17"/>
        <v>7</v>
      </c>
    </row>
    <row r="340" spans="1:5" x14ac:dyDescent="0.3">
      <c r="A340">
        <v>339</v>
      </c>
      <c r="B340" s="20">
        <v>45697</v>
      </c>
      <c r="C340">
        <f t="shared" si="15"/>
        <v>2025</v>
      </c>
      <c r="D340" t="str">
        <f t="shared" si="16"/>
        <v>February</v>
      </c>
      <c r="E340">
        <f t="shared" si="17"/>
        <v>2</v>
      </c>
    </row>
    <row r="341" spans="1:5" x14ac:dyDescent="0.3">
      <c r="A341">
        <v>340</v>
      </c>
      <c r="B341" s="20">
        <v>45687</v>
      </c>
      <c r="C341">
        <f t="shared" si="15"/>
        <v>2025</v>
      </c>
      <c r="D341" t="str">
        <f t="shared" si="16"/>
        <v>January</v>
      </c>
      <c r="E341">
        <f t="shared" si="17"/>
        <v>1</v>
      </c>
    </row>
    <row r="342" spans="1:5" x14ac:dyDescent="0.3">
      <c r="A342">
        <v>341</v>
      </c>
      <c r="B342" s="19">
        <v>45813</v>
      </c>
      <c r="C342">
        <f t="shared" si="15"/>
        <v>2025</v>
      </c>
      <c r="D342" t="str">
        <f t="shared" si="16"/>
        <v>June</v>
      </c>
      <c r="E342">
        <f t="shared" si="17"/>
        <v>6</v>
      </c>
    </row>
    <row r="343" spans="1:5" x14ac:dyDescent="0.3">
      <c r="A343">
        <v>342</v>
      </c>
      <c r="B343" s="20">
        <v>45597</v>
      </c>
      <c r="C343">
        <f t="shared" si="15"/>
        <v>2024</v>
      </c>
      <c r="D343" t="str">
        <f t="shared" si="16"/>
        <v>November</v>
      </c>
      <c r="E343">
        <f t="shared" si="17"/>
        <v>11</v>
      </c>
    </row>
    <row r="344" spans="1:5" x14ac:dyDescent="0.3">
      <c r="A344">
        <v>343</v>
      </c>
      <c r="B344" s="20">
        <v>45796</v>
      </c>
      <c r="C344">
        <f t="shared" si="15"/>
        <v>2025</v>
      </c>
      <c r="D344" t="str">
        <f t="shared" si="16"/>
        <v>May</v>
      </c>
      <c r="E344">
        <f t="shared" si="17"/>
        <v>5</v>
      </c>
    </row>
    <row r="345" spans="1:5" x14ac:dyDescent="0.3">
      <c r="A345">
        <v>344</v>
      </c>
      <c r="B345" s="19">
        <v>45496</v>
      </c>
      <c r="C345">
        <f t="shared" si="15"/>
        <v>2024</v>
      </c>
      <c r="D345" t="str">
        <f t="shared" si="16"/>
        <v>July</v>
      </c>
      <c r="E345">
        <f t="shared" si="17"/>
        <v>7</v>
      </c>
    </row>
    <row r="346" spans="1:5" x14ac:dyDescent="0.3">
      <c r="A346">
        <v>345</v>
      </c>
      <c r="B346" s="19">
        <v>45802</v>
      </c>
      <c r="C346">
        <f t="shared" si="15"/>
        <v>2025</v>
      </c>
      <c r="D346" t="str">
        <f t="shared" si="16"/>
        <v>May</v>
      </c>
      <c r="E346">
        <f t="shared" si="17"/>
        <v>5</v>
      </c>
    </row>
    <row r="347" spans="1:5" x14ac:dyDescent="0.3">
      <c r="A347">
        <v>346</v>
      </c>
      <c r="B347" s="20">
        <v>45731</v>
      </c>
      <c r="C347">
        <f t="shared" si="15"/>
        <v>2025</v>
      </c>
      <c r="D347" t="str">
        <f t="shared" si="16"/>
        <v>March</v>
      </c>
      <c r="E347">
        <f t="shared" si="17"/>
        <v>3</v>
      </c>
    </row>
    <row r="348" spans="1:5" x14ac:dyDescent="0.3">
      <c r="A348">
        <v>347</v>
      </c>
      <c r="B348" s="19">
        <v>45138</v>
      </c>
      <c r="C348">
        <f t="shared" si="15"/>
        <v>2023</v>
      </c>
      <c r="D348" t="str">
        <f t="shared" si="16"/>
        <v>July</v>
      </c>
      <c r="E348">
        <f t="shared" si="17"/>
        <v>7</v>
      </c>
    </row>
    <row r="349" spans="1:5" x14ac:dyDescent="0.3">
      <c r="A349">
        <v>348</v>
      </c>
      <c r="B349" s="19">
        <v>45691</v>
      </c>
      <c r="C349">
        <f t="shared" si="15"/>
        <v>2025</v>
      </c>
      <c r="D349" t="str">
        <f t="shared" si="16"/>
        <v>February</v>
      </c>
      <c r="E349">
        <f t="shared" si="17"/>
        <v>2</v>
      </c>
    </row>
    <row r="350" spans="1:5" x14ac:dyDescent="0.3">
      <c r="A350">
        <v>349</v>
      </c>
      <c r="B350" s="20">
        <v>45532</v>
      </c>
      <c r="C350">
        <f t="shared" si="15"/>
        <v>2024</v>
      </c>
      <c r="D350" t="str">
        <f t="shared" si="16"/>
        <v>August</v>
      </c>
      <c r="E350">
        <f t="shared" si="17"/>
        <v>8</v>
      </c>
    </row>
    <row r="351" spans="1:5" x14ac:dyDescent="0.3">
      <c r="A351">
        <v>350</v>
      </c>
      <c r="B351" s="19">
        <v>45236</v>
      </c>
      <c r="C351">
        <f t="shared" si="15"/>
        <v>2023</v>
      </c>
      <c r="D351" t="str">
        <f t="shared" si="16"/>
        <v>November</v>
      </c>
      <c r="E351">
        <f t="shared" si="17"/>
        <v>11</v>
      </c>
    </row>
    <row r="352" spans="1:5" x14ac:dyDescent="0.3">
      <c r="A352">
        <v>351</v>
      </c>
      <c r="B352" s="20">
        <v>45686</v>
      </c>
      <c r="C352">
        <f t="shared" si="15"/>
        <v>2025</v>
      </c>
      <c r="D352" t="str">
        <f t="shared" si="16"/>
        <v>January</v>
      </c>
      <c r="E352">
        <f t="shared" si="17"/>
        <v>1</v>
      </c>
    </row>
    <row r="353" spans="1:5" x14ac:dyDescent="0.3">
      <c r="A353">
        <v>352</v>
      </c>
      <c r="B353" s="20">
        <v>45658</v>
      </c>
      <c r="C353">
        <f t="shared" si="15"/>
        <v>2025</v>
      </c>
      <c r="D353" t="str">
        <f t="shared" si="16"/>
        <v>January</v>
      </c>
      <c r="E353">
        <f t="shared" si="17"/>
        <v>1</v>
      </c>
    </row>
    <row r="354" spans="1:5" x14ac:dyDescent="0.3">
      <c r="A354">
        <v>353</v>
      </c>
      <c r="B354" s="20">
        <v>45304</v>
      </c>
      <c r="C354">
        <f t="shared" si="15"/>
        <v>2024</v>
      </c>
      <c r="D354" t="str">
        <f t="shared" si="16"/>
        <v>January</v>
      </c>
      <c r="E354">
        <f t="shared" si="17"/>
        <v>1</v>
      </c>
    </row>
    <row r="355" spans="1:5" x14ac:dyDescent="0.3">
      <c r="A355">
        <v>354</v>
      </c>
      <c r="B355" s="19">
        <v>45389</v>
      </c>
      <c r="C355">
        <f t="shared" si="15"/>
        <v>2024</v>
      </c>
      <c r="D355" t="str">
        <f t="shared" si="16"/>
        <v>April</v>
      </c>
      <c r="E355">
        <f t="shared" si="17"/>
        <v>4</v>
      </c>
    </row>
    <row r="356" spans="1:5" x14ac:dyDescent="0.3">
      <c r="A356">
        <v>355</v>
      </c>
      <c r="B356" s="20">
        <v>45490</v>
      </c>
      <c r="C356">
        <f t="shared" si="15"/>
        <v>2024</v>
      </c>
      <c r="D356" t="str">
        <f t="shared" si="16"/>
        <v>July</v>
      </c>
      <c r="E356">
        <f t="shared" si="17"/>
        <v>7</v>
      </c>
    </row>
    <row r="357" spans="1:5" x14ac:dyDescent="0.3">
      <c r="A357">
        <v>356</v>
      </c>
      <c r="B357" s="20">
        <v>45137</v>
      </c>
      <c r="C357">
        <f t="shared" si="15"/>
        <v>2023</v>
      </c>
      <c r="D357" t="str">
        <f t="shared" si="16"/>
        <v>July</v>
      </c>
      <c r="E357">
        <f t="shared" si="17"/>
        <v>7</v>
      </c>
    </row>
    <row r="358" spans="1:5" x14ac:dyDescent="0.3">
      <c r="A358">
        <v>357</v>
      </c>
      <c r="B358" s="19">
        <v>45727</v>
      </c>
      <c r="C358">
        <f t="shared" si="15"/>
        <v>2025</v>
      </c>
      <c r="D358" t="str">
        <f t="shared" si="16"/>
        <v>March</v>
      </c>
      <c r="E358">
        <f t="shared" si="17"/>
        <v>3</v>
      </c>
    </row>
    <row r="359" spans="1:5" x14ac:dyDescent="0.3">
      <c r="A359">
        <v>358</v>
      </c>
      <c r="B359" s="19">
        <v>45722</v>
      </c>
      <c r="C359">
        <f t="shared" si="15"/>
        <v>2025</v>
      </c>
      <c r="D359" t="str">
        <f t="shared" si="16"/>
        <v>March</v>
      </c>
      <c r="E359">
        <f t="shared" si="17"/>
        <v>3</v>
      </c>
    </row>
    <row r="360" spans="1:5" x14ac:dyDescent="0.3">
      <c r="A360">
        <v>359</v>
      </c>
      <c r="B360" s="20">
        <v>45709</v>
      </c>
      <c r="C360">
        <f t="shared" si="15"/>
        <v>2025</v>
      </c>
      <c r="D360" t="str">
        <f t="shared" si="16"/>
        <v>February</v>
      </c>
      <c r="E360">
        <f t="shared" si="17"/>
        <v>2</v>
      </c>
    </row>
    <row r="361" spans="1:5" x14ac:dyDescent="0.3">
      <c r="A361">
        <v>360</v>
      </c>
      <c r="B361" s="19">
        <v>45133</v>
      </c>
      <c r="C361">
        <f t="shared" si="15"/>
        <v>2023</v>
      </c>
      <c r="D361" t="str">
        <f t="shared" si="16"/>
        <v>July</v>
      </c>
      <c r="E361">
        <f t="shared" si="17"/>
        <v>7</v>
      </c>
    </row>
    <row r="362" spans="1:5" x14ac:dyDescent="0.3">
      <c r="A362">
        <v>361</v>
      </c>
      <c r="B362" s="19">
        <v>45197</v>
      </c>
      <c r="C362">
        <f t="shared" si="15"/>
        <v>2023</v>
      </c>
      <c r="D362" t="str">
        <f t="shared" si="16"/>
        <v>September</v>
      </c>
      <c r="E362">
        <f t="shared" si="17"/>
        <v>9</v>
      </c>
    </row>
    <row r="363" spans="1:5" x14ac:dyDescent="0.3">
      <c r="A363">
        <v>362</v>
      </c>
      <c r="B363" s="19">
        <v>45350</v>
      </c>
      <c r="C363">
        <f t="shared" si="15"/>
        <v>2024</v>
      </c>
      <c r="D363" t="str">
        <f t="shared" si="16"/>
        <v>February</v>
      </c>
      <c r="E363">
        <f t="shared" si="17"/>
        <v>2</v>
      </c>
    </row>
    <row r="364" spans="1:5" x14ac:dyDescent="0.3">
      <c r="A364">
        <v>363</v>
      </c>
      <c r="B364" s="20">
        <v>45505</v>
      </c>
      <c r="C364">
        <f t="shared" si="15"/>
        <v>2024</v>
      </c>
      <c r="D364" t="str">
        <f t="shared" si="16"/>
        <v>August</v>
      </c>
      <c r="E364">
        <f t="shared" si="17"/>
        <v>8</v>
      </c>
    </row>
    <row r="365" spans="1:5" x14ac:dyDescent="0.3">
      <c r="A365">
        <v>364</v>
      </c>
      <c r="B365" s="19">
        <v>45573</v>
      </c>
      <c r="C365">
        <f t="shared" si="15"/>
        <v>2024</v>
      </c>
      <c r="D365" t="str">
        <f t="shared" si="16"/>
        <v>October</v>
      </c>
      <c r="E365">
        <f t="shared" si="17"/>
        <v>10</v>
      </c>
    </row>
    <row r="366" spans="1:5" x14ac:dyDescent="0.3">
      <c r="A366">
        <v>365</v>
      </c>
      <c r="B366" s="20">
        <v>45612</v>
      </c>
      <c r="C366">
        <f t="shared" si="15"/>
        <v>2024</v>
      </c>
      <c r="D366" t="str">
        <f t="shared" si="16"/>
        <v>November</v>
      </c>
      <c r="E366">
        <f t="shared" si="17"/>
        <v>11</v>
      </c>
    </row>
    <row r="367" spans="1:5" x14ac:dyDescent="0.3">
      <c r="A367">
        <v>366</v>
      </c>
      <c r="B367" s="19">
        <v>45793</v>
      </c>
      <c r="C367">
        <f t="shared" si="15"/>
        <v>2025</v>
      </c>
      <c r="D367" t="str">
        <f t="shared" si="16"/>
        <v>May</v>
      </c>
      <c r="E367">
        <f t="shared" si="17"/>
        <v>5</v>
      </c>
    </row>
    <row r="368" spans="1:5" x14ac:dyDescent="0.3">
      <c r="A368">
        <v>367</v>
      </c>
      <c r="B368" s="19">
        <v>45696</v>
      </c>
      <c r="C368">
        <f t="shared" si="15"/>
        <v>2025</v>
      </c>
      <c r="D368" t="str">
        <f t="shared" si="16"/>
        <v>February</v>
      </c>
      <c r="E368">
        <f t="shared" si="17"/>
        <v>2</v>
      </c>
    </row>
    <row r="369" spans="1:5" x14ac:dyDescent="0.3">
      <c r="A369">
        <v>368</v>
      </c>
      <c r="B369" s="20">
        <v>45811</v>
      </c>
      <c r="C369">
        <f t="shared" si="15"/>
        <v>2025</v>
      </c>
      <c r="D369" t="str">
        <f t="shared" si="16"/>
        <v>June</v>
      </c>
      <c r="E369">
        <f t="shared" si="17"/>
        <v>6</v>
      </c>
    </row>
    <row r="370" spans="1:5" x14ac:dyDescent="0.3">
      <c r="A370">
        <v>369</v>
      </c>
      <c r="B370" s="20">
        <v>45492</v>
      </c>
      <c r="C370">
        <f t="shared" si="15"/>
        <v>2024</v>
      </c>
      <c r="D370" t="str">
        <f t="shared" si="16"/>
        <v>July</v>
      </c>
      <c r="E370">
        <f t="shared" si="17"/>
        <v>7</v>
      </c>
    </row>
    <row r="371" spans="1:5" x14ac:dyDescent="0.3">
      <c r="A371">
        <v>370</v>
      </c>
      <c r="B371" s="19">
        <v>45683</v>
      </c>
      <c r="C371">
        <f t="shared" si="15"/>
        <v>2025</v>
      </c>
      <c r="D371" t="str">
        <f t="shared" si="16"/>
        <v>January</v>
      </c>
      <c r="E371">
        <f t="shared" si="17"/>
        <v>1</v>
      </c>
    </row>
    <row r="372" spans="1:5" x14ac:dyDescent="0.3">
      <c r="A372">
        <v>371</v>
      </c>
      <c r="B372" s="20">
        <v>45521</v>
      </c>
      <c r="C372">
        <f t="shared" si="15"/>
        <v>2024</v>
      </c>
      <c r="D372" t="str">
        <f t="shared" si="16"/>
        <v>August</v>
      </c>
      <c r="E372">
        <f t="shared" si="17"/>
        <v>8</v>
      </c>
    </row>
    <row r="373" spans="1:5" x14ac:dyDescent="0.3">
      <c r="A373">
        <v>372</v>
      </c>
      <c r="B373" s="19">
        <v>45346</v>
      </c>
      <c r="C373">
        <f t="shared" si="15"/>
        <v>2024</v>
      </c>
      <c r="D373" t="str">
        <f t="shared" si="16"/>
        <v>February</v>
      </c>
      <c r="E373">
        <f t="shared" si="17"/>
        <v>2</v>
      </c>
    </row>
    <row r="374" spans="1:5" x14ac:dyDescent="0.3">
      <c r="A374">
        <v>373</v>
      </c>
      <c r="B374" s="19">
        <v>45623</v>
      </c>
      <c r="C374">
        <f t="shared" si="15"/>
        <v>2024</v>
      </c>
      <c r="D374" t="str">
        <f t="shared" si="16"/>
        <v>November</v>
      </c>
      <c r="E374">
        <f t="shared" si="17"/>
        <v>11</v>
      </c>
    </row>
    <row r="375" spans="1:5" x14ac:dyDescent="0.3">
      <c r="A375">
        <v>374</v>
      </c>
      <c r="B375" s="20">
        <v>45351</v>
      </c>
      <c r="C375">
        <f t="shared" si="15"/>
        <v>2024</v>
      </c>
      <c r="D375" t="str">
        <f t="shared" si="16"/>
        <v>February</v>
      </c>
      <c r="E375">
        <f t="shared" si="17"/>
        <v>2</v>
      </c>
    </row>
    <row r="376" spans="1:5" x14ac:dyDescent="0.3">
      <c r="A376">
        <v>375</v>
      </c>
      <c r="B376" s="19">
        <v>45613</v>
      </c>
      <c r="C376">
        <f t="shared" si="15"/>
        <v>2024</v>
      </c>
      <c r="D376" t="str">
        <f t="shared" si="16"/>
        <v>November</v>
      </c>
      <c r="E376">
        <f t="shared" si="17"/>
        <v>11</v>
      </c>
    </row>
    <row r="377" spans="1:5" x14ac:dyDescent="0.3">
      <c r="A377">
        <v>376</v>
      </c>
      <c r="B377" s="19">
        <v>45842</v>
      </c>
      <c r="C377">
        <f t="shared" si="15"/>
        <v>2025</v>
      </c>
      <c r="D377" t="str">
        <f t="shared" si="16"/>
        <v>July</v>
      </c>
      <c r="E377">
        <f t="shared" si="17"/>
        <v>7</v>
      </c>
    </row>
    <row r="378" spans="1:5" x14ac:dyDescent="0.3">
      <c r="A378">
        <v>377</v>
      </c>
      <c r="B378" s="19">
        <v>45634</v>
      </c>
      <c r="C378">
        <f t="shared" si="15"/>
        <v>2024</v>
      </c>
      <c r="D378" t="str">
        <f t="shared" si="16"/>
        <v>December</v>
      </c>
      <c r="E378">
        <f t="shared" si="17"/>
        <v>12</v>
      </c>
    </row>
    <row r="379" spans="1:5" x14ac:dyDescent="0.3">
      <c r="A379">
        <v>378</v>
      </c>
      <c r="B379" s="19">
        <v>45143</v>
      </c>
      <c r="C379">
        <f t="shared" si="15"/>
        <v>2023</v>
      </c>
      <c r="D379" t="str">
        <f t="shared" si="16"/>
        <v>August</v>
      </c>
      <c r="E379">
        <f t="shared" si="17"/>
        <v>8</v>
      </c>
    </row>
    <row r="380" spans="1:5" x14ac:dyDescent="0.3">
      <c r="A380">
        <v>379</v>
      </c>
      <c r="B380" s="19">
        <v>45408</v>
      </c>
      <c r="C380">
        <f t="shared" si="15"/>
        <v>2024</v>
      </c>
      <c r="D380" t="str">
        <f t="shared" si="16"/>
        <v>April</v>
      </c>
      <c r="E380">
        <f t="shared" si="17"/>
        <v>4</v>
      </c>
    </row>
    <row r="381" spans="1:5" x14ac:dyDescent="0.3">
      <c r="A381">
        <v>380</v>
      </c>
      <c r="B381" s="20">
        <v>45184</v>
      </c>
      <c r="C381">
        <f t="shared" si="15"/>
        <v>2023</v>
      </c>
      <c r="D381" t="str">
        <f t="shared" si="16"/>
        <v>September</v>
      </c>
      <c r="E381">
        <f t="shared" si="17"/>
        <v>9</v>
      </c>
    </row>
    <row r="382" spans="1:5" x14ac:dyDescent="0.3">
      <c r="A382">
        <v>381</v>
      </c>
      <c r="B382" s="20">
        <v>45616</v>
      </c>
      <c r="C382">
        <f t="shared" si="15"/>
        <v>2024</v>
      </c>
      <c r="D382" t="str">
        <f t="shared" si="16"/>
        <v>November</v>
      </c>
      <c r="E382">
        <f t="shared" si="17"/>
        <v>11</v>
      </c>
    </row>
    <row r="383" spans="1:5" x14ac:dyDescent="0.3">
      <c r="A383">
        <v>382</v>
      </c>
      <c r="B383" s="20">
        <v>45757</v>
      </c>
      <c r="C383">
        <f t="shared" si="15"/>
        <v>2025</v>
      </c>
      <c r="D383" t="str">
        <f t="shared" si="16"/>
        <v>April</v>
      </c>
      <c r="E383">
        <f t="shared" si="17"/>
        <v>4</v>
      </c>
    </row>
    <row r="384" spans="1:5" x14ac:dyDescent="0.3">
      <c r="A384">
        <v>383</v>
      </c>
      <c r="B384" s="20">
        <v>45419</v>
      </c>
      <c r="C384">
        <f t="shared" si="15"/>
        <v>2024</v>
      </c>
      <c r="D384" t="str">
        <f t="shared" si="16"/>
        <v>May</v>
      </c>
      <c r="E384">
        <f t="shared" si="17"/>
        <v>5</v>
      </c>
    </row>
    <row r="385" spans="1:5" x14ac:dyDescent="0.3">
      <c r="A385">
        <v>384</v>
      </c>
      <c r="B385" s="19">
        <v>45342</v>
      </c>
      <c r="C385">
        <f t="shared" si="15"/>
        <v>2024</v>
      </c>
      <c r="D385" t="str">
        <f t="shared" si="16"/>
        <v>February</v>
      </c>
      <c r="E385">
        <f t="shared" si="17"/>
        <v>2</v>
      </c>
    </row>
    <row r="386" spans="1:5" x14ac:dyDescent="0.3">
      <c r="A386">
        <v>385</v>
      </c>
      <c r="B386" s="20">
        <v>45466</v>
      </c>
      <c r="C386">
        <f t="shared" si="15"/>
        <v>2024</v>
      </c>
      <c r="D386" t="str">
        <f t="shared" si="16"/>
        <v>June</v>
      </c>
      <c r="E386">
        <f t="shared" si="17"/>
        <v>6</v>
      </c>
    </row>
    <row r="387" spans="1:5" x14ac:dyDescent="0.3">
      <c r="A387">
        <v>386</v>
      </c>
      <c r="B387" s="20">
        <v>45524</v>
      </c>
      <c r="C387">
        <f t="shared" ref="C387:C450" si="18">YEAR(B387)</f>
        <v>2024</v>
      </c>
      <c r="D387" t="str">
        <f t="shared" ref="D387:D450" si="19">TEXT(B387,"mmmm")</f>
        <v>August</v>
      </c>
      <c r="E387">
        <f t="shared" ref="E387:E450" si="20">MONTH(B387)</f>
        <v>8</v>
      </c>
    </row>
    <row r="388" spans="1:5" x14ac:dyDescent="0.3">
      <c r="A388">
        <v>387</v>
      </c>
      <c r="B388" s="20">
        <v>45775</v>
      </c>
      <c r="C388">
        <f t="shared" si="18"/>
        <v>2025</v>
      </c>
      <c r="D388" t="str">
        <f t="shared" si="19"/>
        <v>April</v>
      </c>
      <c r="E388">
        <f t="shared" si="20"/>
        <v>4</v>
      </c>
    </row>
    <row r="389" spans="1:5" x14ac:dyDescent="0.3">
      <c r="A389">
        <v>388</v>
      </c>
      <c r="B389" s="19">
        <v>45160</v>
      </c>
      <c r="C389">
        <f t="shared" si="18"/>
        <v>2023</v>
      </c>
      <c r="D389" t="str">
        <f t="shared" si="19"/>
        <v>August</v>
      </c>
      <c r="E389">
        <f t="shared" si="20"/>
        <v>8</v>
      </c>
    </row>
    <row r="390" spans="1:5" x14ac:dyDescent="0.3">
      <c r="A390">
        <v>389</v>
      </c>
      <c r="B390" s="19">
        <v>45643</v>
      </c>
      <c r="C390">
        <f t="shared" si="18"/>
        <v>2024</v>
      </c>
      <c r="D390" t="str">
        <f t="shared" si="19"/>
        <v>December</v>
      </c>
      <c r="E390">
        <f t="shared" si="20"/>
        <v>12</v>
      </c>
    </row>
    <row r="391" spans="1:5" x14ac:dyDescent="0.3">
      <c r="A391">
        <v>390</v>
      </c>
      <c r="B391" s="20">
        <v>45799</v>
      </c>
      <c r="C391">
        <f t="shared" si="18"/>
        <v>2025</v>
      </c>
      <c r="D391" t="str">
        <f t="shared" si="19"/>
        <v>May</v>
      </c>
      <c r="E391">
        <f t="shared" si="20"/>
        <v>5</v>
      </c>
    </row>
    <row r="392" spans="1:5" x14ac:dyDescent="0.3">
      <c r="A392">
        <v>391</v>
      </c>
      <c r="B392" s="19">
        <v>45848</v>
      </c>
      <c r="C392">
        <f t="shared" si="18"/>
        <v>2025</v>
      </c>
      <c r="D392" t="str">
        <f t="shared" si="19"/>
        <v>July</v>
      </c>
      <c r="E392">
        <f t="shared" si="20"/>
        <v>7</v>
      </c>
    </row>
    <row r="393" spans="1:5" x14ac:dyDescent="0.3">
      <c r="A393">
        <v>392</v>
      </c>
      <c r="B393" s="20">
        <v>45367</v>
      </c>
      <c r="C393">
        <f t="shared" si="18"/>
        <v>2024</v>
      </c>
      <c r="D393" t="str">
        <f t="shared" si="19"/>
        <v>March</v>
      </c>
      <c r="E393">
        <f t="shared" si="20"/>
        <v>3</v>
      </c>
    </row>
    <row r="394" spans="1:5" x14ac:dyDescent="0.3">
      <c r="A394">
        <v>393</v>
      </c>
      <c r="B394" s="19">
        <v>45297</v>
      </c>
      <c r="C394">
        <f t="shared" si="18"/>
        <v>2024</v>
      </c>
      <c r="D394" t="str">
        <f t="shared" si="19"/>
        <v>January</v>
      </c>
      <c r="E394">
        <f t="shared" si="20"/>
        <v>1</v>
      </c>
    </row>
    <row r="395" spans="1:5" x14ac:dyDescent="0.3">
      <c r="A395">
        <v>394</v>
      </c>
      <c r="B395" s="20">
        <v>45807</v>
      </c>
      <c r="C395">
        <f t="shared" si="18"/>
        <v>2025</v>
      </c>
      <c r="D395" t="str">
        <f t="shared" si="19"/>
        <v>May</v>
      </c>
      <c r="E395">
        <f t="shared" si="20"/>
        <v>5</v>
      </c>
    </row>
    <row r="396" spans="1:5" x14ac:dyDescent="0.3">
      <c r="A396">
        <v>395</v>
      </c>
      <c r="B396" s="19">
        <v>45438</v>
      </c>
      <c r="C396">
        <f t="shared" si="18"/>
        <v>2024</v>
      </c>
      <c r="D396" t="str">
        <f t="shared" si="19"/>
        <v>May</v>
      </c>
      <c r="E396">
        <f t="shared" si="20"/>
        <v>5</v>
      </c>
    </row>
    <row r="397" spans="1:5" x14ac:dyDescent="0.3">
      <c r="A397">
        <v>396</v>
      </c>
      <c r="B397" s="19">
        <v>45670</v>
      </c>
      <c r="C397">
        <f t="shared" si="18"/>
        <v>2025</v>
      </c>
      <c r="D397" t="str">
        <f t="shared" si="19"/>
        <v>January</v>
      </c>
      <c r="E397">
        <f t="shared" si="20"/>
        <v>1</v>
      </c>
    </row>
    <row r="398" spans="1:5" x14ac:dyDescent="0.3">
      <c r="A398">
        <v>397</v>
      </c>
      <c r="B398" s="20">
        <v>45631</v>
      </c>
      <c r="C398">
        <f t="shared" si="18"/>
        <v>2024</v>
      </c>
      <c r="D398" t="str">
        <f t="shared" si="19"/>
        <v>December</v>
      </c>
      <c r="E398">
        <f t="shared" si="20"/>
        <v>12</v>
      </c>
    </row>
    <row r="399" spans="1:5" x14ac:dyDescent="0.3">
      <c r="A399">
        <v>398</v>
      </c>
      <c r="B399" s="19">
        <v>45413</v>
      </c>
      <c r="C399">
        <f t="shared" si="18"/>
        <v>2024</v>
      </c>
      <c r="D399" t="str">
        <f t="shared" si="19"/>
        <v>May</v>
      </c>
      <c r="E399">
        <f t="shared" si="20"/>
        <v>5</v>
      </c>
    </row>
    <row r="400" spans="1:5" x14ac:dyDescent="0.3">
      <c r="A400">
        <v>399</v>
      </c>
      <c r="B400" s="19">
        <v>45365</v>
      </c>
      <c r="C400">
        <f t="shared" si="18"/>
        <v>2024</v>
      </c>
      <c r="D400" t="str">
        <f t="shared" si="19"/>
        <v>March</v>
      </c>
      <c r="E400">
        <f t="shared" si="20"/>
        <v>3</v>
      </c>
    </row>
    <row r="401" spans="1:5" x14ac:dyDescent="0.3">
      <c r="A401">
        <v>400</v>
      </c>
      <c r="B401" s="20">
        <v>45256</v>
      </c>
      <c r="C401">
        <f t="shared" si="18"/>
        <v>2023</v>
      </c>
      <c r="D401" t="str">
        <f t="shared" si="19"/>
        <v>November</v>
      </c>
      <c r="E401">
        <f t="shared" si="20"/>
        <v>11</v>
      </c>
    </row>
    <row r="402" spans="1:5" x14ac:dyDescent="0.3">
      <c r="A402">
        <v>401</v>
      </c>
      <c r="B402" s="20">
        <v>45374</v>
      </c>
      <c r="C402">
        <f t="shared" si="18"/>
        <v>2024</v>
      </c>
      <c r="D402" t="str">
        <f t="shared" si="19"/>
        <v>March</v>
      </c>
      <c r="E402">
        <f t="shared" si="20"/>
        <v>3</v>
      </c>
    </row>
    <row r="403" spans="1:5" x14ac:dyDescent="0.3">
      <c r="A403">
        <v>402</v>
      </c>
      <c r="B403" s="19">
        <v>45267</v>
      </c>
      <c r="C403">
        <f t="shared" si="18"/>
        <v>2023</v>
      </c>
      <c r="D403" t="str">
        <f t="shared" si="19"/>
        <v>December</v>
      </c>
      <c r="E403">
        <f t="shared" si="20"/>
        <v>12</v>
      </c>
    </row>
    <row r="404" spans="1:5" x14ac:dyDescent="0.3">
      <c r="A404">
        <v>403</v>
      </c>
      <c r="B404" s="20">
        <v>45689</v>
      </c>
      <c r="C404">
        <f t="shared" si="18"/>
        <v>2025</v>
      </c>
      <c r="D404" t="str">
        <f t="shared" si="19"/>
        <v>February</v>
      </c>
      <c r="E404">
        <f t="shared" si="20"/>
        <v>2</v>
      </c>
    </row>
    <row r="405" spans="1:5" x14ac:dyDescent="0.3">
      <c r="A405">
        <v>404</v>
      </c>
      <c r="B405" s="19">
        <v>45522</v>
      </c>
      <c r="C405">
        <f t="shared" si="18"/>
        <v>2024</v>
      </c>
      <c r="D405" t="str">
        <f t="shared" si="19"/>
        <v>August</v>
      </c>
      <c r="E405">
        <f t="shared" si="20"/>
        <v>8</v>
      </c>
    </row>
    <row r="406" spans="1:5" x14ac:dyDescent="0.3">
      <c r="A406">
        <v>405</v>
      </c>
      <c r="B406" s="20">
        <v>45756</v>
      </c>
      <c r="C406">
        <f t="shared" si="18"/>
        <v>2025</v>
      </c>
      <c r="D406" t="str">
        <f t="shared" si="19"/>
        <v>April</v>
      </c>
      <c r="E406">
        <f t="shared" si="20"/>
        <v>4</v>
      </c>
    </row>
    <row r="407" spans="1:5" x14ac:dyDescent="0.3">
      <c r="A407">
        <v>406</v>
      </c>
      <c r="B407" s="20">
        <v>45213</v>
      </c>
      <c r="C407">
        <f t="shared" si="18"/>
        <v>2023</v>
      </c>
      <c r="D407" t="str">
        <f t="shared" si="19"/>
        <v>October</v>
      </c>
      <c r="E407">
        <f t="shared" si="20"/>
        <v>10</v>
      </c>
    </row>
    <row r="408" spans="1:5" x14ac:dyDescent="0.3">
      <c r="A408">
        <v>407</v>
      </c>
      <c r="B408" s="19">
        <v>45203</v>
      </c>
      <c r="C408">
        <f t="shared" si="18"/>
        <v>2023</v>
      </c>
      <c r="D408" t="str">
        <f t="shared" si="19"/>
        <v>October</v>
      </c>
      <c r="E408">
        <f t="shared" si="20"/>
        <v>10</v>
      </c>
    </row>
    <row r="409" spans="1:5" x14ac:dyDescent="0.3">
      <c r="A409">
        <v>408</v>
      </c>
      <c r="B409" s="19">
        <v>45786</v>
      </c>
      <c r="C409">
        <f t="shared" si="18"/>
        <v>2025</v>
      </c>
      <c r="D409" t="str">
        <f t="shared" si="19"/>
        <v>May</v>
      </c>
      <c r="E409">
        <f t="shared" si="20"/>
        <v>5</v>
      </c>
    </row>
    <row r="410" spans="1:5" x14ac:dyDescent="0.3">
      <c r="A410">
        <v>409</v>
      </c>
      <c r="B410" s="19">
        <v>45274</v>
      </c>
      <c r="C410">
        <f t="shared" si="18"/>
        <v>2023</v>
      </c>
      <c r="D410" t="str">
        <f t="shared" si="19"/>
        <v>December</v>
      </c>
      <c r="E410">
        <f t="shared" si="20"/>
        <v>12</v>
      </c>
    </row>
    <row r="411" spans="1:5" x14ac:dyDescent="0.3">
      <c r="A411">
        <v>410</v>
      </c>
      <c r="B411" s="20">
        <v>45625</v>
      </c>
      <c r="C411">
        <f t="shared" si="18"/>
        <v>2024</v>
      </c>
      <c r="D411" t="str">
        <f t="shared" si="19"/>
        <v>November</v>
      </c>
      <c r="E411">
        <f t="shared" si="20"/>
        <v>11</v>
      </c>
    </row>
    <row r="412" spans="1:5" x14ac:dyDescent="0.3">
      <c r="A412">
        <v>411</v>
      </c>
      <c r="B412" s="20">
        <v>45619</v>
      </c>
      <c r="C412">
        <f t="shared" si="18"/>
        <v>2024</v>
      </c>
      <c r="D412" t="str">
        <f t="shared" si="19"/>
        <v>November</v>
      </c>
      <c r="E412">
        <f t="shared" si="20"/>
        <v>11</v>
      </c>
    </row>
    <row r="413" spans="1:5" x14ac:dyDescent="0.3">
      <c r="A413">
        <v>412</v>
      </c>
      <c r="B413" s="19">
        <v>45242</v>
      </c>
      <c r="C413">
        <f t="shared" si="18"/>
        <v>2023</v>
      </c>
      <c r="D413" t="str">
        <f t="shared" si="19"/>
        <v>November</v>
      </c>
      <c r="E413">
        <f t="shared" si="20"/>
        <v>11</v>
      </c>
    </row>
    <row r="414" spans="1:5" x14ac:dyDescent="0.3">
      <c r="A414">
        <v>413</v>
      </c>
      <c r="B414" s="20">
        <v>45767</v>
      </c>
      <c r="C414">
        <f t="shared" si="18"/>
        <v>2025</v>
      </c>
      <c r="D414" t="str">
        <f t="shared" si="19"/>
        <v>April</v>
      </c>
      <c r="E414">
        <f t="shared" si="20"/>
        <v>4</v>
      </c>
    </row>
    <row r="415" spans="1:5" x14ac:dyDescent="0.3">
      <c r="A415">
        <v>414</v>
      </c>
      <c r="B415" s="19">
        <v>45457</v>
      </c>
      <c r="C415">
        <f t="shared" si="18"/>
        <v>2024</v>
      </c>
      <c r="D415" t="str">
        <f t="shared" si="19"/>
        <v>June</v>
      </c>
      <c r="E415">
        <f t="shared" si="20"/>
        <v>6</v>
      </c>
    </row>
    <row r="416" spans="1:5" x14ac:dyDescent="0.3">
      <c r="A416">
        <v>415</v>
      </c>
      <c r="B416" s="20">
        <v>45716</v>
      </c>
      <c r="C416">
        <f t="shared" si="18"/>
        <v>2025</v>
      </c>
      <c r="D416" t="str">
        <f t="shared" si="19"/>
        <v>February</v>
      </c>
      <c r="E416">
        <f t="shared" si="20"/>
        <v>2</v>
      </c>
    </row>
    <row r="417" spans="1:5" x14ac:dyDescent="0.3">
      <c r="A417">
        <v>416</v>
      </c>
      <c r="B417" s="19">
        <v>45443</v>
      </c>
      <c r="C417">
        <f t="shared" si="18"/>
        <v>2024</v>
      </c>
      <c r="D417" t="str">
        <f t="shared" si="19"/>
        <v>May</v>
      </c>
      <c r="E417">
        <f t="shared" si="20"/>
        <v>5</v>
      </c>
    </row>
    <row r="418" spans="1:5" x14ac:dyDescent="0.3">
      <c r="A418">
        <v>417</v>
      </c>
      <c r="B418" s="20">
        <v>45501</v>
      </c>
      <c r="C418">
        <f t="shared" si="18"/>
        <v>2024</v>
      </c>
      <c r="D418" t="str">
        <f t="shared" si="19"/>
        <v>July</v>
      </c>
      <c r="E418">
        <f t="shared" si="20"/>
        <v>7</v>
      </c>
    </row>
    <row r="419" spans="1:5" x14ac:dyDescent="0.3">
      <c r="A419">
        <v>418</v>
      </c>
      <c r="B419" s="19">
        <v>45295</v>
      </c>
      <c r="C419">
        <f t="shared" si="18"/>
        <v>2024</v>
      </c>
      <c r="D419" t="str">
        <f t="shared" si="19"/>
        <v>January</v>
      </c>
      <c r="E419">
        <f t="shared" si="20"/>
        <v>1</v>
      </c>
    </row>
    <row r="420" spans="1:5" x14ac:dyDescent="0.3">
      <c r="A420">
        <v>419</v>
      </c>
      <c r="B420" s="19">
        <v>45798</v>
      </c>
      <c r="C420">
        <f t="shared" si="18"/>
        <v>2025</v>
      </c>
      <c r="D420" t="str">
        <f t="shared" si="19"/>
        <v>May</v>
      </c>
      <c r="E420">
        <f t="shared" si="20"/>
        <v>5</v>
      </c>
    </row>
    <row r="421" spans="1:5" x14ac:dyDescent="0.3">
      <c r="A421">
        <v>420</v>
      </c>
      <c r="B421" s="19">
        <v>45411</v>
      </c>
      <c r="C421">
        <f t="shared" si="18"/>
        <v>2024</v>
      </c>
      <c r="D421" t="str">
        <f t="shared" si="19"/>
        <v>April</v>
      </c>
      <c r="E421">
        <f t="shared" si="20"/>
        <v>4</v>
      </c>
    </row>
    <row r="422" spans="1:5" x14ac:dyDescent="0.3">
      <c r="A422">
        <v>421</v>
      </c>
      <c r="B422" s="20">
        <v>45554</v>
      </c>
      <c r="C422">
        <f t="shared" si="18"/>
        <v>2024</v>
      </c>
      <c r="D422" t="str">
        <f t="shared" si="19"/>
        <v>September</v>
      </c>
      <c r="E422">
        <f t="shared" si="20"/>
        <v>9</v>
      </c>
    </row>
    <row r="423" spans="1:5" x14ac:dyDescent="0.3">
      <c r="A423">
        <v>422</v>
      </c>
      <c r="B423" s="20">
        <v>45192</v>
      </c>
      <c r="C423">
        <f t="shared" si="18"/>
        <v>2023</v>
      </c>
      <c r="D423" t="str">
        <f t="shared" si="19"/>
        <v>September</v>
      </c>
      <c r="E423">
        <f t="shared" si="20"/>
        <v>9</v>
      </c>
    </row>
    <row r="424" spans="1:5" x14ac:dyDescent="0.3">
      <c r="A424">
        <v>423</v>
      </c>
      <c r="B424" s="19">
        <v>45736</v>
      </c>
      <c r="C424">
        <f t="shared" si="18"/>
        <v>2025</v>
      </c>
      <c r="D424" t="str">
        <f t="shared" si="19"/>
        <v>March</v>
      </c>
      <c r="E424">
        <f t="shared" si="20"/>
        <v>3</v>
      </c>
    </row>
    <row r="425" spans="1:5" x14ac:dyDescent="0.3">
      <c r="A425">
        <v>424</v>
      </c>
      <c r="B425" s="20">
        <v>45677</v>
      </c>
      <c r="C425">
        <f t="shared" si="18"/>
        <v>2025</v>
      </c>
      <c r="D425" t="str">
        <f t="shared" si="19"/>
        <v>January</v>
      </c>
      <c r="E425">
        <f t="shared" si="20"/>
        <v>1</v>
      </c>
    </row>
    <row r="426" spans="1:5" x14ac:dyDescent="0.3">
      <c r="A426">
        <v>425</v>
      </c>
      <c r="B426" s="20">
        <v>45572</v>
      </c>
      <c r="C426">
        <f t="shared" si="18"/>
        <v>2024</v>
      </c>
      <c r="D426" t="str">
        <f t="shared" si="19"/>
        <v>October</v>
      </c>
      <c r="E426">
        <f t="shared" si="20"/>
        <v>10</v>
      </c>
    </row>
    <row r="427" spans="1:5" x14ac:dyDescent="0.3">
      <c r="A427">
        <v>426</v>
      </c>
      <c r="B427" s="20">
        <v>45754</v>
      </c>
      <c r="C427">
        <f t="shared" si="18"/>
        <v>2025</v>
      </c>
      <c r="D427" t="str">
        <f t="shared" si="19"/>
        <v>April</v>
      </c>
      <c r="E427">
        <f t="shared" si="20"/>
        <v>4</v>
      </c>
    </row>
    <row r="428" spans="1:5" x14ac:dyDescent="0.3">
      <c r="A428">
        <v>427</v>
      </c>
      <c r="B428" s="19">
        <v>45404</v>
      </c>
      <c r="C428">
        <f t="shared" si="18"/>
        <v>2024</v>
      </c>
      <c r="D428" t="str">
        <f t="shared" si="19"/>
        <v>April</v>
      </c>
      <c r="E428">
        <f t="shared" si="20"/>
        <v>4</v>
      </c>
    </row>
    <row r="429" spans="1:5" x14ac:dyDescent="0.3">
      <c r="A429">
        <v>428</v>
      </c>
      <c r="B429" s="20">
        <v>45854</v>
      </c>
      <c r="C429">
        <f t="shared" si="18"/>
        <v>2025</v>
      </c>
      <c r="D429" t="str">
        <f t="shared" si="19"/>
        <v>July</v>
      </c>
      <c r="E429">
        <f t="shared" si="20"/>
        <v>7</v>
      </c>
    </row>
    <row r="430" spans="1:5" x14ac:dyDescent="0.3">
      <c r="A430">
        <v>429</v>
      </c>
      <c r="B430" s="19">
        <v>45550</v>
      </c>
      <c r="C430">
        <f t="shared" si="18"/>
        <v>2024</v>
      </c>
      <c r="D430" t="str">
        <f t="shared" si="19"/>
        <v>September</v>
      </c>
      <c r="E430">
        <f t="shared" si="20"/>
        <v>9</v>
      </c>
    </row>
    <row r="431" spans="1:5" x14ac:dyDescent="0.3">
      <c r="A431">
        <v>430</v>
      </c>
      <c r="B431" s="20">
        <v>45553</v>
      </c>
      <c r="C431">
        <f t="shared" si="18"/>
        <v>2024</v>
      </c>
      <c r="D431" t="str">
        <f t="shared" si="19"/>
        <v>September</v>
      </c>
      <c r="E431">
        <f t="shared" si="20"/>
        <v>9</v>
      </c>
    </row>
    <row r="432" spans="1:5" x14ac:dyDescent="0.3">
      <c r="A432">
        <v>431</v>
      </c>
      <c r="B432" s="20">
        <v>45363</v>
      </c>
      <c r="C432">
        <f t="shared" si="18"/>
        <v>2024</v>
      </c>
      <c r="D432" t="str">
        <f t="shared" si="19"/>
        <v>March</v>
      </c>
      <c r="E432">
        <f t="shared" si="20"/>
        <v>3</v>
      </c>
    </row>
    <row r="433" spans="1:5" x14ac:dyDescent="0.3">
      <c r="A433">
        <v>432</v>
      </c>
      <c r="B433" s="20">
        <v>45158</v>
      </c>
      <c r="C433">
        <f t="shared" si="18"/>
        <v>2023</v>
      </c>
      <c r="D433" t="str">
        <f t="shared" si="19"/>
        <v>August</v>
      </c>
      <c r="E433">
        <f t="shared" si="20"/>
        <v>8</v>
      </c>
    </row>
    <row r="434" spans="1:5" x14ac:dyDescent="0.3">
      <c r="A434">
        <v>433</v>
      </c>
      <c r="B434" s="19">
        <v>45155</v>
      </c>
      <c r="C434">
        <f t="shared" si="18"/>
        <v>2023</v>
      </c>
      <c r="D434" t="str">
        <f t="shared" si="19"/>
        <v>August</v>
      </c>
      <c r="E434">
        <f t="shared" si="20"/>
        <v>8</v>
      </c>
    </row>
    <row r="435" spans="1:5" x14ac:dyDescent="0.3">
      <c r="A435">
        <v>434</v>
      </c>
      <c r="B435" s="20">
        <v>45182</v>
      </c>
      <c r="C435">
        <f t="shared" si="18"/>
        <v>2023</v>
      </c>
      <c r="D435" t="str">
        <f t="shared" si="19"/>
        <v>September</v>
      </c>
      <c r="E435">
        <f t="shared" si="20"/>
        <v>9</v>
      </c>
    </row>
    <row r="436" spans="1:5" x14ac:dyDescent="0.3">
      <c r="A436">
        <v>435</v>
      </c>
      <c r="B436" s="20">
        <v>45171</v>
      </c>
      <c r="C436">
        <f t="shared" si="18"/>
        <v>2023</v>
      </c>
      <c r="D436" t="str">
        <f t="shared" si="19"/>
        <v>September</v>
      </c>
      <c r="E436">
        <f t="shared" si="20"/>
        <v>9</v>
      </c>
    </row>
    <row r="437" spans="1:5" x14ac:dyDescent="0.3">
      <c r="A437">
        <v>436</v>
      </c>
      <c r="B437" s="20">
        <v>45733</v>
      </c>
      <c r="C437">
        <f t="shared" si="18"/>
        <v>2025</v>
      </c>
      <c r="D437" t="str">
        <f t="shared" si="19"/>
        <v>March</v>
      </c>
      <c r="E437">
        <f t="shared" si="20"/>
        <v>3</v>
      </c>
    </row>
    <row r="438" spans="1:5" x14ac:dyDescent="0.3">
      <c r="A438">
        <v>437</v>
      </c>
      <c r="B438" s="19">
        <v>45328</v>
      </c>
      <c r="C438">
        <f t="shared" si="18"/>
        <v>2024</v>
      </c>
      <c r="D438" t="str">
        <f t="shared" si="19"/>
        <v>February</v>
      </c>
      <c r="E438">
        <f t="shared" si="20"/>
        <v>2</v>
      </c>
    </row>
    <row r="439" spans="1:5" x14ac:dyDescent="0.3">
      <c r="A439">
        <v>438</v>
      </c>
      <c r="B439" s="20">
        <v>45815</v>
      </c>
      <c r="C439">
        <f t="shared" si="18"/>
        <v>2025</v>
      </c>
      <c r="D439" t="str">
        <f t="shared" si="19"/>
        <v>June</v>
      </c>
      <c r="E439">
        <f t="shared" si="20"/>
        <v>6</v>
      </c>
    </row>
    <row r="440" spans="1:5" x14ac:dyDescent="0.3">
      <c r="A440">
        <v>439</v>
      </c>
      <c r="B440" s="19">
        <v>45314</v>
      </c>
      <c r="C440">
        <f t="shared" si="18"/>
        <v>2024</v>
      </c>
      <c r="D440" t="str">
        <f t="shared" si="19"/>
        <v>January</v>
      </c>
      <c r="E440">
        <f t="shared" si="20"/>
        <v>1</v>
      </c>
    </row>
    <row r="441" spans="1:5" x14ac:dyDescent="0.3">
      <c r="A441">
        <v>440</v>
      </c>
      <c r="B441" s="20">
        <v>45270</v>
      </c>
      <c r="C441">
        <f t="shared" si="18"/>
        <v>2023</v>
      </c>
      <c r="D441" t="str">
        <f t="shared" si="19"/>
        <v>December</v>
      </c>
      <c r="E441">
        <f t="shared" si="20"/>
        <v>12</v>
      </c>
    </row>
    <row r="442" spans="1:5" x14ac:dyDescent="0.3">
      <c r="A442">
        <v>441</v>
      </c>
      <c r="B442" s="20">
        <v>45416</v>
      </c>
      <c r="C442">
        <f t="shared" si="18"/>
        <v>2024</v>
      </c>
      <c r="D442" t="str">
        <f t="shared" si="19"/>
        <v>May</v>
      </c>
      <c r="E442">
        <f t="shared" si="20"/>
        <v>5</v>
      </c>
    </row>
    <row r="443" spans="1:5" x14ac:dyDescent="0.3">
      <c r="A443">
        <v>442</v>
      </c>
      <c r="B443" s="19">
        <v>45800</v>
      </c>
      <c r="C443">
        <f t="shared" si="18"/>
        <v>2025</v>
      </c>
      <c r="D443" t="str">
        <f t="shared" si="19"/>
        <v>May</v>
      </c>
      <c r="E443">
        <f t="shared" si="20"/>
        <v>5</v>
      </c>
    </row>
    <row r="444" spans="1:5" x14ac:dyDescent="0.3">
      <c r="A444">
        <v>443</v>
      </c>
      <c r="B444" s="19">
        <v>45248</v>
      </c>
      <c r="C444">
        <f t="shared" si="18"/>
        <v>2023</v>
      </c>
      <c r="D444" t="str">
        <f t="shared" si="19"/>
        <v>November</v>
      </c>
      <c r="E444">
        <f t="shared" si="20"/>
        <v>11</v>
      </c>
    </row>
    <row r="445" spans="1:5" x14ac:dyDescent="0.3">
      <c r="A445">
        <v>444</v>
      </c>
      <c r="B445" s="19">
        <v>45321</v>
      </c>
      <c r="C445">
        <f t="shared" si="18"/>
        <v>2024</v>
      </c>
      <c r="D445" t="str">
        <f t="shared" si="19"/>
        <v>January</v>
      </c>
      <c r="E445">
        <f t="shared" si="20"/>
        <v>1</v>
      </c>
    </row>
    <row r="446" spans="1:5" x14ac:dyDescent="0.3">
      <c r="A446">
        <v>445</v>
      </c>
      <c r="B446" s="20">
        <v>45398</v>
      </c>
      <c r="C446">
        <f t="shared" si="18"/>
        <v>2024</v>
      </c>
      <c r="D446" t="str">
        <f t="shared" si="19"/>
        <v>April</v>
      </c>
      <c r="E446">
        <f t="shared" si="20"/>
        <v>4</v>
      </c>
    </row>
    <row r="447" spans="1:5" x14ac:dyDescent="0.3">
      <c r="A447">
        <v>446</v>
      </c>
      <c r="B447" s="19">
        <v>45544</v>
      </c>
      <c r="C447">
        <f t="shared" si="18"/>
        <v>2024</v>
      </c>
      <c r="D447" t="str">
        <f t="shared" si="19"/>
        <v>September</v>
      </c>
      <c r="E447">
        <f t="shared" si="20"/>
        <v>9</v>
      </c>
    </row>
    <row r="448" spans="1:5" x14ac:dyDescent="0.3">
      <c r="A448">
        <v>447</v>
      </c>
      <c r="B448" s="19">
        <v>45618</v>
      </c>
      <c r="C448">
        <f t="shared" si="18"/>
        <v>2024</v>
      </c>
      <c r="D448" t="str">
        <f t="shared" si="19"/>
        <v>November</v>
      </c>
      <c r="E448">
        <f t="shared" si="20"/>
        <v>11</v>
      </c>
    </row>
    <row r="449" spans="1:5" x14ac:dyDescent="0.3">
      <c r="A449">
        <v>448</v>
      </c>
      <c r="B449" s="20">
        <v>45571</v>
      </c>
      <c r="C449">
        <f t="shared" si="18"/>
        <v>2024</v>
      </c>
      <c r="D449" t="str">
        <f t="shared" si="19"/>
        <v>October</v>
      </c>
      <c r="E449">
        <f t="shared" si="20"/>
        <v>10</v>
      </c>
    </row>
    <row r="450" spans="1:5" x14ac:dyDescent="0.3">
      <c r="A450">
        <v>449</v>
      </c>
      <c r="B450" s="20">
        <v>45497</v>
      </c>
      <c r="C450">
        <f t="shared" si="18"/>
        <v>2024</v>
      </c>
      <c r="D450" t="str">
        <f t="shared" si="19"/>
        <v>July</v>
      </c>
      <c r="E450">
        <f t="shared" si="20"/>
        <v>7</v>
      </c>
    </row>
    <row r="451" spans="1:5" x14ac:dyDescent="0.3">
      <c r="A451">
        <v>450</v>
      </c>
      <c r="B451" s="19">
        <v>45216</v>
      </c>
      <c r="C451">
        <f t="shared" ref="C451:C514" si="21">YEAR(B451)</f>
        <v>2023</v>
      </c>
      <c r="D451" t="str">
        <f t="shared" ref="D451:D514" si="22">TEXT(B451,"mmmm")</f>
        <v>October</v>
      </c>
      <c r="E451">
        <f t="shared" ref="E451:E514" si="23">MONTH(B451)</f>
        <v>10</v>
      </c>
    </row>
    <row r="452" spans="1:5" x14ac:dyDescent="0.3">
      <c r="A452">
        <v>451</v>
      </c>
      <c r="B452" s="20">
        <v>45391</v>
      </c>
      <c r="C452">
        <f t="shared" si="21"/>
        <v>2024</v>
      </c>
      <c r="D452" t="str">
        <f t="shared" si="22"/>
        <v>April</v>
      </c>
      <c r="E452">
        <f t="shared" si="23"/>
        <v>4</v>
      </c>
    </row>
    <row r="453" spans="1:5" x14ac:dyDescent="0.3">
      <c r="A453">
        <v>452</v>
      </c>
      <c r="B453" s="19">
        <v>45527</v>
      </c>
      <c r="C453">
        <f t="shared" si="21"/>
        <v>2024</v>
      </c>
      <c r="D453" t="str">
        <f t="shared" si="22"/>
        <v>August</v>
      </c>
      <c r="E453">
        <f t="shared" si="23"/>
        <v>8</v>
      </c>
    </row>
    <row r="454" spans="1:5" x14ac:dyDescent="0.3">
      <c r="A454">
        <v>453</v>
      </c>
      <c r="B454" s="19">
        <v>45147</v>
      </c>
      <c r="C454">
        <f t="shared" si="21"/>
        <v>2023</v>
      </c>
      <c r="D454" t="str">
        <f t="shared" si="22"/>
        <v>August</v>
      </c>
      <c r="E454">
        <f t="shared" si="23"/>
        <v>8</v>
      </c>
    </row>
    <row r="455" spans="1:5" x14ac:dyDescent="0.3">
      <c r="A455">
        <v>454</v>
      </c>
      <c r="B455" s="19">
        <v>45260</v>
      </c>
      <c r="C455">
        <f t="shared" si="21"/>
        <v>2023</v>
      </c>
      <c r="D455" t="str">
        <f t="shared" si="22"/>
        <v>November</v>
      </c>
      <c r="E455">
        <f t="shared" si="23"/>
        <v>11</v>
      </c>
    </row>
    <row r="456" spans="1:5" x14ac:dyDescent="0.3">
      <c r="A456">
        <v>455</v>
      </c>
      <c r="B456" s="20">
        <v>45283</v>
      </c>
      <c r="C456">
        <f t="shared" si="21"/>
        <v>2023</v>
      </c>
      <c r="D456" t="str">
        <f t="shared" si="22"/>
        <v>December</v>
      </c>
      <c r="E456">
        <f t="shared" si="23"/>
        <v>12</v>
      </c>
    </row>
    <row r="457" spans="1:5" x14ac:dyDescent="0.3">
      <c r="A457">
        <v>456</v>
      </c>
      <c r="B457" s="20">
        <v>45724</v>
      </c>
      <c r="C457">
        <f t="shared" si="21"/>
        <v>2025</v>
      </c>
      <c r="D457" t="str">
        <f t="shared" si="22"/>
        <v>March</v>
      </c>
      <c r="E457">
        <f t="shared" si="23"/>
        <v>3</v>
      </c>
    </row>
    <row r="458" spans="1:5" x14ac:dyDescent="0.3">
      <c r="A458">
        <v>457</v>
      </c>
      <c r="B458" s="19">
        <v>45410</v>
      </c>
      <c r="C458">
        <f t="shared" si="21"/>
        <v>2024</v>
      </c>
      <c r="D458" t="str">
        <f t="shared" si="22"/>
        <v>April</v>
      </c>
      <c r="E458">
        <f t="shared" si="23"/>
        <v>4</v>
      </c>
    </row>
    <row r="459" spans="1:5" x14ac:dyDescent="0.3">
      <c r="A459">
        <v>458</v>
      </c>
      <c r="B459" s="19">
        <v>45760</v>
      </c>
      <c r="C459">
        <f t="shared" si="21"/>
        <v>2025</v>
      </c>
      <c r="D459" t="str">
        <f t="shared" si="22"/>
        <v>April</v>
      </c>
      <c r="E459">
        <f t="shared" si="23"/>
        <v>4</v>
      </c>
    </row>
    <row r="460" spans="1:5" x14ac:dyDescent="0.3">
      <c r="A460">
        <v>459</v>
      </c>
      <c r="B460" s="20">
        <v>45313</v>
      </c>
      <c r="C460">
        <f t="shared" si="21"/>
        <v>2024</v>
      </c>
      <c r="D460" t="str">
        <f t="shared" si="22"/>
        <v>January</v>
      </c>
      <c r="E460">
        <f t="shared" si="23"/>
        <v>1</v>
      </c>
    </row>
    <row r="461" spans="1:5" x14ac:dyDescent="0.3">
      <c r="A461">
        <v>460</v>
      </c>
      <c r="B461" s="20">
        <v>45586</v>
      </c>
      <c r="C461">
        <f t="shared" si="21"/>
        <v>2024</v>
      </c>
      <c r="D461" t="str">
        <f t="shared" si="22"/>
        <v>October</v>
      </c>
      <c r="E461">
        <f t="shared" si="23"/>
        <v>10</v>
      </c>
    </row>
    <row r="462" spans="1:5" x14ac:dyDescent="0.3">
      <c r="A462">
        <v>461</v>
      </c>
      <c r="B462" s="19">
        <v>45699</v>
      </c>
      <c r="C462">
        <f t="shared" si="21"/>
        <v>2025</v>
      </c>
      <c r="D462" t="str">
        <f t="shared" si="22"/>
        <v>February</v>
      </c>
      <c r="E462">
        <f t="shared" si="23"/>
        <v>2</v>
      </c>
    </row>
    <row r="463" spans="1:5" x14ac:dyDescent="0.3">
      <c r="A463">
        <v>462</v>
      </c>
      <c r="B463" s="19">
        <v>45322</v>
      </c>
      <c r="C463">
        <f t="shared" si="21"/>
        <v>2024</v>
      </c>
      <c r="D463" t="str">
        <f t="shared" si="22"/>
        <v>January</v>
      </c>
      <c r="E463">
        <f t="shared" si="23"/>
        <v>1</v>
      </c>
    </row>
    <row r="464" spans="1:5" x14ac:dyDescent="0.3">
      <c r="A464">
        <v>463</v>
      </c>
      <c r="B464" s="20">
        <v>45645</v>
      </c>
      <c r="C464">
        <f t="shared" si="21"/>
        <v>2024</v>
      </c>
      <c r="D464" t="str">
        <f t="shared" si="22"/>
        <v>December</v>
      </c>
      <c r="E464">
        <f t="shared" si="23"/>
        <v>12</v>
      </c>
    </row>
    <row r="465" spans="1:5" x14ac:dyDescent="0.3">
      <c r="A465">
        <v>464</v>
      </c>
      <c r="B465" s="20">
        <v>45622</v>
      </c>
      <c r="C465">
        <f t="shared" si="21"/>
        <v>2024</v>
      </c>
      <c r="D465" t="str">
        <f t="shared" si="22"/>
        <v>November</v>
      </c>
      <c r="E465">
        <f t="shared" si="23"/>
        <v>11</v>
      </c>
    </row>
    <row r="466" spans="1:5" x14ac:dyDescent="0.3">
      <c r="A466">
        <v>465</v>
      </c>
      <c r="B466" s="20">
        <v>45320</v>
      </c>
      <c r="C466">
        <f t="shared" si="21"/>
        <v>2024</v>
      </c>
      <c r="D466" t="str">
        <f t="shared" si="22"/>
        <v>January</v>
      </c>
      <c r="E466">
        <f t="shared" si="23"/>
        <v>1</v>
      </c>
    </row>
    <row r="467" spans="1:5" x14ac:dyDescent="0.3">
      <c r="A467">
        <v>466</v>
      </c>
      <c r="B467" s="19">
        <v>45306</v>
      </c>
      <c r="C467">
        <f t="shared" si="21"/>
        <v>2024</v>
      </c>
      <c r="D467" t="str">
        <f t="shared" si="22"/>
        <v>January</v>
      </c>
      <c r="E467">
        <f t="shared" si="23"/>
        <v>1</v>
      </c>
    </row>
    <row r="468" spans="1:5" x14ac:dyDescent="0.3">
      <c r="A468">
        <v>467</v>
      </c>
      <c r="B468" s="19">
        <v>45249</v>
      </c>
      <c r="C468">
        <f t="shared" si="21"/>
        <v>2023</v>
      </c>
      <c r="D468" t="str">
        <f t="shared" si="22"/>
        <v>November</v>
      </c>
      <c r="E468">
        <f t="shared" si="23"/>
        <v>11</v>
      </c>
    </row>
    <row r="469" spans="1:5" x14ac:dyDescent="0.3">
      <c r="A469">
        <v>468</v>
      </c>
      <c r="B469" s="20">
        <v>45343</v>
      </c>
      <c r="C469">
        <f t="shared" si="21"/>
        <v>2024</v>
      </c>
      <c r="D469" t="str">
        <f t="shared" si="22"/>
        <v>February</v>
      </c>
      <c r="E469">
        <f t="shared" si="23"/>
        <v>2</v>
      </c>
    </row>
    <row r="470" spans="1:5" x14ac:dyDescent="0.3">
      <c r="A470">
        <v>469</v>
      </c>
      <c r="B470" s="20">
        <v>45373</v>
      </c>
      <c r="C470">
        <f t="shared" si="21"/>
        <v>2024</v>
      </c>
      <c r="D470" t="str">
        <f t="shared" si="22"/>
        <v>March</v>
      </c>
      <c r="E470">
        <f t="shared" si="23"/>
        <v>3</v>
      </c>
    </row>
    <row r="471" spans="1:5" x14ac:dyDescent="0.3">
      <c r="A471">
        <v>470</v>
      </c>
      <c r="B471" s="20">
        <v>45615</v>
      </c>
      <c r="C471">
        <f t="shared" si="21"/>
        <v>2024</v>
      </c>
      <c r="D471" t="str">
        <f t="shared" si="22"/>
        <v>November</v>
      </c>
      <c r="E471">
        <f t="shared" si="23"/>
        <v>11</v>
      </c>
    </row>
    <row r="472" spans="1:5" x14ac:dyDescent="0.3">
      <c r="A472">
        <v>471</v>
      </c>
      <c r="B472" s="19">
        <v>45218</v>
      </c>
      <c r="C472">
        <f t="shared" si="21"/>
        <v>2023</v>
      </c>
      <c r="D472" t="str">
        <f t="shared" si="22"/>
        <v>October</v>
      </c>
      <c r="E472">
        <f t="shared" si="23"/>
        <v>10</v>
      </c>
    </row>
    <row r="473" spans="1:5" x14ac:dyDescent="0.3">
      <c r="A473">
        <v>472</v>
      </c>
      <c r="B473" s="19">
        <v>45364</v>
      </c>
      <c r="C473">
        <f t="shared" si="21"/>
        <v>2024</v>
      </c>
      <c r="D473" t="str">
        <f t="shared" si="22"/>
        <v>March</v>
      </c>
      <c r="E473">
        <f t="shared" si="23"/>
        <v>3</v>
      </c>
    </row>
    <row r="474" spans="1:5" x14ac:dyDescent="0.3">
      <c r="A474">
        <v>473</v>
      </c>
      <c r="B474" s="19">
        <v>45536</v>
      </c>
      <c r="C474">
        <f t="shared" si="21"/>
        <v>2024</v>
      </c>
      <c r="D474" t="str">
        <f t="shared" si="22"/>
        <v>September</v>
      </c>
      <c r="E474">
        <f t="shared" si="23"/>
        <v>9</v>
      </c>
    </row>
    <row r="475" spans="1:5" x14ac:dyDescent="0.3">
      <c r="A475">
        <v>474</v>
      </c>
      <c r="B475" s="19">
        <v>45279</v>
      </c>
      <c r="C475">
        <f t="shared" si="21"/>
        <v>2023</v>
      </c>
      <c r="D475" t="str">
        <f t="shared" si="22"/>
        <v>December</v>
      </c>
      <c r="E475">
        <f t="shared" si="23"/>
        <v>12</v>
      </c>
    </row>
    <row r="476" spans="1:5" x14ac:dyDescent="0.3">
      <c r="A476">
        <v>475</v>
      </c>
      <c r="B476" s="19">
        <v>45674</v>
      </c>
      <c r="C476">
        <f t="shared" si="21"/>
        <v>2025</v>
      </c>
      <c r="D476" t="str">
        <f t="shared" si="22"/>
        <v>January</v>
      </c>
      <c r="E476">
        <f t="shared" si="23"/>
        <v>1</v>
      </c>
    </row>
    <row r="477" spans="1:5" x14ac:dyDescent="0.3">
      <c r="A477">
        <v>476</v>
      </c>
      <c r="B477" s="20">
        <v>45535</v>
      </c>
      <c r="C477">
        <f t="shared" si="21"/>
        <v>2024</v>
      </c>
      <c r="D477" t="str">
        <f t="shared" si="22"/>
        <v>August</v>
      </c>
      <c r="E477">
        <f t="shared" si="23"/>
        <v>8</v>
      </c>
    </row>
    <row r="478" spans="1:5" x14ac:dyDescent="0.3">
      <c r="A478">
        <v>477</v>
      </c>
      <c r="B478" s="20">
        <v>45441</v>
      </c>
      <c r="C478">
        <f t="shared" si="21"/>
        <v>2024</v>
      </c>
      <c r="D478" t="str">
        <f t="shared" si="22"/>
        <v>May</v>
      </c>
      <c r="E478">
        <f t="shared" si="23"/>
        <v>5</v>
      </c>
    </row>
    <row r="479" spans="1:5" x14ac:dyDescent="0.3">
      <c r="A479">
        <v>478</v>
      </c>
      <c r="B479" s="19">
        <v>45194</v>
      </c>
      <c r="C479">
        <f t="shared" si="21"/>
        <v>2023</v>
      </c>
      <c r="D479" t="str">
        <f t="shared" si="22"/>
        <v>September</v>
      </c>
      <c r="E479">
        <f t="shared" si="23"/>
        <v>9</v>
      </c>
    </row>
    <row r="480" spans="1:5" x14ac:dyDescent="0.3">
      <c r="A480">
        <v>479</v>
      </c>
      <c r="B480" s="19">
        <v>45557</v>
      </c>
      <c r="C480">
        <f t="shared" si="21"/>
        <v>2024</v>
      </c>
      <c r="D480" t="str">
        <f t="shared" si="22"/>
        <v>September</v>
      </c>
      <c r="E480">
        <f t="shared" si="23"/>
        <v>9</v>
      </c>
    </row>
    <row r="481" spans="1:5" x14ac:dyDescent="0.3">
      <c r="A481">
        <v>480</v>
      </c>
      <c r="B481" s="19">
        <v>45845</v>
      </c>
      <c r="C481">
        <f t="shared" si="21"/>
        <v>2025</v>
      </c>
      <c r="D481" t="str">
        <f t="shared" si="22"/>
        <v>July</v>
      </c>
      <c r="E481">
        <f t="shared" si="23"/>
        <v>7</v>
      </c>
    </row>
    <row r="482" spans="1:5" x14ac:dyDescent="0.3">
      <c r="A482">
        <v>481</v>
      </c>
      <c r="B482" s="20">
        <v>45730</v>
      </c>
      <c r="C482">
        <f t="shared" si="21"/>
        <v>2025</v>
      </c>
      <c r="D482" t="str">
        <f t="shared" si="22"/>
        <v>March</v>
      </c>
      <c r="E482">
        <f t="shared" si="23"/>
        <v>3</v>
      </c>
    </row>
    <row r="483" spans="1:5" x14ac:dyDescent="0.3">
      <c r="A483">
        <v>482</v>
      </c>
      <c r="B483" s="19">
        <v>45794</v>
      </c>
      <c r="C483">
        <f t="shared" si="21"/>
        <v>2025</v>
      </c>
      <c r="D483" t="str">
        <f t="shared" si="22"/>
        <v>May</v>
      </c>
      <c r="E483">
        <f t="shared" si="23"/>
        <v>5</v>
      </c>
    </row>
    <row r="484" spans="1:5" x14ac:dyDescent="0.3">
      <c r="A484">
        <v>483</v>
      </c>
      <c r="B484" s="19">
        <v>45418</v>
      </c>
      <c r="C484">
        <f t="shared" si="21"/>
        <v>2024</v>
      </c>
      <c r="D484" t="str">
        <f t="shared" si="22"/>
        <v>May</v>
      </c>
      <c r="E484">
        <f t="shared" si="23"/>
        <v>5</v>
      </c>
    </row>
    <row r="485" spans="1:5" x14ac:dyDescent="0.3">
      <c r="A485">
        <v>484</v>
      </c>
      <c r="B485" s="19">
        <v>45653</v>
      </c>
      <c r="C485">
        <f t="shared" si="21"/>
        <v>2024</v>
      </c>
      <c r="D485" t="str">
        <f t="shared" si="22"/>
        <v>December</v>
      </c>
      <c r="E485">
        <f t="shared" si="23"/>
        <v>12</v>
      </c>
    </row>
    <row r="486" spans="1:5" x14ac:dyDescent="0.3">
      <c r="A486">
        <v>485</v>
      </c>
      <c r="B486" s="20">
        <v>45359</v>
      </c>
      <c r="C486">
        <f t="shared" si="21"/>
        <v>2024</v>
      </c>
      <c r="D486" t="str">
        <f t="shared" si="22"/>
        <v>March</v>
      </c>
      <c r="E486">
        <f t="shared" si="23"/>
        <v>3</v>
      </c>
    </row>
    <row r="487" spans="1:5" x14ac:dyDescent="0.3">
      <c r="A487">
        <v>486</v>
      </c>
      <c r="B487" s="20">
        <v>45221</v>
      </c>
      <c r="C487">
        <f t="shared" si="21"/>
        <v>2023</v>
      </c>
      <c r="D487" t="str">
        <f t="shared" si="22"/>
        <v>October</v>
      </c>
      <c r="E487">
        <f t="shared" si="23"/>
        <v>10</v>
      </c>
    </row>
    <row r="488" spans="1:5" x14ac:dyDescent="0.3">
      <c r="A488">
        <v>487</v>
      </c>
      <c r="B488" s="19">
        <v>45548</v>
      </c>
      <c r="C488">
        <f t="shared" si="21"/>
        <v>2024</v>
      </c>
      <c r="D488" t="str">
        <f t="shared" si="22"/>
        <v>September</v>
      </c>
      <c r="E488">
        <f t="shared" si="23"/>
        <v>9</v>
      </c>
    </row>
    <row r="489" spans="1:5" x14ac:dyDescent="0.3">
      <c r="A489">
        <v>488</v>
      </c>
      <c r="B489" s="19">
        <v>45513</v>
      </c>
      <c r="C489">
        <f t="shared" si="21"/>
        <v>2024</v>
      </c>
      <c r="D489" t="str">
        <f t="shared" si="22"/>
        <v>August</v>
      </c>
      <c r="E489">
        <f t="shared" si="23"/>
        <v>8</v>
      </c>
    </row>
    <row r="490" spans="1:5" x14ac:dyDescent="0.3">
      <c r="A490">
        <v>489</v>
      </c>
      <c r="B490" s="19">
        <v>45644</v>
      </c>
      <c r="C490">
        <f t="shared" si="21"/>
        <v>2024</v>
      </c>
      <c r="D490" t="str">
        <f t="shared" si="22"/>
        <v>December</v>
      </c>
      <c r="E490">
        <f t="shared" si="23"/>
        <v>12</v>
      </c>
    </row>
    <row r="491" spans="1:5" x14ac:dyDescent="0.3">
      <c r="A491">
        <v>490</v>
      </c>
      <c r="B491" s="20">
        <v>45193</v>
      </c>
      <c r="C491">
        <f t="shared" si="21"/>
        <v>2023</v>
      </c>
      <c r="D491" t="str">
        <f t="shared" si="22"/>
        <v>September</v>
      </c>
      <c r="E491">
        <f t="shared" si="23"/>
        <v>9</v>
      </c>
    </row>
    <row r="492" spans="1:5" x14ac:dyDescent="0.3">
      <c r="A492">
        <v>491</v>
      </c>
      <c r="B492" s="19">
        <v>45290</v>
      </c>
      <c r="C492">
        <f t="shared" si="21"/>
        <v>2023</v>
      </c>
      <c r="D492" t="str">
        <f t="shared" si="22"/>
        <v>December</v>
      </c>
      <c r="E492">
        <f t="shared" si="23"/>
        <v>12</v>
      </c>
    </row>
    <row r="493" spans="1:5" x14ac:dyDescent="0.3">
      <c r="A493">
        <v>492</v>
      </c>
      <c r="B493" s="20">
        <v>45303</v>
      </c>
      <c r="C493">
        <f t="shared" si="21"/>
        <v>2024</v>
      </c>
      <c r="D493" t="str">
        <f t="shared" si="22"/>
        <v>January</v>
      </c>
      <c r="E493">
        <f t="shared" si="23"/>
        <v>1</v>
      </c>
    </row>
    <row r="494" spans="1:5" x14ac:dyDescent="0.3">
      <c r="A494">
        <v>493</v>
      </c>
      <c r="B494" s="19">
        <v>45383</v>
      </c>
      <c r="C494">
        <f t="shared" si="21"/>
        <v>2024</v>
      </c>
      <c r="D494" t="str">
        <f t="shared" si="22"/>
        <v>April</v>
      </c>
      <c r="E494">
        <f t="shared" si="23"/>
        <v>4</v>
      </c>
    </row>
    <row r="495" spans="1:5" x14ac:dyDescent="0.3">
      <c r="A495">
        <v>494</v>
      </c>
      <c r="B495" s="20">
        <v>45392</v>
      </c>
      <c r="C495">
        <f t="shared" si="21"/>
        <v>2024</v>
      </c>
      <c r="D495" t="str">
        <f t="shared" si="22"/>
        <v>April</v>
      </c>
      <c r="E495">
        <f t="shared" si="23"/>
        <v>4</v>
      </c>
    </row>
    <row r="496" spans="1:5" x14ac:dyDescent="0.3">
      <c r="A496">
        <v>495</v>
      </c>
      <c r="B496" s="19">
        <v>45542</v>
      </c>
      <c r="C496">
        <f t="shared" si="21"/>
        <v>2024</v>
      </c>
      <c r="D496" t="str">
        <f t="shared" si="22"/>
        <v>September</v>
      </c>
      <c r="E496">
        <f t="shared" si="23"/>
        <v>9</v>
      </c>
    </row>
    <row r="497" spans="1:5" x14ac:dyDescent="0.3">
      <c r="A497">
        <v>496</v>
      </c>
      <c r="B497" s="19">
        <v>45442</v>
      </c>
      <c r="C497">
        <f t="shared" si="21"/>
        <v>2024</v>
      </c>
      <c r="D497" t="str">
        <f t="shared" si="22"/>
        <v>May</v>
      </c>
      <c r="E497">
        <f t="shared" si="23"/>
        <v>5</v>
      </c>
    </row>
    <row r="498" spans="1:5" x14ac:dyDescent="0.3">
      <c r="A498">
        <v>497</v>
      </c>
      <c r="B498" s="19">
        <v>45464</v>
      </c>
      <c r="C498">
        <f t="shared" si="21"/>
        <v>2024</v>
      </c>
      <c r="D498" t="str">
        <f t="shared" si="22"/>
        <v>June</v>
      </c>
      <c r="E498">
        <f t="shared" si="23"/>
        <v>6</v>
      </c>
    </row>
    <row r="499" spans="1:5" x14ac:dyDescent="0.3">
      <c r="A499">
        <v>498</v>
      </c>
      <c r="B499" s="19">
        <v>45541</v>
      </c>
      <c r="C499">
        <f t="shared" si="21"/>
        <v>2024</v>
      </c>
      <c r="D499" t="str">
        <f t="shared" si="22"/>
        <v>September</v>
      </c>
      <c r="E499">
        <f t="shared" si="23"/>
        <v>9</v>
      </c>
    </row>
    <row r="500" spans="1:5" x14ac:dyDescent="0.3">
      <c r="A500">
        <v>499</v>
      </c>
      <c r="B500" s="19">
        <v>45537</v>
      </c>
      <c r="C500">
        <f t="shared" si="21"/>
        <v>2024</v>
      </c>
      <c r="D500" t="str">
        <f t="shared" si="22"/>
        <v>September</v>
      </c>
      <c r="E500">
        <f t="shared" si="23"/>
        <v>9</v>
      </c>
    </row>
    <row r="501" spans="1:5" x14ac:dyDescent="0.3">
      <c r="A501">
        <v>500</v>
      </c>
      <c r="B501" s="20">
        <v>45148</v>
      </c>
      <c r="C501">
        <f t="shared" si="21"/>
        <v>2023</v>
      </c>
      <c r="D501" t="str">
        <f t="shared" si="22"/>
        <v>August</v>
      </c>
      <c r="E501">
        <f t="shared" si="23"/>
        <v>8</v>
      </c>
    </row>
    <row r="502" spans="1:5" x14ac:dyDescent="0.3">
      <c r="A502">
        <v>501</v>
      </c>
      <c r="B502" s="20">
        <v>45210</v>
      </c>
      <c r="C502">
        <f t="shared" si="21"/>
        <v>2023</v>
      </c>
      <c r="D502" t="str">
        <f t="shared" si="22"/>
        <v>October</v>
      </c>
      <c r="E502">
        <f t="shared" si="23"/>
        <v>10</v>
      </c>
    </row>
    <row r="503" spans="1:5" x14ac:dyDescent="0.3">
      <c r="A503">
        <v>502</v>
      </c>
      <c r="B503" s="19">
        <v>45302</v>
      </c>
      <c r="C503">
        <f t="shared" si="21"/>
        <v>2024</v>
      </c>
      <c r="D503" t="str">
        <f t="shared" si="22"/>
        <v>January</v>
      </c>
      <c r="E503">
        <f t="shared" si="23"/>
        <v>1</v>
      </c>
    </row>
    <row r="504" spans="1:5" x14ac:dyDescent="0.3">
      <c r="A504">
        <v>503</v>
      </c>
      <c r="B504" s="19">
        <v>45325</v>
      </c>
      <c r="C504">
        <f t="shared" si="21"/>
        <v>2024</v>
      </c>
      <c r="D504" t="str">
        <f t="shared" si="22"/>
        <v>February</v>
      </c>
      <c r="E504">
        <f t="shared" si="23"/>
        <v>2</v>
      </c>
    </row>
    <row r="505" spans="1:5" x14ac:dyDescent="0.3">
      <c r="A505">
        <v>504</v>
      </c>
      <c r="B505" s="20">
        <v>45761</v>
      </c>
      <c r="C505">
        <f t="shared" si="21"/>
        <v>2025</v>
      </c>
      <c r="D505" t="str">
        <f t="shared" si="22"/>
        <v>April</v>
      </c>
      <c r="E505">
        <f t="shared" si="23"/>
        <v>4</v>
      </c>
    </row>
    <row r="506" spans="1:5" x14ac:dyDescent="0.3">
      <c r="A506">
        <v>505</v>
      </c>
      <c r="B506" s="20">
        <v>45504</v>
      </c>
      <c r="C506">
        <f t="shared" si="21"/>
        <v>2024</v>
      </c>
      <c r="D506" t="str">
        <f t="shared" si="22"/>
        <v>July</v>
      </c>
      <c r="E506">
        <f t="shared" si="23"/>
        <v>7</v>
      </c>
    </row>
    <row r="507" spans="1:5" x14ac:dyDescent="0.3">
      <c r="A507">
        <v>506</v>
      </c>
      <c r="B507" s="20">
        <v>45529</v>
      </c>
      <c r="C507">
        <f t="shared" si="21"/>
        <v>2024</v>
      </c>
      <c r="D507" t="str">
        <f t="shared" si="22"/>
        <v>August</v>
      </c>
      <c r="E507">
        <f t="shared" si="23"/>
        <v>8</v>
      </c>
    </row>
    <row r="508" spans="1:5" x14ac:dyDescent="0.3">
      <c r="A508">
        <v>507</v>
      </c>
      <c r="B508" s="19">
        <v>45382</v>
      </c>
      <c r="C508">
        <f t="shared" si="21"/>
        <v>2024</v>
      </c>
      <c r="D508" t="str">
        <f t="shared" si="22"/>
        <v>March</v>
      </c>
      <c r="E508">
        <f t="shared" si="23"/>
        <v>3</v>
      </c>
    </row>
    <row r="509" spans="1:5" x14ac:dyDescent="0.3">
      <c r="A509">
        <v>508</v>
      </c>
      <c r="B509" s="20">
        <v>45564</v>
      </c>
      <c r="C509">
        <f t="shared" si="21"/>
        <v>2024</v>
      </c>
      <c r="D509" t="str">
        <f t="shared" si="22"/>
        <v>September</v>
      </c>
      <c r="E509">
        <f t="shared" si="23"/>
        <v>9</v>
      </c>
    </row>
    <row r="510" spans="1:5" x14ac:dyDescent="0.3">
      <c r="A510">
        <v>509</v>
      </c>
      <c r="B510" s="20">
        <v>45223</v>
      </c>
      <c r="C510">
        <f t="shared" si="21"/>
        <v>2023</v>
      </c>
      <c r="D510" t="str">
        <f t="shared" si="22"/>
        <v>October</v>
      </c>
      <c r="E510">
        <f t="shared" si="23"/>
        <v>10</v>
      </c>
    </row>
    <row r="511" spans="1:5" x14ac:dyDescent="0.3">
      <c r="A511">
        <v>510</v>
      </c>
      <c r="B511" s="19">
        <v>45483</v>
      </c>
      <c r="C511">
        <f t="shared" si="21"/>
        <v>2024</v>
      </c>
      <c r="D511" t="str">
        <f t="shared" si="22"/>
        <v>July</v>
      </c>
      <c r="E511">
        <f t="shared" si="23"/>
        <v>7</v>
      </c>
    </row>
    <row r="512" spans="1:5" x14ac:dyDescent="0.3">
      <c r="A512">
        <v>511</v>
      </c>
      <c r="B512" s="19">
        <v>45277</v>
      </c>
      <c r="C512">
        <f t="shared" si="21"/>
        <v>2023</v>
      </c>
      <c r="D512" t="str">
        <f t="shared" si="22"/>
        <v>December</v>
      </c>
      <c r="E512">
        <f t="shared" si="23"/>
        <v>12</v>
      </c>
    </row>
    <row r="513" spans="1:5" x14ac:dyDescent="0.3">
      <c r="A513">
        <v>512</v>
      </c>
      <c r="B513" s="20">
        <v>45784</v>
      </c>
      <c r="C513">
        <f t="shared" si="21"/>
        <v>2025</v>
      </c>
      <c r="D513" t="str">
        <f t="shared" si="22"/>
        <v>May</v>
      </c>
      <c r="E513">
        <f t="shared" si="23"/>
        <v>5</v>
      </c>
    </row>
    <row r="514" spans="1:5" x14ac:dyDescent="0.3">
      <c r="A514">
        <v>513</v>
      </c>
      <c r="B514" s="20">
        <v>45134</v>
      </c>
      <c r="C514">
        <f t="shared" si="21"/>
        <v>2023</v>
      </c>
      <c r="D514" t="str">
        <f t="shared" si="22"/>
        <v>July</v>
      </c>
      <c r="E514">
        <f t="shared" si="23"/>
        <v>7</v>
      </c>
    </row>
    <row r="515" spans="1:5" x14ac:dyDescent="0.3">
      <c r="A515">
        <v>514</v>
      </c>
      <c r="B515" s="20">
        <v>45161</v>
      </c>
      <c r="C515">
        <f t="shared" ref="C515:C563" si="24">YEAR(B515)</f>
        <v>2023</v>
      </c>
      <c r="D515" t="str">
        <f t="shared" ref="D515:D563" si="25">TEXT(B515,"mmmm")</f>
        <v>August</v>
      </c>
      <c r="E515">
        <f t="shared" ref="E515:E563" si="26">MONTH(B515)</f>
        <v>8</v>
      </c>
    </row>
    <row r="516" spans="1:5" x14ac:dyDescent="0.3">
      <c r="A516">
        <v>515</v>
      </c>
      <c r="B516" s="20">
        <v>45199</v>
      </c>
      <c r="C516">
        <f t="shared" si="24"/>
        <v>2023</v>
      </c>
      <c r="D516" t="str">
        <f t="shared" si="25"/>
        <v>September</v>
      </c>
      <c r="E516">
        <f t="shared" si="26"/>
        <v>9</v>
      </c>
    </row>
    <row r="517" spans="1:5" x14ac:dyDescent="0.3">
      <c r="A517">
        <v>516</v>
      </c>
      <c r="B517" s="19">
        <v>45294</v>
      </c>
      <c r="C517">
        <f t="shared" si="24"/>
        <v>2024</v>
      </c>
      <c r="D517" t="str">
        <f t="shared" si="25"/>
        <v>January</v>
      </c>
      <c r="E517">
        <f t="shared" si="26"/>
        <v>1</v>
      </c>
    </row>
    <row r="518" spans="1:5" x14ac:dyDescent="0.3">
      <c r="A518">
        <v>517</v>
      </c>
      <c r="B518" s="19">
        <v>45448</v>
      </c>
      <c r="C518">
        <f t="shared" si="24"/>
        <v>2024</v>
      </c>
      <c r="D518" t="str">
        <f t="shared" si="25"/>
        <v>June</v>
      </c>
      <c r="E518">
        <f t="shared" si="26"/>
        <v>6</v>
      </c>
    </row>
    <row r="519" spans="1:5" x14ac:dyDescent="0.3">
      <c r="A519">
        <v>518</v>
      </c>
      <c r="B519" s="20">
        <v>45589</v>
      </c>
      <c r="C519">
        <f t="shared" si="24"/>
        <v>2024</v>
      </c>
      <c r="D519" t="str">
        <f t="shared" si="25"/>
        <v>October</v>
      </c>
      <c r="E519">
        <f t="shared" si="26"/>
        <v>10</v>
      </c>
    </row>
    <row r="520" spans="1:5" x14ac:dyDescent="0.3">
      <c r="A520">
        <v>519</v>
      </c>
      <c r="B520" s="19">
        <v>45431</v>
      </c>
      <c r="C520">
        <f t="shared" si="24"/>
        <v>2024</v>
      </c>
      <c r="D520" t="str">
        <f t="shared" si="25"/>
        <v>May</v>
      </c>
      <c r="E520">
        <f t="shared" si="26"/>
        <v>5</v>
      </c>
    </row>
    <row r="521" spans="1:5" x14ac:dyDescent="0.3">
      <c r="A521">
        <v>520</v>
      </c>
      <c r="B521" s="20">
        <v>45451</v>
      </c>
      <c r="C521">
        <f t="shared" si="24"/>
        <v>2024</v>
      </c>
      <c r="D521" t="str">
        <f t="shared" si="25"/>
        <v>June</v>
      </c>
      <c r="E521">
        <f t="shared" si="26"/>
        <v>6</v>
      </c>
    </row>
    <row r="522" spans="1:5" x14ac:dyDescent="0.3">
      <c r="A522">
        <v>521</v>
      </c>
      <c r="B522" s="19">
        <v>45281</v>
      </c>
      <c r="C522">
        <f t="shared" si="24"/>
        <v>2023</v>
      </c>
      <c r="D522" t="str">
        <f t="shared" si="25"/>
        <v>December</v>
      </c>
      <c r="E522">
        <f t="shared" si="26"/>
        <v>12</v>
      </c>
    </row>
    <row r="523" spans="1:5" x14ac:dyDescent="0.3">
      <c r="A523">
        <v>522</v>
      </c>
      <c r="B523" s="19">
        <v>45635</v>
      </c>
      <c r="C523">
        <f t="shared" si="24"/>
        <v>2024</v>
      </c>
      <c r="D523" t="str">
        <f t="shared" si="25"/>
        <v>December</v>
      </c>
      <c r="E523">
        <f t="shared" si="26"/>
        <v>12</v>
      </c>
    </row>
    <row r="524" spans="1:5" x14ac:dyDescent="0.3">
      <c r="A524">
        <v>523</v>
      </c>
      <c r="B524" s="19">
        <v>45787</v>
      </c>
      <c r="C524">
        <f t="shared" si="24"/>
        <v>2025</v>
      </c>
      <c r="D524" t="str">
        <f t="shared" si="25"/>
        <v>May</v>
      </c>
      <c r="E524">
        <f t="shared" si="26"/>
        <v>5</v>
      </c>
    </row>
    <row r="525" spans="1:5" x14ac:dyDescent="0.3">
      <c r="A525">
        <v>524</v>
      </c>
      <c r="B525" s="19">
        <v>45317</v>
      </c>
      <c r="C525">
        <f t="shared" si="24"/>
        <v>2024</v>
      </c>
      <c r="D525" t="str">
        <f t="shared" si="25"/>
        <v>January</v>
      </c>
      <c r="E525">
        <f t="shared" si="26"/>
        <v>1</v>
      </c>
    </row>
    <row r="526" spans="1:5" x14ac:dyDescent="0.3">
      <c r="A526">
        <v>525</v>
      </c>
      <c r="B526" s="20">
        <v>45711</v>
      </c>
      <c r="C526">
        <f t="shared" si="24"/>
        <v>2025</v>
      </c>
      <c r="D526" t="str">
        <f t="shared" si="25"/>
        <v>February</v>
      </c>
      <c r="E526">
        <f t="shared" si="26"/>
        <v>2</v>
      </c>
    </row>
    <row r="527" spans="1:5" x14ac:dyDescent="0.3">
      <c r="A527">
        <v>526</v>
      </c>
      <c r="B527" s="19">
        <v>45594</v>
      </c>
      <c r="C527">
        <f t="shared" si="24"/>
        <v>2024</v>
      </c>
      <c r="D527" t="str">
        <f t="shared" si="25"/>
        <v>October</v>
      </c>
      <c r="E527">
        <f t="shared" si="26"/>
        <v>10</v>
      </c>
    </row>
    <row r="528" spans="1:5" x14ac:dyDescent="0.3">
      <c r="A528">
        <v>527</v>
      </c>
      <c r="B528" s="19">
        <v>45528</v>
      </c>
      <c r="C528">
        <f t="shared" si="24"/>
        <v>2024</v>
      </c>
      <c r="D528" t="str">
        <f t="shared" si="25"/>
        <v>August</v>
      </c>
      <c r="E528">
        <f t="shared" si="26"/>
        <v>8</v>
      </c>
    </row>
    <row r="529" spans="1:5" x14ac:dyDescent="0.3">
      <c r="A529">
        <v>528</v>
      </c>
      <c r="B529" s="20">
        <v>45166</v>
      </c>
      <c r="C529">
        <f t="shared" si="24"/>
        <v>2023</v>
      </c>
      <c r="D529" t="str">
        <f t="shared" si="25"/>
        <v>August</v>
      </c>
      <c r="E529">
        <f t="shared" si="26"/>
        <v>8</v>
      </c>
    </row>
    <row r="530" spans="1:5" x14ac:dyDescent="0.3">
      <c r="A530">
        <v>529</v>
      </c>
      <c r="B530" s="19">
        <v>45646</v>
      </c>
      <c r="C530">
        <f t="shared" si="24"/>
        <v>2024</v>
      </c>
      <c r="D530" t="str">
        <f t="shared" si="25"/>
        <v>December</v>
      </c>
      <c r="E530">
        <f t="shared" si="26"/>
        <v>12</v>
      </c>
    </row>
    <row r="531" spans="1:5" x14ac:dyDescent="0.3">
      <c r="A531">
        <v>530</v>
      </c>
      <c r="B531" s="20">
        <v>45264</v>
      </c>
      <c r="C531">
        <f t="shared" si="24"/>
        <v>2023</v>
      </c>
      <c r="D531" t="str">
        <f t="shared" si="25"/>
        <v>December</v>
      </c>
      <c r="E531">
        <f t="shared" si="26"/>
        <v>12</v>
      </c>
    </row>
    <row r="532" spans="1:5" x14ac:dyDescent="0.3">
      <c r="A532">
        <v>531</v>
      </c>
      <c r="B532" s="19">
        <v>45403</v>
      </c>
      <c r="C532">
        <f t="shared" si="24"/>
        <v>2024</v>
      </c>
      <c r="D532" t="str">
        <f t="shared" si="25"/>
        <v>April</v>
      </c>
      <c r="E532">
        <f t="shared" si="26"/>
        <v>4</v>
      </c>
    </row>
    <row r="533" spans="1:5" x14ac:dyDescent="0.3">
      <c r="A533">
        <v>532</v>
      </c>
      <c r="B533" s="20">
        <v>45229</v>
      </c>
      <c r="C533">
        <f t="shared" si="24"/>
        <v>2023</v>
      </c>
      <c r="D533" t="str">
        <f t="shared" si="25"/>
        <v>October</v>
      </c>
      <c r="E533">
        <f t="shared" si="26"/>
        <v>10</v>
      </c>
    </row>
    <row r="534" spans="1:5" x14ac:dyDescent="0.3">
      <c r="A534">
        <v>533</v>
      </c>
      <c r="B534" s="19">
        <v>45327</v>
      </c>
      <c r="C534">
        <f t="shared" si="24"/>
        <v>2024</v>
      </c>
      <c r="D534" t="str">
        <f t="shared" si="25"/>
        <v>February</v>
      </c>
      <c r="E534">
        <f t="shared" si="26"/>
        <v>2</v>
      </c>
    </row>
    <row r="535" spans="1:5" x14ac:dyDescent="0.3">
      <c r="A535">
        <v>534</v>
      </c>
      <c r="B535" s="20">
        <v>45766</v>
      </c>
      <c r="C535">
        <f t="shared" si="24"/>
        <v>2025</v>
      </c>
      <c r="D535" t="str">
        <f t="shared" si="25"/>
        <v>April</v>
      </c>
      <c r="E535">
        <f t="shared" si="26"/>
        <v>4</v>
      </c>
    </row>
    <row r="536" spans="1:5" x14ac:dyDescent="0.3">
      <c r="A536">
        <v>535</v>
      </c>
      <c r="B536" s="20">
        <v>45717</v>
      </c>
      <c r="C536">
        <f t="shared" si="24"/>
        <v>2025</v>
      </c>
      <c r="D536" t="str">
        <f t="shared" si="25"/>
        <v>March</v>
      </c>
      <c r="E536">
        <f t="shared" si="26"/>
        <v>3</v>
      </c>
    </row>
    <row r="537" spans="1:5" x14ac:dyDescent="0.3">
      <c r="A537">
        <v>536</v>
      </c>
      <c r="B537" s="20">
        <v>45278</v>
      </c>
      <c r="C537">
        <f t="shared" si="24"/>
        <v>2023</v>
      </c>
      <c r="D537" t="str">
        <f t="shared" si="25"/>
        <v>December</v>
      </c>
      <c r="E537">
        <f t="shared" si="26"/>
        <v>12</v>
      </c>
    </row>
    <row r="538" spans="1:5" x14ac:dyDescent="0.3">
      <c r="A538">
        <v>537</v>
      </c>
      <c r="B538" s="20">
        <v>45310</v>
      </c>
      <c r="C538">
        <f t="shared" si="24"/>
        <v>2024</v>
      </c>
      <c r="D538" t="str">
        <f t="shared" si="25"/>
        <v>January</v>
      </c>
      <c r="E538">
        <f t="shared" si="26"/>
        <v>1</v>
      </c>
    </row>
    <row r="539" spans="1:5" x14ac:dyDescent="0.3">
      <c r="A539">
        <v>538</v>
      </c>
      <c r="B539" s="20">
        <v>45422</v>
      </c>
      <c r="C539">
        <f t="shared" si="24"/>
        <v>2024</v>
      </c>
      <c r="D539" t="str">
        <f t="shared" si="25"/>
        <v>May</v>
      </c>
      <c r="E539">
        <f t="shared" si="26"/>
        <v>5</v>
      </c>
    </row>
    <row r="540" spans="1:5" x14ac:dyDescent="0.3">
      <c r="A540">
        <v>539</v>
      </c>
      <c r="B540" s="20">
        <v>45444</v>
      </c>
      <c r="C540">
        <f t="shared" si="24"/>
        <v>2024</v>
      </c>
      <c r="D540" t="str">
        <f t="shared" si="25"/>
        <v>June</v>
      </c>
      <c r="E540">
        <f t="shared" si="26"/>
        <v>6</v>
      </c>
    </row>
    <row r="541" spans="1:5" x14ac:dyDescent="0.3">
      <c r="A541">
        <v>540</v>
      </c>
      <c r="B541" s="20">
        <v>45396</v>
      </c>
      <c r="C541">
        <f t="shared" si="24"/>
        <v>2024</v>
      </c>
      <c r="D541" t="str">
        <f t="shared" si="25"/>
        <v>April</v>
      </c>
      <c r="E541">
        <f t="shared" si="26"/>
        <v>4</v>
      </c>
    </row>
    <row r="542" spans="1:5" x14ac:dyDescent="0.3">
      <c r="A542">
        <v>541</v>
      </c>
      <c r="B542" s="20">
        <v>45375</v>
      </c>
      <c r="C542">
        <f t="shared" si="24"/>
        <v>2024</v>
      </c>
      <c r="D542" t="str">
        <f t="shared" si="25"/>
        <v>March</v>
      </c>
      <c r="E542">
        <f t="shared" si="26"/>
        <v>3</v>
      </c>
    </row>
    <row r="543" spans="1:5" x14ac:dyDescent="0.3">
      <c r="A543">
        <v>542</v>
      </c>
      <c r="B543" s="19">
        <v>45146</v>
      </c>
      <c r="C543">
        <f t="shared" si="24"/>
        <v>2023</v>
      </c>
      <c r="D543" t="str">
        <f t="shared" si="25"/>
        <v>August</v>
      </c>
      <c r="E543">
        <f t="shared" si="26"/>
        <v>8</v>
      </c>
    </row>
    <row r="544" spans="1:5" x14ac:dyDescent="0.3">
      <c r="A544">
        <v>543</v>
      </c>
      <c r="B544" s="20">
        <v>45345</v>
      </c>
      <c r="C544">
        <f t="shared" si="24"/>
        <v>2024</v>
      </c>
      <c r="D544" t="str">
        <f t="shared" si="25"/>
        <v>February</v>
      </c>
      <c r="E544">
        <f t="shared" si="26"/>
        <v>2</v>
      </c>
    </row>
    <row r="545" spans="1:5" x14ac:dyDescent="0.3">
      <c r="A545">
        <v>544</v>
      </c>
      <c r="B545" s="20">
        <v>45583</v>
      </c>
      <c r="C545">
        <f t="shared" si="24"/>
        <v>2024</v>
      </c>
      <c r="D545" t="str">
        <f t="shared" si="25"/>
        <v>October</v>
      </c>
      <c r="E545">
        <f t="shared" si="26"/>
        <v>10</v>
      </c>
    </row>
    <row r="546" spans="1:5" x14ac:dyDescent="0.3">
      <c r="A546">
        <v>545</v>
      </c>
      <c r="B546" s="19">
        <v>45347</v>
      </c>
      <c r="C546">
        <f t="shared" si="24"/>
        <v>2024</v>
      </c>
      <c r="D546" t="str">
        <f t="shared" si="25"/>
        <v>February</v>
      </c>
      <c r="E546">
        <f t="shared" si="26"/>
        <v>2</v>
      </c>
    </row>
    <row r="547" spans="1:5" x14ac:dyDescent="0.3">
      <c r="A547">
        <v>546</v>
      </c>
      <c r="B547" s="19">
        <v>45534</v>
      </c>
      <c r="C547">
        <f t="shared" si="24"/>
        <v>2024</v>
      </c>
      <c r="D547" t="str">
        <f t="shared" si="25"/>
        <v>August</v>
      </c>
      <c r="E547">
        <f t="shared" si="26"/>
        <v>8</v>
      </c>
    </row>
    <row r="548" spans="1:5" x14ac:dyDescent="0.3">
      <c r="A548">
        <v>547</v>
      </c>
      <c r="B548" s="19">
        <v>45211</v>
      </c>
      <c r="C548">
        <f t="shared" si="24"/>
        <v>2023</v>
      </c>
      <c r="D548" t="str">
        <f t="shared" si="25"/>
        <v>October</v>
      </c>
      <c r="E548">
        <f t="shared" si="26"/>
        <v>10</v>
      </c>
    </row>
    <row r="549" spans="1:5" x14ac:dyDescent="0.3">
      <c r="A549">
        <v>548</v>
      </c>
      <c r="B549" s="20">
        <v>45387</v>
      </c>
      <c r="C549">
        <f t="shared" si="24"/>
        <v>2024</v>
      </c>
      <c r="D549" t="str">
        <f t="shared" si="25"/>
        <v>April</v>
      </c>
      <c r="E549">
        <f t="shared" si="26"/>
        <v>4</v>
      </c>
    </row>
    <row r="550" spans="1:5" x14ac:dyDescent="0.3">
      <c r="A550">
        <v>549</v>
      </c>
      <c r="B550" s="20">
        <v>45713</v>
      </c>
      <c r="C550">
        <f t="shared" si="24"/>
        <v>2025</v>
      </c>
      <c r="D550" t="str">
        <f t="shared" si="25"/>
        <v>February</v>
      </c>
      <c r="E550">
        <f t="shared" si="26"/>
        <v>2</v>
      </c>
    </row>
    <row r="551" spans="1:5" x14ac:dyDescent="0.3">
      <c r="A551">
        <v>550</v>
      </c>
      <c r="B551" s="20">
        <v>45201</v>
      </c>
      <c r="C551">
        <f t="shared" si="24"/>
        <v>2023</v>
      </c>
      <c r="D551" t="str">
        <f t="shared" si="25"/>
        <v>October</v>
      </c>
      <c r="E551">
        <f t="shared" si="26"/>
        <v>10</v>
      </c>
    </row>
    <row r="552" spans="1:5" x14ac:dyDescent="0.3">
      <c r="A552">
        <v>551</v>
      </c>
      <c r="B552" s="19">
        <v>45163</v>
      </c>
      <c r="C552">
        <f t="shared" si="24"/>
        <v>2023</v>
      </c>
      <c r="D552" t="str">
        <f t="shared" si="25"/>
        <v>August</v>
      </c>
      <c r="E552">
        <f t="shared" si="26"/>
        <v>8</v>
      </c>
    </row>
    <row r="553" spans="1:5" x14ac:dyDescent="0.3">
      <c r="A553">
        <v>552</v>
      </c>
      <c r="B553" s="19">
        <v>45579</v>
      </c>
      <c r="C553">
        <f t="shared" si="24"/>
        <v>2024</v>
      </c>
      <c r="D553" t="str">
        <f t="shared" si="25"/>
        <v>October</v>
      </c>
      <c r="E553">
        <f t="shared" si="26"/>
        <v>10</v>
      </c>
    </row>
    <row r="554" spans="1:5" x14ac:dyDescent="0.3">
      <c r="A554">
        <v>553</v>
      </c>
      <c r="B554" s="20">
        <v>45254</v>
      </c>
      <c r="C554">
        <f t="shared" si="24"/>
        <v>2023</v>
      </c>
      <c r="D554" t="str">
        <f t="shared" si="25"/>
        <v>November</v>
      </c>
      <c r="E554">
        <f t="shared" si="26"/>
        <v>11</v>
      </c>
    </row>
    <row r="555" spans="1:5" x14ac:dyDescent="0.3">
      <c r="A555">
        <v>554</v>
      </c>
      <c r="B555" s="20">
        <v>45150</v>
      </c>
      <c r="C555">
        <f t="shared" si="24"/>
        <v>2023</v>
      </c>
      <c r="D555" t="str">
        <f t="shared" si="25"/>
        <v>August</v>
      </c>
      <c r="E555">
        <f t="shared" si="26"/>
        <v>8</v>
      </c>
    </row>
    <row r="556" spans="1:5" x14ac:dyDescent="0.3">
      <c r="A556">
        <v>555</v>
      </c>
      <c r="B556" s="20">
        <v>45360</v>
      </c>
      <c r="C556">
        <f t="shared" si="24"/>
        <v>2024</v>
      </c>
      <c r="D556" t="str">
        <f t="shared" si="25"/>
        <v>March</v>
      </c>
      <c r="E556">
        <f t="shared" si="26"/>
        <v>3</v>
      </c>
    </row>
    <row r="557" spans="1:5" x14ac:dyDescent="0.3">
      <c r="A557">
        <v>556</v>
      </c>
      <c r="B557" s="20">
        <v>45493</v>
      </c>
      <c r="C557">
        <f t="shared" si="24"/>
        <v>2024</v>
      </c>
      <c r="D557" t="str">
        <f t="shared" si="25"/>
        <v>July</v>
      </c>
      <c r="E557">
        <f t="shared" si="26"/>
        <v>7</v>
      </c>
    </row>
    <row r="558" spans="1:5" x14ac:dyDescent="0.3">
      <c r="A558">
        <v>557</v>
      </c>
      <c r="B558" s="19">
        <v>45600</v>
      </c>
      <c r="C558">
        <f t="shared" si="24"/>
        <v>2024</v>
      </c>
      <c r="D558" t="str">
        <f t="shared" si="25"/>
        <v>November</v>
      </c>
      <c r="E558">
        <f t="shared" si="26"/>
        <v>11</v>
      </c>
    </row>
    <row r="559" spans="1:5" x14ac:dyDescent="0.3">
      <c r="A559">
        <v>558</v>
      </c>
      <c r="B559" s="20">
        <v>45453</v>
      </c>
      <c r="C559">
        <f t="shared" si="24"/>
        <v>2024</v>
      </c>
      <c r="D559" t="str">
        <f t="shared" si="25"/>
        <v>June</v>
      </c>
      <c r="E559">
        <f t="shared" si="26"/>
        <v>6</v>
      </c>
    </row>
    <row r="560" spans="1:5" x14ac:dyDescent="0.3">
      <c r="A560">
        <v>559</v>
      </c>
      <c r="B560" s="20">
        <v>45341</v>
      </c>
      <c r="C560">
        <f t="shared" si="24"/>
        <v>2024</v>
      </c>
      <c r="D560" t="str">
        <f t="shared" si="25"/>
        <v>February</v>
      </c>
      <c r="E560">
        <f t="shared" si="26"/>
        <v>2</v>
      </c>
    </row>
    <row r="561" spans="1:5" x14ac:dyDescent="0.3">
      <c r="A561">
        <v>560</v>
      </c>
      <c r="B561" s="20">
        <v>45145</v>
      </c>
      <c r="C561">
        <f t="shared" si="24"/>
        <v>2023</v>
      </c>
      <c r="D561" t="str">
        <f t="shared" si="25"/>
        <v>August</v>
      </c>
      <c r="E561">
        <f t="shared" si="26"/>
        <v>8</v>
      </c>
    </row>
    <row r="562" spans="1:5" x14ac:dyDescent="0.3">
      <c r="A562">
        <v>561</v>
      </c>
      <c r="B562" s="19">
        <v>45857</v>
      </c>
      <c r="C562">
        <f t="shared" si="24"/>
        <v>2025</v>
      </c>
      <c r="D562" t="str">
        <f t="shared" si="25"/>
        <v>July</v>
      </c>
      <c r="E562">
        <f t="shared" si="26"/>
        <v>7</v>
      </c>
    </row>
    <row r="563" spans="1:5" x14ac:dyDescent="0.3">
      <c r="A563">
        <v>562</v>
      </c>
      <c r="B563" s="19">
        <v>45291</v>
      </c>
      <c r="C563">
        <f t="shared" si="24"/>
        <v>2023</v>
      </c>
      <c r="D563" t="str">
        <f t="shared" si="25"/>
        <v>December</v>
      </c>
      <c r="E563">
        <f t="shared" si="26"/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F6C8-AB80-4F84-A5DE-B15FFD41FFAB}">
  <dimension ref="A1:B7"/>
  <sheetViews>
    <sheetView workbookViewId="0">
      <selection activeCell="J13" sqref="J13"/>
    </sheetView>
  </sheetViews>
  <sheetFormatPr defaultRowHeight="14.4" x14ac:dyDescent="0.3"/>
  <cols>
    <col min="1" max="1" width="10" customWidth="1"/>
    <col min="2" max="2" width="10.6640625" bestFit="1" customWidth="1"/>
  </cols>
  <sheetData>
    <row r="1" spans="1:2" x14ac:dyDescent="0.3">
      <c r="A1" t="s">
        <v>2539</v>
      </c>
      <c r="B1" t="s">
        <v>9</v>
      </c>
    </row>
    <row r="2" spans="1:2" x14ac:dyDescent="0.3">
      <c r="A2">
        <v>1</v>
      </c>
      <c r="B2" s="17" t="s">
        <v>15</v>
      </c>
    </row>
    <row r="3" spans="1:2" x14ac:dyDescent="0.3">
      <c r="A3">
        <v>2</v>
      </c>
      <c r="B3" s="18" t="s">
        <v>18</v>
      </c>
    </row>
    <row r="4" spans="1:2" x14ac:dyDescent="0.3">
      <c r="A4">
        <v>3</v>
      </c>
      <c r="B4" s="17" t="s">
        <v>22</v>
      </c>
    </row>
    <row r="5" spans="1:2" x14ac:dyDescent="0.3">
      <c r="A5">
        <v>4</v>
      </c>
      <c r="B5" s="18" t="s">
        <v>2540</v>
      </c>
    </row>
    <row r="6" spans="1:2" x14ac:dyDescent="0.3">
      <c r="A6">
        <v>5</v>
      </c>
      <c r="B6" s="17" t="s">
        <v>52</v>
      </c>
    </row>
    <row r="7" spans="1:2" x14ac:dyDescent="0.3">
      <c r="A7">
        <v>6</v>
      </c>
      <c r="B7" s="17" t="s">
        <v>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2F9B-A54E-49E8-ADE2-68E996BEFDB5}">
  <dimension ref="A2:T28"/>
  <sheetViews>
    <sheetView tabSelected="1" zoomScale="47" zoomScaleNormal="47" workbookViewId="0">
      <selection activeCell="I22" sqref="I22"/>
    </sheetView>
  </sheetViews>
  <sheetFormatPr defaultRowHeight="14.4" x14ac:dyDescent="0.3"/>
  <cols>
    <col min="1" max="1" width="34.88671875" bestFit="1" customWidth="1"/>
    <col min="2" max="2" width="38.21875" bestFit="1" customWidth="1"/>
    <col min="3" max="3" width="7.5546875" bestFit="1" customWidth="1"/>
    <col min="4" max="4" width="7.21875" bestFit="1" customWidth="1"/>
    <col min="5" max="5" width="5.5546875" bestFit="1" customWidth="1"/>
    <col min="6" max="6" width="6" bestFit="1" customWidth="1"/>
    <col min="7" max="7" width="7.44140625" bestFit="1" customWidth="1"/>
    <col min="8" max="8" width="22.44140625" bestFit="1" customWidth="1"/>
    <col min="9" max="9" width="35.88671875" bestFit="1" customWidth="1"/>
    <col min="10" max="10" width="13.77734375" bestFit="1" customWidth="1"/>
    <col min="11" max="11" width="26.77734375" bestFit="1" customWidth="1"/>
    <col min="12" max="12" width="30" bestFit="1" customWidth="1"/>
    <col min="13" max="13" width="35.88671875" bestFit="1" customWidth="1"/>
    <col min="14" max="14" width="26.21875" bestFit="1" customWidth="1"/>
    <col min="15" max="15" width="4.6640625" customWidth="1"/>
    <col min="16" max="16" width="4.33203125" customWidth="1"/>
    <col min="17" max="17" width="3.5546875" customWidth="1"/>
    <col min="18" max="18" width="5" customWidth="1"/>
    <col min="19" max="19" width="24.109375" bestFit="1" customWidth="1"/>
    <col min="20" max="20" width="38.21875" bestFit="1" customWidth="1"/>
    <col min="21" max="21" width="19" bestFit="1" customWidth="1"/>
    <col min="22" max="1427" width="15.5546875" bestFit="1" customWidth="1"/>
    <col min="1428" max="1428" width="11.5546875" bestFit="1" customWidth="1"/>
  </cols>
  <sheetData>
    <row r="2" spans="1:20" ht="21.6" customHeight="1" x14ac:dyDescent="0.45">
      <c r="A2" s="50" t="s">
        <v>2511</v>
      </c>
      <c r="B2" s="50"/>
      <c r="E2" s="12"/>
      <c r="F2" s="12"/>
      <c r="G2" s="12"/>
      <c r="H2" s="51" t="s">
        <v>2514</v>
      </c>
      <c r="I2" s="51"/>
      <c r="J2" s="12"/>
      <c r="K2" s="49" t="s">
        <v>2517</v>
      </c>
      <c r="L2" s="49"/>
      <c r="M2" s="49"/>
      <c r="N2" s="49"/>
      <c r="O2" s="12"/>
      <c r="P2" s="12"/>
      <c r="Q2" s="12"/>
      <c r="R2" s="12"/>
      <c r="S2" s="53" t="s">
        <v>2518</v>
      </c>
      <c r="T2" s="53"/>
    </row>
    <row r="3" spans="1:20" ht="25.2" x14ac:dyDescent="0.45">
      <c r="A3" s="8" t="s">
        <v>2534</v>
      </c>
      <c r="B3" s="9" t="s">
        <v>2515</v>
      </c>
      <c r="E3" s="12"/>
      <c r="F3" s="12"/>
      <c r="G3" s="12"/>
      <c r="H3" s="8" t="s">
        <v>9</v>
      </c>
      <c r="I3" s="9" t="s">
        <v>2515</v>
      </c>
      <c r="J3" s="12"/>
      <c r="K3" s="8" t="s">
        <v>2533</v>
      </c>
      <c r="L3" s="9" t="s">
        <v>2510</v>
      </c>
      <c r="M3" s="9" t="s">
        <v>2515</v>
      </c>
      <c r="N3" s="9" t="s">
        <v>2513</v>
      </c>
      <c r="O3" s="12"/>
      <c r="P3" s="12"/>
      <c r="Q3" s="12"/>
      <c r="R3" s="12"/>
      <c r="S3" s="8" t="s">
        <v>2532</v>
      </c>
      <c r="T3" s="9" t="s">
        <v>2515</v>
      </c>
    </row>
    <row r="4" spans="1:20" ht="25.2" x14ac:dyDescent="0.45">
      <c r="A4" s="10" t="s">
        <v>28</v>
      </c>
      <c r="B4" s="9">
        <v>3674352.5350000029</v>
      </c>
      <c r="E4" s="12"/>
      <c r="F4" s="12"/>
      <c r="G4" s="12"/>
      <c r="H4" s="10" t="s">
        <v>18</v>
      </c>
      <c r="I4" s="11">
        <v>4108722.6950000017</v>
      </c>
      <c r="J4" s="12"/>
      <c r="K4" s="10" t="s">
        <v>29</v>
      </c>
      <c r="L4" s="13">
        <v>333</v>
      </c>
      <c r="M4" s="11">
        <v>865556.5149999999</v>
      </c>
      <c r="N4" s="11">
        <v>99400.514837500028</v>
      </c>
      <c r="O4" s="12"/>
      <c r="P4" s="12"/>
      <c r="Q4" s="12"/>
      <c r="R4" s="12"/>
      <c r="S4" s="10" t="s">
        <v>2519</v>
      </c>
      <c r="T4" s="11">
        <v>1571155.5649999997</v>
      </c>
    </row>
    <row r="5" spans="1:20" ht="25.2" x14ac:dyDescent="0.45">
      <c r="A5" s="10" t="s">
        <v>36</v>
      </c>
      <c r="B5" s="9">
        <v>4358228.4649999943</v>
      </c>
      <c r="E5" s="12"/>
      <c r="F5" s="12"/>
      <c r="G5" s="12"/>
      <c r="H5" s="10" t="s">
        <v>2507</v>
      </c>
      <c r="I5" s="11">
        <v>3950732.6350000007</v>
      </c>
      <c r="J5" s="12"/>
      <c r="K5" s="10" t="s">
        <v>87</v>
      </c>
      <c r="L5" s="13">
        <v>360</v>
      </c>
      <c r="M5" s="11">
        <v>1012077.4050000004</v>
      </c>
      <c r="N5" s="11">
        <v>75796.037749999959</v>
      </c>
      <c r="O5" s="12"/>
      <c r="P5" s="12"/>
      <c r="Q5" s="12"/>
      <c r="R5" s="12"/>
      <c r="S5" s="10" t="s">
        <v>2520</v>
      </c>
      <c r="T5" s="11">
        <v>1307362.21</v>
      </c>
    </row>
    <row r="6" spans="1:20" ht="25.2" x14ac:dyDescent="0.45">
      <c r="A6" s="10" t="s">
        <v>20</v>
      </c>
      <c r="B6" s="9">
        <v>3679354.4900000091</v>
      </c>
      <c r="E6" s="12"/>
      <c r="F6" s="12"/>
      <c r="G6" s="12"/>
      <c r="H6" s="10" t="s">
        <v>15</v>
      </c>
      <c r="I6" s="11">
        <v>4000698.9100000006</v>
      </c>
      <c r="J6" s="12"/>
      <c r="K6" s="10" t="s">
        <v>76</v>
      </c>
      <c r="L6" s="13">
        <v>315</v>
      </c>
      <c r="M6" s="11">
        <v>738390.53999999934</v>
      </c>
      <c r="N6" s="11">
        <v>87550.402125000008</v>
      </c>
      <c r="O6" s="12"/>
      <c r="P6" s="12"/>
      <c r="Q6" s="12"/>
      <c r="R6" s="12"/>
      <c r="S6" s="10" t="s">
        <v>2521</v>
      </c>
      <c r="T6" s="11">
        <v>1596373.6449999998</v>
      </c>
    </row>
    <row r="7" spans="1:20" ht="25.2" x14ac:dyDescent="0.45">
      <c r="A7" s="10" t="s">
        <v>13</v>
      </c>
      <c r="B7" s="9">
        <v>4306706.4999999981</v>
      </c>
      <c r="E7" s="12"/>
      <c r="F7" s="12"/>
      <c r="G7" s="12"/>
      <c r="H7" s="10" t="s">
        <v>52</v>
      </c>
      <c r="I7" s="11">
        <v>4176862.1000000061</v>
      </c>
      <c r="J7" s="12"/>
      <c r="K7" s="10" t="s">
        <v>82</v>
      </c>
      <c r="L7" s="13">
        <v>354</v>
      </c>
      <c r="M7" s="11">
        <v>887371.53499999933</v>
      </c>
      <c r="N7" s="11">
        <v>76385.569500000027</v>
      </c>
      <c r="O7" s="12"/>
      <c r="P7" s="12"/>
      <c r="Q7" s="12"/>
      <c r="R7" s="12"/>
      <c r="S7" s="10" t="s">
        <v>2522</v>
      </c>
      <c r="T7" s="11">
        <v>1385711.1150000007</v>
      </c>
    </row>
    <row r="8" spans="1:20" ht="25.2" x14ac:dyDescent="0.45">
      <c r="A8" s="10" t="s">
        <v>25</v>
      </c>
      <c r="B8" s="9">
        <v>4009980.6850000015</v>
      </c>
      <c r="E8" s="12"/>
      <c r="F8" s="12"/>
      <c r="G8" s="12"/>
      <c r="H8" s="10" t="s">
        <v>22</v>
      </c>
      <c r="I8" s="11">
        <v>4210434.0699999975</v>
      </c>
      <c r="J8" s="12"/>
      <c r="K8" s="10" t="s">
        <v>34</v>
      </c>
      <c r="L8" s="13">
        <v>326</v>
      </c>
      <c r="M8" s="11">
        <v>968388.33999999962</v>
      </c>
      <c r="N8" s="11">
        <v>85882.756599999993</v>
      </c>
      <c r="O8" s="12"/>
      <c r="P8" s="12"/>
      <c r="Q8" s="12"/>
      <c r="R8" s="12"/>
      <c r="S8" s="10" t="s">
        <v>2523</v>
      </c>
      <c r="T8" s="11">
        <v>1704209.1500000018</v>
      </c>
    </row>
    <row r="9" spans="1:20" ht="25.2" x14ac:dyDescent="0.45">
      <c r="A9" s="10" t="s">
        <v>31</v>
      </c>
      <c r="B9" s="9">
        <v>3997875.7300000084</v>
      </c>
      <c r="E9" s="12"/>
      <c r="F9" s="12"/>
      <c r="G9" s="12"/>
      <c r="H9" s="10" t="s">
        <v>43</v>
      </c>
      <c r="I9" s="11">
        <v>3579047.9950000034</v>
      </c>
      <c r="J9" s="12"/>
      <c r="K9" s="10" t="s">
        <v>137</v>
      </c>
      <c r="L9" s="13">
        <v>301.5</v>
      </c>
      <c r="M9" s="11">
        <v>725882.32999999984</v>
      </c>
      <c r="N9" s="11">
        <v>63849.684050000003</v>
      </c>
      <c r="O9" s="12"/>
      <c r="P9" s="12"/>
      <c r="Q9" s="12"/>
      <c r="R9" s="12"/>
      <c r="S9" s="10" t="s">
        <v>2524</v>
      </c>
      <c r="T9" s="11">
        <v>1365937.21</v>
      </c>
    </row>
    <row r="10" spans="1:20" ht="25.2" x14ac:dyDescent="0.45">
      <c r="A10" s="10" t="s">
        <v>2509</v>
      </c>
      <c r="B10" s="9">
        <v>24026498.404999964</v>
      </c>
      <c r="E10" s="12"/>
      <c r="F10" s="12"/>
      <c r="G10" s="12"/>
      <c r="H10" s="10" t="s">
        <v>2509</v>
      </c>
      <c r="I10" s="11">
        <v>24026498.405000009</v>
      </c>
      <c r="J10" s="12"/>
      <c r="K10" s="10" t="s">
        <v>37</v>
      </c>
      <c r="L10" s="13">
        <v>430</v>
      </c>
      <c r="M10" s="11">
        <v>1293808.9700000011</v>
      </c>
      <c r="N10" s="11">
        <v>87332.111899999974</v>
      </c>
      <c r="O10" s="12"/>
      <c r="P10" s="12"/>
      <c r="Q10" s="12"/>
      <c r="R10" s="12"/>
      <c r="S10" s="10" t="s">
        <v>2525</v>
      </c>
      <c r="T10" s="11">
        <v>1579181.9450000008</v>
      </c>
    </row>
    <row r="11" spans="1:20" ht="25.2" x14ac:dyDescent="0.45">
      <c r="E11" s="12"/>
      <c r="F11" s="12"/>
      <c r="G11" s="12"/>
      <c r="H11" s="12"/>
      <c r="I11" s="12"/>
      <c r="J11" s="12"/>
      <c r="K11" s="10" t="s">
        <v>68</v>
      </c>
      <c r="L11" s="13">
        <v>434</v>
      </c>
      <c r="M11" s="11">
        <v>1177808.81</v>
      </c>
      <c r="N11" s="11">
        <v>90683.398174999995</v>
      </c>
      <c r="O11" s="12"/>
      <c r="P11" s="12"/>
      <c r="Q11" s="12"/>
      <c r="R11" s="12"/>
      <c r="S11" s="10" t="s">
        <v>2526</v>
      </c>
      <c r="T11" s="11">
        <v>1637107.4600000004</v>
      </c>
    </row>
    <row r="12" spans="1:20" ht="25.2" x14ac:dyDescent="0.45">
      <c r="A12" s="51" t="s">
        <v>2512</v>
      </c>
      <c r="B12" s="51"/>
      <c r="E12" s="12"/>
      <c r="F12" s="12"/>
      <c r="G12" s="12"/>
      <c r="H12" s="52" t="s">
        <v>2516</v>
      </c>
      <c r="I12" s="52"/>
      <c r="J12" s="12"/>
      <c r="K12" s="10" t="s">
        <v>32</v>
      </c>
      <c r="L12" s="13">
        <v>386</v>
      </c>
      <c r="M12" s="11">
        <v>868607.37999999977</v>
      </c>
      <c r="N12" s="11">
        <v>88362.138200000016</v>
      </c>
      <c r="O12" s="12"/>
      <c r="P12" s="12"/>
      <c r="Q12" s="12"/>
      <c r="R12" s="12"/>
      <c r="S12" s="10" t="s">
        <v>2527</v>
      </c>
      <c r="T12" s="11">
        <v>1484767.3850000009</v>
      </c>
    </row>
    <row r="13" spans="1:20" ht="25.2" x14ac:dyDescent="0.45">
      <c r="A13" s="8" t="s">
        <v>2534</v>
      </c>
      <c r="B13" s="9" t="s">
        <v>2513</v>
      </c>
      <c r="E13" s="12"/>
      <c r="F13" s="12"/>
      <c r="G13" s="12"/>
      <c r="H13" s="8" t="s">
        <v>10</v>
      </c>
      <c r="I13" s="9" t="s">
        <v>2515</v>
      </c>
      <c r="J13" s="12"/>
      <c r="K13" s="10" t="s">
        <v>84</v>
      </c>
      <c r="L13" s="13">
        <v>297</v>
      </c>
      <c r="M13" s="11">
        <v>797045.53000000049</v>
      </c>
      <c r="N13" s="11">
        <v>71025.776874999996</v>
      </c>
      <c r="O13" s="12"/>
      <c r="P13" s="12"/>
      <c r="Q13" s="12"/>
      <c r="R13" s="12"/>
      <c r="S13" s="10" t="s">
        <v>2528</v>
      </c>
      <c r="T13" s="11">
        <v>1432760.175</v>
      </c>
    </row>
    <row r="14" spans="1:20" ht="25.2" x14ac:dyDescent="0.45">
      <c r="A14" s="10" t="s">
        <v>28</v>
      </c>
      <c r="B14" s="11">
        <v>334161.96726250002</v>
      </c>
      <c r="E14" s="12"/>
      <c r="F14" s="12"/>
      <c r="G14" s="12"/>
      <c r="H14" s="10" t="s">
        <v>23</v>
      </c>
      <c r="I14" s="11">
        <v>16136210.634999985</v>
      </c>
      <c r="J14" s="12"/>
      <c r="K14" s="10" t="s">
        <v>78</v>
      </c>
      <c r="L14" s="13">
        <v>420</v>
      </c>
      <c r="M14" s="11">
        <v>1122212.4199999997</v>
      </c>
      <c r="N14" s="11">
        <v>81809.133299999987</v>
      </c>
      <c r="O14" s="12"/>
      <c r="P14" s="12"/>
      <c r="Q14" s="12"/>
      <c r="R14" s="12"/>
      <c r="S14" s="10" t="s">
        <v>2529</v>
      </c>
      <c r="T14" s="11">
        <v>1359757.3900000004</v>
      </c>
    </row>
    <row r="15" spans="1:20" ht="25.2" x14ac:dyDescent="0.45">
      <c r="A15" s="10" t="s">
        <v>36</v>
      </c>
      <c r="B15" s="11">
        <v>380932.36976249976</v>
      </c>
      <c r="E15" s="12"/>
      <c r="F15" s="12"/>
      <c r="G15" s="12"/>
      <c r="H15" s="10" t="s">
        <v>16</v>
      </c>
      <c r="I15" s="11">
        <v>7890287.7699999968</v>
      </c>
      <c r="J15" s="12"/>
      <c r="K15" s="10" t="s">
        <v>118</v>
      </c>
      <c r="L15" s="13">
        <v>346</v>
      </c>
      <c r="M15" s="11">
        <v>939078.21999999939</v>
      </c>
      <c r="N15" s="11">
        <v>78328.586275000009</v>
      </c>
      <c r="O15" s="12"/>
      <c r="P15" s="12"/>
      <c r="Q15" s="12"/>
      <c r="R15" s="12"/>
      <c r="S15" s="10" t="s">
        <v>2530</v>
      </c>
      <c r="T15" s="11">
        <v>7602175.1549999975</v>
      </c>
    </row>
    <row r="16" spans="1:20" ht="25.2" x14ac:dyDescent="0.45">
      <c r="A16" s="10" t="s">
        <v>20</v>
      </c>
      <c r="B16" s="11">
        <v>318303.00587499992</v>
      </c>
      <c r="E16" s="12"/>
      <c r="F16" s="12"/>
      <c r="G16" s="12"/>
      <c r="H16" s="10" t="s">
        <v>2509</v>
      </c>
      <c r="I16" s="11">
        <v>24026498.404999983</v>
      </c>
      <c r="J16" s="12"/>
      <c r="K16" s="10" t="s">
        <v>26</v>
      </c>
      <c r="L16" s="13">
        <v>359</v>
      </c>
      <c r="M16" s="11">
        <v>1049599.4800000002</v>
      </c>
      <c r="N16" s="11">
        <v>95768.555899999992</v>
      </c>
      <c r="O16" s="12"/>
      <c r="P16" s="12"/>
      <c r="Q16" s="12"/>
      <c r="R16" s="12"/>
      <c r="S16" s="10" t="s">
        <v>2509</v>
      </c>
      <c r="T16" s="11">
        <v>24026498.405000005</v>
      </c>
    </row>
    <row r="17" spans="1:20" ht="25.2" x14ac:dyDescent="0.45">
      <c r="A17" s="10" t="s">
        <v>13</v>
      </c>
      <c r="B17" s="11">
        <v>341391.11751249997</v>
      </c>
      <c r="E17" s="12"/>
      <c r="F17" s="12"/>
      <c r="G17" s="12"/>
      <c r="H17" s="12"/>
      <c r="I17" s="12"/>
      <c r="J17" s="12"/>
      <c r="K17" s="10" t="s">
        <v>55</v>
      </c>
      <c r="L17" s="13">
        <v>355</v>
      </c>
      <c r="M17" s="11">
        <v>972842.80000000098</v>
      </c>
      <c r="N17" s="11">
        <v>105932.88606250005</v>
      </c>
      <c r="O17" s="12"/>
      <c r="P17" s="12"/>
      <c r="Q17" s="12"/>
      <c r="R17" s="12"/>
      <c r="S17" s="12"/>
      <c r="T17" s="12"/>
    </row>
    <row r="18" spans="1:20" ht="25.2" x14ac:dyDescent="0.45">
      <c r="A18" s="10" t="s">
        <v>25</v>
      </c>
      <c r="B18" s="11">
        <v>323840.635725</v>
      </c>
      <c r="E18" s="12"/>
      <c r="F18" s="12"/>
      <c r="G18" s="12"/>
      <c r="H18" s="12"/>
      <c r="I18" s="12"/>
      <c r="J18" s="12"/>
      <c r="K18" s="10" t="s">
        <v>41</v>
      </c>
      <c r="L18" s="13">
        <v>288</v>
      </c>
      <c r="M18" s="11">
        <v>829247.11999999941</v>
      </c>
      <c r="N18" s="11">
        <v>72998.466025000016</v>
      </c>
      <c r="O18" s="12"/>
      <c r="P18" s="12"/>
      <c r="Q18" s="12"/>
      <c r="R18" s="12"/>
      <c r="S18" s="12"/>
      <c r="T18" s="12"/>
    </row>
    <row r="19" spans="1:20" ht="25.2" x14ac:dyDescent="0.45">
      <c r="A19" s="10" t="s">
        <v>31</v>
      </c>
      <c r="B19" s="11">
        <v>333853.13570000022</v>
      </c>
      <c r="E19" s="12"/>
      <c r="F19" s="12"/>
      <c r="G19" s="12"/>
      <c r="H19" s="12"/>
      <c r="I19" s="12"/>
      <c r="J19" s="12"/>
      <c r="K19" s="10" t="s">
        <v>21</v>
      </c>
      <c r="L19" s="13">
        <v>454</v>
      </c>
      <c r="M19" s="11">
        <v>1204840.1999999988</v>
      </c>
      <c r="N19" s="11">
        <v>81398.240600000019</v>
      </c>
      <c r="O19" s="12"/>
      <c r="P19" s="12"/>
      <c r="Q19" s="12"/>
      <c r="R19" s="12"/>
      <c r="S19" s="12"/>
      <c r="T19" s="12"/>
    </row>
    <row r="20" spans="1:20" ht="25.2" x14ac:dyDescent="0.45">
      <c r="A20" s="10" t="s">
        <v>2509</v>
      </c>
      <c r="B20" s="11">
        <v>2032482.2318374999</v>
      </c>
      <c r="E20" s="12"/>
      <c r="F20" s="12"/>
      <c r="G20" s="12"/>
      <c r="H20" s="12"/>
      <c r="I20" s="12"/>
      <c r="J20" s="12"/>
      <c r="K20" s="10" t="s">
        <v>98</v>
      </c>
      <c r="L20" s="13">
        <v>470</v>
      </c>
      <c r="M20" s="11">
        <v>1262074.1899999992</v>
      </c>
      <c r="N20" s="11">
        <v>85695.887949999975</v>
      </c>
      <c r="O20" s="12"/>
      <c r="P20" s="12"/>
      <c r="Q20" s="12"/>
      <c r="R20" s="12"/>
      <c r="S20" s="48"/>
      <c r="T20" s="48"/>
    </row>
    <row r="21" spans="1:20" ht="25.2" x14ac:dyDescent="0.45">
      <c r="E21" s="12"/>
      <c r="F21" s="12"/>
      <c r="G21" s="12" t="s">
        <v>2531</v>
      </c>
      <c r="H21" s="12"/>
      <c r="I21" s="12"/>
      <c r="J21" s="12"/>
      <c r="K21" s="10" t="s">
        <v>14</v>
      </c>
      <c r="L21" s="13">
        <v>356</v>
      </c>
      <c r="M21" s="11">
        <v>838796.76999999955</v>
      </c>
      <c r="N21" s="11">
        <v>73941.75178749999</v>
      </c>
      <c r="O21" s="12"/>
      <c r="P21" s="12"/>
      <c r="Q21" s="12"/>
      <c r="R21" s="12"/>
      <c r="S21" s="12"/>
      <c r="T21" s="12"/>
    </row>
    <row r="22" spans="1:20" ht="25.2" x14ac:dyDescent="0.45">
      <c r="E22" s="12"/>
      <c r="F22" s="12"/>
      <c r="G22" s="12"/>
      <c r="H22" s="12"/>
      <c r="I22" s="12"/>
      <c r="J22" s="12"/>
      <c r="K22" s="10" t="s">
        <v>62</v>
      </c>
      <c r="L22" s="13">
        <v>388</v>
      </c>
      <c r="M22" s="11">
        <v>999837.53000000084</v>
      </c>
      <c r="N22" s="11">
        <v>63284.337300000007</v>
      </c>
      <c r="O22" s="12"/>
      <c r="P22" s="12"/>
      <c r="Q22" s="12"/>
      <c r="R22" s="12"/>
      <c r="S22" s="12"/>
      <c r="T22" s="12"/>
    </row>
    <row r="23" spans="1:20" ht="25.2" x14ac:dyDescent="0.45">
      <c r="E23" s="12"/>
      <c r="F23" s="12"/>
      <c r="G23" s="12"/>
      <c r="H23" s="12"/>
      <c r="I23" s="12"/>
      <c r="J23" s="12"/>
      <c r="K23" s="10" t="s">
        <v>50</v>
      </c>
      <c r="L23" s="13">
        <v>415</v>
      </c>
      <c r="M23" s="11">
        <v>1073172.1400000001</v>
      </c>
      <c r="N23" s="11">
        <v>88402.17302500004</v>
      </c>
      <c r="O23" s="12"/>
      <c r="P23" s="12"/>
      <c r="Q23" s="12"/>
      <c r="R23" s="12"/>
      <c r="S23" s="12"/>
      <c r="T23" s="12"/>
    </row>
    <row r="24" spans="1:20" ht="25.2" x14ac:dyDescent="0.45">
      <c r="E24" s="12"/>
      <c r="F24" s="12"/>
      <c r="G24" s="12"/>
      <c r="H24" s="12"/>
      <c r="I24" s="12"/>
      <c r="J24" s="12"/>
      <c r="K24" s="10" t="s">
        <v>46</v>
      </c>
      <c r="L24" s="13">
        <v>436</v>
      </c>
      <c r="M24" s="11">
        <v>1237447.2000000011</v>
      </c>
      <c r="N24" s="11">
        <v>95870.721175000057</v>
      </c>
      <c r="O24" s="12"/>
      <c r="P24" s="12"/>
      <c r="Q24" s="12"/>
      <c r="R24" s="12"/>
      <c r="S24" s="12"/>
      <c r="T24" s="12"/>
    </row>
    <row r="25" spans="1:20" ht="25.2" x14ac:dyDescent="0.45">
      <c r="E25" s="12"/>
      <c r="F25" s="12"/>
      <c r="G25" s="12"/>
      <c r="H25" s="12"/>
      <c r="I25" s="12"/>
      <c r="J25" s="12"/>
      <c r="K25" s="10" t="s">
        <v>39</v>
      </c>
      <c r="L25" s="13">
        <v>325</v>
      </c>
      <c r="M25" s="11">
        <v>842303.62000000069</v>
      </c>
      <c r="N25" s="11">
        <v>62313.409350000002</v>
      </c>
      <c r="O25" s="12"/>
      <c r="P25" s="12"/>
      <c r="Q25" s="12"/>
      <c r="R25" s="12"/>
      <c r="S25" s="12"/>
      <c r="T25" s="12"/>
    </row>
    <row r="26" spans="1:20" ht="25.2" x14ac:dyDescent="0.45">
      <c r="E26" s="12"/>
      <c r="F26" s="12"/>
      <c r="G26" s="12"/>
      <c r="H26" s="12"/>
      <c r="I26" s="12"/>
      <c r="J26" s="12"/>
      <c r="K26" s="10" t="s">
        <v>116</v>
      </c>
      <c r="L26" s="13">
        <v>438</v>
      </c>
      <c r="M26" s="11">
        <v>1240610.0700000003</v>
      </c>
      <c r="N26" s="11">
        <v>108598.35902499997</v>
      </c>
      <c r="O26" s="12"/>
      <c r="P26" s="12"/>
      <c r="Q26" s="12"/>
      <c r="R26" s="12"/>
      <c r="S26" s="12"/>
      <c r="T26" s="12"/>
    </row>
    <row r="27" spans="1:20" ht="25.2" x14ac:dyDescent="0.45">
      <c r="E27" s="12"/>
      <c r="F27" s="12"/>
      <c r="G27" s="12"/>
      <c r="H27" s="12"/>
      <c r="I27" s="12"/>
      <c r="J27" s="12"/>
      <c r="K27" s="10" t="s">
        <v>59</v>
      </c>
      <c r="L27" s="13">
        <v>385</v>
      </c>
      <c r="M27" s="11">
        <v>1079499.2900000007</v>
      </c>
      <c r="N27" s="11">
        <v>111871.33405</v>
      </c>
      <c r="O27" s="12"/>
      <c r="P27" s="12"/>
      <c r="Q27" s="12"/>
      <c r="R27" s="12"/>
      <c r="S27" s="12"/>
      <c r="T27" s="12"/>
    </row>
    <row r="28" spans="1:20" ht="25.2" x14ac:dyDescent="0.45">
      <c r="E28" s="12"/>
      <c r="F28" s="12"/>
      <c r="G28" s="12"/>
      <c r="H28" s="12"/>
      <c r="I28" s="12"/>
      <c r="J28" s="12"/>
      <c r="K28" s="10" t="s">
        <v>2509</v>
      </c>
      <c r="L28" s="13">
        <v>8971.5</v>
      </c>
      <c r="M28" s="11">
        <v>24026498.405000005</v>
      </c>
      <c r="N28" s="11">
        <v>2032482.2318375001</v>
      </c>
      <c r="O28" s="12"/>
      <c r="P28" s="12"/>
      <c r="Q28" s="12"/>
      <c r="R28" s="12"/>
      <c r="S28" s="12"/>
      <c r="T28" s="12"/>
    </row>
  </sheetData>
  <mergeCells count="7">
    <mergeCell ref="S20:T20"/>
    <mergeCell ref="K2:N2"/>
    <mergeCell ref="A2:B2"/>
    <mergeCell ref="A12:B12"/>
    <mergeCell ref="H2:I2"/>
    <mergeCell ref="H12:I12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Snitch_Fashion_Sales_cleaned</vt:lpstr>
      <vt:lpstr>Dim_Product</vt:lpstr>
      <vt:lpstr>Dim_Date</vt:lpstr>
      <vt:lpstr>Dim_City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Gokul G.S</cp:lastModifiedBy>
  <dcterms:created xsi:type="dcterms:W3CDTF">2026-08-14T14:25:53Z</dcterms:created>
  <dcterms:modified xsi:type="dcterms:W3CDTF">2026-08-20T06:59:40Z</dcterms:modified>
</cp:coreProperties>
</file>